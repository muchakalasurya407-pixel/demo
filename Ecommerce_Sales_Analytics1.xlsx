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xr:revisionPtr revIDLastSave="0" documentId="8_{B7FD2F04-4CFB-4525-A6DE-E5276EA1D379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customers" sheetId="1" r:id="rId1"/>
    <sheet name="products" sheetId="2" r:id="rId2"/>
    <sheet name="orders" sheetId="3" r:id="rId3"/>
    <sheet name="order_items" sheetId="4" r:id="rId4"/>
    <sheet name="payments" sheetId="5" r:id="rId5"/>
    <sheet name="payment_method_analysis" sheetId="10" r:id="rId6"/>
    <sheet name="customer_wise_revenue" sheetId="9" r:id="rId7"/>
    <sheet name="E-COMMERCE SALES ANALYTICS DASH" sheetId="11" r:id="rId8"/>
    <sheet name="category_wise_revenue" sheetId="6" r:id="rId9"/>
    <sheet name="top-10_products_by_revenue" sheetId="7" r:id="rId10"/>
    <sheet name="monthly_revenue" sheetId="8" r:id="rId11"/>
  </sheets>
  <calcPr calcId="191028"/>
  <pivotCaches>
    <pivotCache cacheId="543" r:id="rId12"/>
    <pivotCache cacheId="544" r:id="rId13"/>
    <pivotCache cacheId="545" r:id="rId14"/>
    <pivotCache cacheId="54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1" l="1"/>
  <c r="G4" i="11"/>
  <c r="D4" i="11"/>
  <c r="A4" i="11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J1001" i="4"/>
  <c r="K1001" i="4" s="1"/>
  <c r="J1000" i="4"/>
  <c r="K1000" i="4" s="1"/>
  <c r="J999" i="4"/>
  <c r="K999" i="4" s="1"/>
  <c r="J998" i="4"/>
  <c r="K998" i="4" s="1"/>
  <c r="J997" i="4"/>
  <c r="K997" i="4" s="1"/>
  <c r="J996" i="4"/>
  <c r="K996" i="4" s="1"/>
  <c r="J995" i="4"/>
  <c r="K995" i="4" s="1"/>
  <c r="J994" i="4"/>
  <c r="K994" i="4" s="1"/>
  <c r="J993" i="4"/>
  <c r="K993" i="4" s="1"/>
  <c r="J992" i="4"/>
  <c r="K992" i="4" s="1"/>
  <c r="J991" i="4"/>
  <c r="K991" i="4" s="1"/>
  <c r="J990" i="4"/>
  <c r="K990" i="4" s="1"/>
  <c r="J989" i="4"/>
  <c r="K989" i="4" s="1"/>
  <c r="J988" i="4"/>
  <c r="K988" i="4" s="1"/>
  <c r="J987" i="4"/>
  <c r="K987" i="4" s="1"/>
  <c r="J986" i="4"/>
  <c r="K986" i="4" s="1"/>
  <c r="J985" i="4"/>
  <c r="K985" i="4" s="1"/>
  <c r="J984" i="4"/>
  <c r="K984" i="4" s="1"/>
  <c r="J983" i="4"/>
  <c r="K983" i="4" s="1"/>
  <c r="J982" i="4"/>
  <c r="K982" i="4" s="1"/>
  <c r="J981" i="4"/>
  <c r="K981" i="4" s="1"/>
  <c r="J980" i="4"/>
  <c r="K980" i="4" s="1"/>
  <c r="J979" i="4"/>
  <c r="K979" i="4" s="1"/>
  <c r="J978" i="4"/>
  <c r="K978" i="4" s="1"/>
  <c r="J977" i="4"/>
  <c r="K977" i="4" s="1"/>
  <c r="J976" i="4"/>
  <c r="K976" i="4" s="1"/>
  <c r="J975" i="4"/>
  <c r="K975" i="4" s="1"/>
  <c r="J974" i="4"/>
  <c r="K974" i="4" s="1"/>
  <c r="J973" i="4"/>
  <c r="K973" i="4" s="1"/>
  <c r="J972" i="4"/>
  <c r="K972" i="4" s="1"/>
  <c r="J971" i="4"/>
  <c r="K971" i="4" s="1"/>
  <c r="J970" i="4"/>
  <c r="K970" i="4" s="1"/>
  <c r="J969" i="4"/>
  <c r="K969" i="4" s="1"/>
  <c r="J968" i="4"/>
  <c r="K968" i="4" s="1"/>
  <c r="J967" i="4"/>
  <c r="K967" i="4" s="1"/>
  <c r="J966" i="4"/>
  <c r="K966" i="4" s="1"/>
  <c r="J965" i="4"/>
  <c r="K965" i="4" s="1"/>
  <c r="J964" i="4"/>
  <c r="K964" i="4" s="1"/>
  <c r="J963" i="4"/>
  <c r="K963" i="4" s="1"/>
  <c r="J962" i="4"/>
  <c r="K962" i="4" s="1"/>
  <c r="J961" i="4"/>
  <c r="K961" i="4" s="1"/>
  <c r="J960" i="4"/>
  <c r="K960" i="4" s="1"/>
  <c r="J959" i="4"/>
  <c r="K959" i="4" s="1"/>
  <c r="J958" i="4"/>
  <c r="K958" i="4" s="1"/>
  <c r="J957" i="4"/>
  <c r="K957" i="4" s="1"/>
  <c r="J956" i="4"/>
  <c r="K956" i="4" s="1"/>
  <c r="J955" i="4"/>
  <c r="K955" i="4" s="1"/>
  <c r="J954" i="4"/>
  <c r="K954" i="4" s="1"/>
  <c r="J953" i="4"/>
  <c r="K953" i="4" s="1"/>
  <c r="J952" i="4"/>
  <c r="K952" i="4" s="1"/>
  <c r="J951" i="4"/>
  <c r="K951" i="4" s="1"/>
  <c r="J950" i="4"/>
  <c r="K950" i="4" s="1"/>
  <c r="J949" i="4"/>
  <c r="K949" i="4" s="1"/>
  <c r="J948" i="4"/>
  <c r="K948" i="4" s="1"/>
  <c r="J947" i="4"/>
  <c r="K947" i="4" s="1"/>
  <c r="J946" i="4"/>
  <c r="K946" i="4" s="1"/>
  <c r="J945" i="4"/>
  <c r="K945" i="4" s="1"/>
  <c r="J944" i="4"/>
  <c r="K944" i="4" s="1"/>
  <c r="J943" i="4"/>
  <c r="K943" i="4" s="1"/>
  <c r="J942" i="4"/>
  <c r="K942" i="4" s="1"/>
  <c r="J941" i="4"/>
  <c r="K941" i="4" s="1"/>
  <c r="J940" i="4"/>
  <c r="K940" i="4" s="1"/>
  <c r="J939" i="4"/>
  <c r="K939" i="4" s="1"/>
  <c r="J938" i="4"/>
  <c r="K938" i="4" s="1"/>
  <c r="J937" i="4"/>
  <c r="K937" i="4" s="1"/>
  <c r="J936" i="4"/>
  <c r="K936" i="4" s="1"/>
  <c r="J935" i="4"/>
  <c r="K935" i="4" s="1"/>
  <c r="J934" i="4"/>
  <c r="K934" i="4" s="1"/>
  <c r="J933" i="4"/>
  <c r="K933" i="4" s="1"/>
  <c r="J932" i="4"/>
  <c r="K932" i="4" s="1"/>
  <c r="J931" i="4"/>
  <c r="K931" i="4" s="1"/>
  <c r="J930" i="4"/>
  <c r="K930" i="4" s="1"/>
  <c r="J929" i="4"/>
  <c r="K929" i="4" s="1"/>
  <c r="J928" i="4"/>
  <c r="K928" i="4" s="1"/>
  <c r="J927" i="4"/>
  <c r="K927" i="4" s="1"/>
  <c r="J926" i="4"/>
  <c r="K926" i="4" s="1"/>
  <c r="J925" i="4"/>
  <c r="K925" i="4" s="1"/>
  <c r="J924" i="4"/>
  <c r="K924" i="4" s="1"/>
  <c r="J923" i="4"/>
  <c r="K923" i="4" s="1"/>
  <c r="J922" i="4"/>
  <c r="K922" i="4" s="1"/>
  <c r="J921" i="4"/>
  <c r="K921" i="4" s="1"/>
  <c r="J920" i="4"/>
  <c r="K920" i="4" s="1"/>
  <c r="J919" i="4"/>
  <c r="K919" i="4" s="1"/>
  <c r="J918" i="4"/>
  <c r="K918" i="4" s="1"/>
  <c r="J917" i="4"/>
  <c r="K917" i="4" s="1"/>
  <c r="J916" i="4"/>
  <c r="K916" i="4" s="1"/>
  <c r="J915" i="4"/>
  <c r="K915" i="4" s="1"/>
  <c r="J914" i="4"/>
  <c r="K914" i="4" s="1"/>
  <c r="J913" i="4"/>
  <c r="K913" i="4" s="1"/>
  <c r="J912" i="4"/>
  <c r="K912" i="4" s="1"/>
  <c r="J911" i="4"/>
  <c r="K911" i="4" s="1"/>
  <c r="J910" i="4"/>
  <c r="K910" i="4" s="1"/>
  <c r="J909" i="4"/>
  <c r="K909" i="4" s="1"/>
  <c r="J908" i="4"/>
  <c r="K908" i="4" s="1"/>
  <c r="J907" i="4"/>
  <c r="K907" i="4" s="1"/>
  <c r="J906" i="4"/>
  <c r="K906" i="4" s="1"/>
  <c r="J905" i="4"/>
  <c r="K905" i="4" s="1"/>
  <c r="J904" i="4"/>
  <c r="K904" i="4" s="1"/>
  <c r="J903" i="4"/>
  <c r="K903" i="4" s="1"/>
  <c r="J902" i="4"/>
  <c r="K902" i="4" s="1"/>
  <c r="J901" i="4"/>
  <c r="K901" i="4" s="1"/>
  <c r="J900" i="4"/>
  <c r="K900" i="4" s="1"/>
  <c r="J899" i="4"/>
  <c r="K899" i="4" s="1"/>
  <c r="J898" i="4"/>
  <c r="K898" i="4" s="1"/>
  <c r="J897" i="4"/>
  <c r="K897" i="4" s="1"/>
  <c r="J896" i="4"/>
  <c r="K896" i="4" s="1"/>
  <c r="J895" i="4"/>
  <c r="K895" i="4" s="1"/>
  <c r="J894" i="4"/>
  <c r="K894" i="4" s="1"/>
  <c r="J893" i="4"/>
  <c r="K893" i="4" s="1"/>
  <c r="J892" i="4"/>
  <c r="K892" i="4" s="1"/>
  <c r="J891" i="4"/>
  <c r="K891" i="4" s="1"/>
  <c r="J890" i="4"/>
  <c r="K890" i="4" s="1"/>
  <c r="J889" i="4"/>
  <c r="K889" i="4" s="1"/>
  <c r="J888" i="4"/>
  <c r="K888" i="4" s="1"/>
  <c r="J887" i="4"/>
  <c r="K887" i="4" s="1"/>
  <c r="J886" i="4"/>
  <c r="K886" i="4" s="1"/>
  <c r="J885" i="4"/>
  <c r="K885" i="4" s="1"/>
  <c r="J884" i="4"/>
  <c r="K884" i="4" s="1"/>
  <c r="J883" i="4"/>
  <c r="K883" i="4" s="1"/>
  <c r="J882" i="4"/>
  <c r="K882" i="4" s="1"/>
  <c r="J881" i="4"/>
  <c r="K881" i="4" s="1"/>
  <c r="J880" i="4"/>
  <c r="K880" i="4" s="1"/>
  <c r="J879" i="4"/>
  <c r="K879" i="4" s="1"/>
  <c r="J878" i="4"/>
  <c r="K878" i="4" s="1"/>
  <c r="J877" i="4"/>
  <c r="K877" i="4" s="1"/>
  <c r="J876" i="4"/>
  <c r="K876" i="4" s="1"/>
  <c r="J875" i="4"/>
  <c r="K875" i="4" s="1"/>
  <c r="J874" i="4"/>
  <c r="K874" i="4" s="1"/>
  <c r="J873" i="4"/>
  <c r="K873" i="4" s="1"/>
  <c r="J872" i="4"/>
  <c r="K872" i="4" s="1"/>
  <c r="J871" i="4"/>
  <c r="K871" i="4" s="1"/>
  <c r="J870" i="4"/>
  <c r="K870" i="4" s="1"/>
  <c r="J869" i="4"/>
  <c r="K869" i="4" s="1"/>
  <c r="J868" i="4"/>
  <c r="K868" i="4" s="1"/>
  <c r="J867" i="4"/>
  <c r="K867" i="4" s="1"/>
  <c r="J866" i="4"/>
  <c r="K866" i="4" s="1"/>
  <c r="J865" i="4"/>
  <c r="K865" i="4" s="1"/>
  <c r="J864" i="4"/>
  <c r="K864" i="4" s="1"/>
  <c r="J863" i="4"/>
  <c r="K863" i="4" s="1"/>
  <c r="J862" i="4"/>
  <c r="K862" i="4" s="1"/>
  <c r="J861" i="4"/>
  <c r="K861" i="4" s="1"/>
  <c r="J860" i="4"/>
  <c r="K860" i="4" s="1"/>
  <c r="J859" i="4"/>
  <c r="K859" i="4" s="1"/>
  <c r="J858" i="4"/>
  <c r="K858" i="4" s="1"/>
  <c r="J857" i="4"/>
  <c r="K857" i="4" s="1"/>
  <c r="J856" i="4"/>
  <c r="K856" i="4" s="1"/>
  <c r="J855" i="4"/>
  <c r="K855" i="4" s="1"/>
  <c r="J854" i="4"/>
  <c r="K854" i="4" s="1"/>
  <c r="J853" i="4"/>
  <c r="K853" i="4" s="1"/>
  <c r="J852" i="4"/>
  <c r="K852" i="4" s="1"/>
  <c r="J851" i="4"/>
  <c r="K851" i="4" s="1"/>
  <c r="J850" i="4"/>
  <c r="K850" i="4" s="1"/>
  <c r="J849" i="4"/>
  <c r="K849" i="4" s="1"/>
  <c r="J848" i="4"/>
  <c r="K848" i="4" s="1"/>
  <c r="J847" i="4"/>
  <c r="K847" i="4" s="1"/>
  <c r="J846" i="4"/>
  <c r="K846" i="4" s="1"/>
  <c r="J845" i="4"/>
  <c r="K845" i="4" s="1"/>
  <c r="J844" i="4"/>
  <c r="K844" i="4" s="1"/>
  <c r="J843" i="4"/>
  <c r="K843" i="4" s="1"/>
  <c r="J842" i="4"/>
  <c r="K842" i="4" s="1"/>
  <c r="J841" i="4"/>
  <c r="K841" i="4" s="1"/>
  <c r="J840" i="4"/>
  <c r="K840" i="4" s="1"/>
  <c r="J839" i="4"/>
  <c r="K839" i="4" s="1"/>
  <c r="J838" i="4"/>
  <c r="K838" i="4" s="1"/>
  <c r="J837" i="4"/>
  <c r="K837" i="4" s="1"/>
  <c r="J836" i="4"/>
  <c r="K836" i="4" s="1"/>
  <c r="J835" i="4"/>
  <c r="K835" i="4" s="1"/>
  <c r="J834" i="4"/>
  <c r="K834" i="4" s="1"/>
  <c r="J833" i="4"/>
  <c r="K833" i="4" s="1"/>
  <c r="J832" i="4"/>
  <c r="K832" i="4" s="1"/>
  <c r="J831" i="4"/>
  <c r="K831" i="4" s="1"/>
  <c r="J830" i="4"/>
  <c r="K830" i="4" s="1"/>
  <c r="J829" i="4"/>
  <c r="K829" i="4" s="1"/>
  <c r="J828" i="4"/>
  <c r="K828" i="4" s="1"/>
  <c r="J827" i="4"/>
  <c r="K827" i="4" s="1"/>
  <c r="J826" i="4"/>
  <c r="K826" i="4" s="1"/>
  <c r="J825" i="4"/>
  <c r="K825" i="4" s="1"/>
  <c r="J824" i="4"/>
  <c r="K824" i="4" s="1"/>
  <c r="J823" i="4"/>
  <c r="K823" i="4" s="1"/>
  <c r="J822" i="4"/>
  <c r="K822" i="4" s="1"/>
  <c r="J821" i="4"/>
  <c r="K821" i="4" s="1"/>
  <c r="J820" i="4"/>
  <c r="K820" i="4" s="1"/>
  <c r="J819" i="4"/>
  <c r="K819" i="4" s="1"/>
  <c r="J818" i="4"/>
  <c r="K818" i="4" s="1"/>
  <c r="J817" i="4"/>
  <c r="K817" i="4" s="1"/>
  <c r="J816" i="4"/>
  <c r="K816" i="4" s="1"/>
  <c r="J815" i="4"/>
  <c r="K815" i="4" s="1"/>
  <c r="J814" i="4"/>
  <c r="K814" i="4" s="1"/>
  <c r="J813" i="4"/>
  <c r="K813" i="4" s="1"/>
  <c r="J812" i="4"/>
  <c r="K812" i="4" s="1"/>
  <c r="J811" i="4"/>
  <c r="K811" i="4" s="1"/>
  <c r="J810" i="4"/>
  <c r="K810" i="4" s="1"/>
  <c r="J809" i="4"/>
  <c r="K809" i="4" s="1"/>
  <c r="J808" i="4"/>
  <c r="K808" i="4" s="1"/>
  <c r="J807" i="4"/>
  <c r="K807" i="4" s="1"/>
  <c r="J806" i="4"/>
  <c r="K806" i="4" s="1"/>
  <c r="J805" i="4"/>
  <c r="K805" i="4" s="1"/>
  <c r="J804" i="4"/>
  <c r="K804" i="4" s="1"/>
  <c r="J803" i="4"/>
  <c r="K803" i="4" s="1"/>
  <c r="J802" i="4"/>
  <c r="K802" i="4" s="1"/>
  <c r="J801" i="4"/>
  <c r="K801" i="4" s="1"/>
  <c r="J800" i="4"/>
  <c r="K800" i="4" s="1"/>
  <c r="J799" i="4"/>
  <c r="K799" i="4" s="1"/>
  <c r="J798" i="4"/>
  <c r="K798" i="4" s="1"/>
  <c r="J797" i="4"/>
  <c r="K797" i="4" s="1"/>
  <c r="J796" i="4"/>
  <c r="K796" i="4" s="1"/>
  <c r="J795" i="4"/>
  <c r="K795" i="4" s="1"/>
  <c r="J794" i="4"/>
  <c r="K794" i="4" s="1"/>
  <c r="J793" i="4"/>
  <c r="K793" i="4" s="1"/>
  <c r="J792" i="4"/>
  <c r="K792" i="4" s="1"/>
  <c r="J791" i="4"/>
  <c r="K791" i="4" s="1"/>
  <c r="J790" i="4"/>
  <c r="K790" i="4" s="1"/>
  <c r="J789" i="4"/>
  <c r="K789" i="4" s="1"/>
  <c r="J788" i="4"/>
  <c r="K788" i="4" s="1"/>
  <c r="J787" i="4"/>
  <c r="K787" i="4" s="1"/>
  <c r="J786" i="4"/>
  <c r="K786" i="4" s="1"/>
  <c r="J785" i="4"/>
  <c r="K785" i="4" s="1"/>
  <c r="J784" i="4"/>
  <c r="K784" i="4" s="1"/>
  <c r="J783" i="4"/>
  <c r="K783" i="4" s="1"/>
  <c r="J782" i="4"/>
  <c r="K782" i="4" s="1"/>
  <c r="J781" i="4"/>
  <c r="K781" i="4" s="1"/>
  <c r="J780" i="4"/>
  <c r="K780" i="4" s="1"/>
  <c r="J779" i="4"/>
  <c r="K779" i="4" s="1"/>
  <c r="J778" i="4"/>
  <c r="K778" i="4" s="1"/>
  <c r="J777" i="4"/>
  <c r="K777" i="4" s="1"/>
  <c r="J776" i="4"/>
  <c r="K776" i="4" s="1"/>
  <c r="J775" i="4"/>
  <c r="K775" i="4" s="1"/>
  <c r="J774" i="4"/>
  <c r="K774" i="4" s="1"/>
  <c r="J773" i="4"/>
  <c r="K773" i="4" s="1"/>
  <c r="J772" i="4"/>
  <c r="K772" i="4" s="1"/>
  <c r="J771" i="4"/>
  <c r="K771" i="4" s="1"/>
  <c r="J770" i="4"/>
  <c r="K770" i="4" s="1"/>
  <c r="J769" i="4"/>
  <c r="K769" i="4" s="1"/>
  <c r="J768" i="4"/>
  <c r="K768" i="4" s="1"/>
  <c r="J767" i="4"/>
  <c r="K767" i="4" s="1"/>
  <c r="J766" i="4"/>
  <c r="K766" i="4" s="1"/>
  <c r="J765" i="4"/>
  <c r="K765" i="4" s="1"/>
  <c r="J764" i="4"/>
  <c r="K764" i="4" s="1"/>
  <c r="J763" i="4"/>
  <c r="K763" i="4" s="1"/>
  <c r="J762" i="4"/>
  <c r="K762" i="4" s="1"/>
  <c r="J761" i="4"/>
  <c r="K761" i="4" s="1"/>
  <c r="J760" i="4"/>
  <c r="K760" i="4" s="1"/>
  <c r="J759" i="4"/>
  <c r="K759" i="4" s="1"/>
  <c r="J758" i="4"/>
  <c r="K758" i="4" s="1"/>
  <c r="J757" i="4"/>
  <c r="K757" i="4" s="1"/>
  <c r="J756" i="4"/>
  <c r="K756" i="4" s="1"/>
  <c r="J755" i="4"/>
  <c r="K755" i="4" s="1"/>
  <c r="J754" i="4"/>
  <c r="K754" i="4" s="1"/>
  <c r="J753" i="4"/>
  <c r="K753" i="4" s="1"/>
  <c r="J752" i="4"/>
  <c r="K752" i="4" s="1"/>
  <c r="J751" i="4"/>
  <c r="K751" i="4" s="1"/>
  <c r="J750" i="4"/>
  <c r="K750" i="4" s="1"/>
  <c r="J749" i="4"/>
  <c r="K749" i="4" s="1"/>
  <c r="J748" i="4"/>
  <c r="K748" i="4" s="1"/>
  <c r="J747" i="4"/>
  <c r="K747" i="4" s="1"/>
  <c r="J746" i="4"/>
  <c r="K746" i="4" s="1"/>
  <c r="J745" i="4"/>
  <c r="K745" i="4" s="1"/>
  <c r="J744" i="4"/>
  <c r="K744" i="4" s="1"/>
  <c r="J743" i="4"/>
  <c r="K743" i="4" s="1"/>
  <c r="J742" i="4"/>
  <c r="K742" i="4" s="1"/>
  <c r="J741" i="4"/>
  <c r="K741" i="4" s="1"/>
  <c r="J740" i="4"/>
  <c r="K740" i="4" s="1"/>
  <c r="J739" i="4"/>
  <c r="K739" i="4" s="1"/>
  <c r="J738" i="4"/>
  <c r="K738" i="4" s="1"/>
  <c r="J737" i="4"/>
  <c r="K737" i="4" s="1"/>
  <c r="J736" i="4"/>
  <c r="K736" i="4" s="1"/>
  <c r="J735" i="4"/>
  <c r="K735" i="4" s="1"/>
  <c r="J734" i="4"/>
  <c r="K734" i="4" s="1"/>
  <c r="J733" i="4"/>
  <c r="K733" i="4" s="1"/>
  <c r="J732" i="4"/>
  <c r="K732" i="4" s="1"/>
  <c r="J731" i="4"/>
  <c r="K731" i="4" s="1"/>
  <c r="J730" i="4"/>
  <c r="K730" i="4" s="1"/>
  <c r="J729" i="4"/>
  <c r="K729" i="4" s="1"/>
  <c r="J728" i="4"/>
  <c r="K728" i="4" s="1"/>
  <c r="J727" i="4"/>
  <c r="K727" i="4" s="1"/>
  <c r="J726" i="4"/>
  <c r="K726" i="4" s="1"/>
  <c r="J725" i="4"/>
  <c r="K725" i="4" s="1"/>
  <c r="J724" i="4"/>
  <c r="K724" i="4" s="1"/>
  <c r="J723" i="4"/>
  <c r="K723" i="4" s="1"/>
  <c r="J722" i="4"/>
  <c r="K722" i="4" s="1"/>
  <c r="J721" i="4"/>
  <c r="K721" i="4" s="1"/>
  <c r="J720" i="4"/>
  <c r="K720" i="4" s="1"/>
  <c r="J719" i="4"/>
  <c r="K719" i="4" s="1"/>
  <c r="J718" i="4"/>
  <c r="K718" i="4" s="1"/>
  <c r="J717" i="4"/>
  <c r="K717" i="4" s="1"/>
  <c r="J716" i="4"/>
  <c r="K716" i="4" s="1"/>
  <c r="J715" i="4"/>
  <c r="K715" i="4" s="1"/>
  <c r="J714" i="4"/>
  <c r="K714" i="4" s="1"/>
  <c r="J713" i="4"/>
  <c r="K713" i="4" s="1"/>
  <c r="J712" i="4"/>
  <c r="K712" i="4" s="1"/>
  <c r="J711" i="4"/>
  <c r="K711" i="4" s="1"/>
  <c r="J710" i="4"/>
  <c r="K710" i="4" s="1"/>
  <c r="J709" i="4"/>
  <c r="K709" i="4" s="1"/>
  <c r="J708" i="4"/>
  <c r="K708" i="4" s="1"/>
  <c r="J707" i="4"/>
  <c r="K707" i="4" s="1"/>
  <c r="J706" i="4"/>
  <c r="K706" i="4" s="1"/>
  <c r="J705" i="4"/>
  <c r="K705" i="4" s="1"/>
  <c r="J704" i="4"/>
  <c r="K704" i="4" s="1"/>
  <c r="J703" i="4"/>
  <c r="K703" i="4" s="1"/>
  <c r="J702" i="4"/>
  <c r="K702" i="4" s="1"/>
  <c r="J701" i="4"/>
  <c r="K701" i="4" s="1"/>
  <c r="J700" i="4"/>
  <c r="K700" i="4" s="1"/>
  <c r="J699" i="4"/>
  <c r="K699" i="4" s="1"/>
  <c r="J698" i="4"/>
  <c r="K698" i="4" s="1"/>
  <c r="J697" i="4"/>
  <c r="K697" i="4" s="1"/>
  <c r="J696" i="4"/>
  <c r="K696" i="4" s="1"/>
  <c r="J695" i="4"/>
  <c r="K695" i="4" s="1"/>
  <c r="J694" i="4"/>
  <c r="K694" i="4" s="1"/>
  <c r="J693" i="4"/>
  <c r="K693" i="4" s="1"/>
  <c r="J692" i="4"/>
  <c r="K692" i="4" s="1"/>
  <c r="J691" i="4"/>
  <c r="K691" i="4" s="1"/>
  <c r="J690" i="4"/>
  <c r="K690" i="4" s="1"/>
  <c r="J689" i="4"/>
  <c r="K689" i="4" s="1"/>
  <c r="J688" i="4"/>
  <c r="K688" i="4" s="1"/>
  <c r="J687" i="4"/>
  <c r="K687" i="4" s="1"/>
  <c r="J686" i="4"/>
  <c r="K686" i="4" s="1"/>
  <c r="J685" i="4"/>
  <c r="K685" i="4" s="1"/>
  <c r="J684" i="4"/>
  <c r="K684" i="4" s="1"/>
  <c r="J683" i="4"/>
  <c r="K683" i="4" s="1"/>
  <c r="J682" i="4"/>
  <c r="K682" i="4" s="1"/>
  <c r="J681" i="4"/>
  <c r="K681" i="4" s="1"/>
  <c r="J680" i="4"/>
  <c r="K680" i="4" s="1"/>
  <c r="J679" i="4"/>
  <c r="K679" i="4" s="1"/>
  <c r="J678" i="4"/>
  <c r="K678" i="4" s="1"/>
  <c r="J677" i="4"/>
  <c r="K677" i="4" s="1"/>
  <c r="J676" i="4"/>
  <c r="K676" i="4" s="1"/>
  <c r="J675" i="4"/>
  <c r="K675" i="4" s="1"/>
  <c r="J674" i="4"/>
  <c r="K674" i="4" s="1"/>
  <c r="J673" i="4"/>
  <c r="K673" i="4" s="1"/>
  <c r="J672" i="4"/>
  <c r="K672" i="4" s="1"/>
  <c r="J671" i="4"/>
  <c r="K671" i="4" s="1"/>
  <c r="J670" i="4"/>
  <c r="K670" i="4" s="1"/>
  <c r="J669" i="4"/>
  <c r="K669" i="4" s="1"/>
  <c r="J668" i="4"/>
  <c r="K668" i="4" s="1"/>
  <c r="J667" i="4"/>
  <c r="K667" i="4" s="1"/>
  <c r="J666" i="4"/>
  <c r="K666" i="4" s="1"/>
  <c r="J665" i="4"/>
  <c r="K665" i="4" s="1"/>
  <c r="J664" i="4"/>
  <c r="K664" i="4" s="1"/>
  <c r="J663" i="4"/>
  <c r="K663" i="4" s="1"/>
  <c r="J662" i="4"/>
  <c r="K662" i="4" s="1"/>
  <c r="J661" i="4"/>
  <c r="K661" i="4" s="1"/>
  <c r="J660" i="4"/>
  <c r="K660" i="4" s="1"/>
  <c r="J659" i="4"/>
  <c r="K659" i="4" s="1"/>
  <c r="J658" i="4"/>
  <c r="K658" i="4" s="1"/>
  <c r="J657" i="4"/>
  <c r="K657" i="4" s="1"/>
  <c r="J656" i="4"/>
  <c r="K656" i="4" s="1"/>
  <c r="J655" i="4"/>
  <c r="K655" i="4" s="1"/>
  <c r="J654" i="4"/>
  <c r="K654" i="4" s="1"/>
  <c r="J653" i="4"/>
  <c r="K653" i="4" s="1"/>
  <c r="J652" i="4"/>
  <c r="K652" i="4" s="1"/>
  <c r="J651" i="4"/>
  <c r="K651" i="4" s="1"/>
  <c r="J650" i="4"/>
  <c r="K650" i="4" s="1"/>
  <c r="J649" i="4"/>
  <c r="K649" i="4" s="1"/>
  <c r="J648" i="4"/>
  <c r="K648" i="4" s="1"/>
  <c r="J647" i="4"/>
  <c r="K647" i="4" s="1"/>
  <c r="J646" i="4"/>
  <c r="K646" i="4" s="1"/>
  <c r="J645" i="4"/>
  <c r="K645" i="4" s="1"/>
  <c r="J644" i="4"/>
  <c r="K644" i="4" s="1"/>
  <c r="J643" i="4"/>
  <c r="K643" i="4" s="1"/>
  <c r="J642" i="4"/>
  <c r="K642" i="4" s="1"/>
  <c r="J641" i="4"/>
  <c r="K641" i="4" s="1"/>
  <c r="J640" i="4"/>
  <c r="K640" i="4" s="1"/>
  <c r="J639" i="4"/>
  <c r="K639" i="4" s="1"/>
  <c r="J638" i="4"/>
  <c r="K638" i="4" s="1"/>
  <c r="J637" i="4"/>
  <c r="K637" i="4" s="1"/>
  <c r="J636" i="4"/>
  <c r="K636" i="4" s="1"/>
  <c r="J635" i="4"/>
  <c r="K635" i="4" s="1"/>
  <c r="J634" i="4"/>
  <c r="K634" i="4" s="1"/>
  <c r="J633" i="4"/>
  <c r="K633" i="4" s="1"/>
  <c r="J632" i="4"/>
  <c r="K632" i="4" s="1"/>
  <c r="J631" i="4"/>
  <c r="K631" i="4" s="1"/>
  <c r="J630" i="4"/>
  <c r="K630" i="4" s="1"/>
  <c r="J629" i="4"/>
  <c r="K629" i="4" s="1"/>
  <c r="J628" i="4"/>
  <c r="K628" i="4" s="1"/>
  <c r="J627" i="4"/>
  <c r="K627" i="4" s="1"/>
  <c r="J626" i="4"/>
  <c r="K626" i="4" s="1"/>
  <c r="J625" i="4"/>
  <c r="K625" i="4" s="1"/>
  <c r="J624" i="4"/>
  <c r="K624" i="4" s="1"/>
  <c r="J623" i="4"/>
  <c r="K623" i="4" s="1"/>
  <c r="J622" i="4"/>
  <c r="K622" i="4" s="1"/>
  <c r="J621" i="4"/>
  <c r="K621" i="4" s="1"/>
  <c r="J620" i="4"/>
  <c r="K620" i="4" s="1"/>
  <c r="J619" i="4"/>
  <c r="K619" i="4" s="1"/>
  <c r="J618" i="4"/>
  <c r="K618" i="4" s="1"/>
  <c r="J617" i="4"/>
  <c r="K617" i="4" s="1"/>
  <c r="J616" i="4"/>
  <c r="K616" i="4" s="1"/>
  <c r="J615" i="4"/>
  <c r="K615" i="4" s="1"/>
  <c r="J614" i="4"/>
  <c r="K614" i="4" s="1"/>
  <c r="J613" i="4"/>
  <c r="K613" i="4" s="1"/>
  <c r="J612" i="4"/>
  <c r="K612" i="4" s="1"/>
  <c r="J611" i="4"/>
  <c r="K611" i="4" s="1"/>
  <c r="J610" i="4"/>
  <c r="K610" i="4" s="1"/>
  <c r="J609" i="4"/>
  <c r="K609" i="4" s="1"/>
  <c r="J608" i="4"/>
  <c r="K608" i="4" s="1"/>
  <c r="J607" i="4"/>
  <c r="K607" i="4" s="1"/>
  <c r="J606" i="4"/>
  <c r="K606" i="4" s="1"/>
  <c r="J605" i="4"/>
  <c r="K605" i="4" s="1"/>
  <c r="J604" i="4"/>
  <c r="K604" i="4" s="1"/>
  <c r="J603" i="4"/>
  <c r="K603" i="4" s="1"/>
  <c r="J602" i="4"/>
  <c r="K602" i="4" s="1"/>
  <c r="J601" i="4"/>
  <c r="K601" i="4" s="1"/>
  <c r="J600" i="4"/>
  <c r="K600" i="4" s="1"/>
  <c r="J599" i="4"/>
  <c r="K599" i="4" s="1"/>
  <c r="J598" i="4"/>
  <c r="K598" i="4" s="1"/>
  <c r="J597" i="4"/>
  <c r="K597" i="4" s="1"/>
  <c r="J596" i="4"/>
  <c r="K596" i="4" s="1"/>
  <c r="J595" i="4"/>
  <c r="K595" i="4" s="1"/>
  <c r="J594" i="4"/>
  <c r="K594" i="4" s="1"/>
  <c r="J593" i="4"/>
  <c r="K593" i="4" s="1"/>
  <c r="J592" i="4"/>
  <c r="K592" i="4" s="1"/>
  <c r="J591" i="4"/>
  <c r="K591" i="4" s="1"/>
  <c r="J590" i="4"/>
  <c r="K590" i="4" s="1"/>
  <c r="J589" i="4"/>
  <c r="K589" i="4" s="1"/>
  <c r="J588" i="4"/>
  <c r="K588" i="4" s="1"/>
  <c r="J587" i="4"/>
  <c r="K587" i="4" s="1"/>
  <c r="J586" i="4"/>
  <c r="K586" i="4" s="1"/>
  <c r="J585" i="4"/>
  <c r="K585" i="4" s="1"/>
  <c r="J584" i="4"/>
  <c r="K584" i="4" s="1"/>
  <c r="J583" i="4"/>
  <c r="K583" i="4" s="1"/>
  <c r="J582" i="4"/>
  <c r="K582" i="4" s="1"/>
  <c r="J581" i="4"/>
  <c r="K581" i="4" s="1"/>
  <c r="J580" i="4"/>
  <c r="K580" i="4" s="1"/>
  <c r="J579" i="4"/>
  <c r="K579" i="4" s="1"/>
  <c r="J578" i="4"/>
  <c r="K578" i="4" s="1"/>
  <c r="J577" i="4"/>
  <c r="K577" i="4" s="1"/>
  <c r="J576" i="4"/>
  <c r="K576" i="4" s="1"/>
  <c r="J575" i="4"/>
  <c r="K575" i="4" s="1"/>
  <c r="J574" i="4"/>
  <c r="K574" i="4" s="1"/>
  <c r="J573" i="4"/>
  <c r="K573" i="4" s="1"/>
  <c r="J572" i="4"/>
  <c r="K572" i="4" s="1"/>
  <c r="J571" i="4"/>
  <c r="K571" i="4" s="1"/>
  <c r="J570" i="4"/>
  <c r="K570" i="4" s="1"/>
  <c r="J569" i="4"/>
  <c r="K569" i="4" s="1"/>
  <c r="J568" i="4"/>
  <c r="K568" i="4" s="1"/>
  <c r="J567" i="4"/>
  <c r="K567" i="4" s="1"/>
  <c r="J566" i="4"/>
  <c r="K566" i="4" s="1"/>
  <c r="J565" i="4"/>
  <c r="K565" i="4" s="1"/>
  <c r="J564" i="4"/>
  <c r="K564" i="4" s="1"/>
  <c r="J563" i="4"/>
  <c r="K563" i="4" s="1"/>
  <c r="J562" i="4"/>
  <c r="K562" i="4" s="1"/>
  <c r="J561" i="4"/>
  <c r="K561" i="4" s="1"/>
  <c r="J560" i="4"/>
  <c r="K560" i="4" s="1"/>
  <c r="J559" i="4"/>
  <c r="K559" i="4" s="1"/>
  <c r="J558" i="4"/>
  <c r="K558" i="4" s="1"/>
  <c r="J557" i="4"/>
  <c r="K557" i="4" s="1"/>
  <c r="J556" i="4"/>
  <c r="K556" i="4" s="1"/>
  <c r="J555" i="4"/>
  <c r="K555" i="4" s="1"/>
  <c r="J554" i="4"/>
  <c r="K554" i="4" s="1"/>
  <c r="J553" i="4"/>
  <c r="K553" i="4" s="1"/>
  <c r="J552" i="4"/>
  <c r="K552" i="4" s="1"/>
  <c r="J551" i="4"/>
  <c r="K551" i="4" s="1"/>
  <c r="J550" i="4"/>
  <c r="K550" i="4" s="1"/>
  <c r="J549" i="4"/>
  <c r="K549" i="4" s="1"/>
  <c r="J548" i="4"/>
  <c r="K548" i="4" s="1"/>
  <c r="J547" i="4"/>
  <c r="K547" i="4" s="1"/>
  <c r="J546" i="4"/>
  <c r="K546" i="4" s="1"/>
  <c r="J545" i="4"/>
  <c r="K545" i="4" s="1"/>
  <c r="J544" i="4"/>
  <c r="K544" i="4" s="1"/>
  <c r="J543" i="4"/>
  <c r="K543" i="4" s="1"/>
  <c r="J542" i="4"/>
  <c r="K542" i="4" s="1"/>
  <c r="J541" i="4"/>
  <c r="K541" i="4" s="1"/>
  <c r="J540" i="4"/>
  <c r="K540" i="4" s="1"/>
  <c r="J539" i="4"/>
  <c r="K539" i="4" s="1"/>
  <c r="J538" i="4"/>
  <c r="K538" i="4" s="1"/>
  <c r="J537" i="4"/>
  <c r="K537" i="4" s="1"/>
  <c r="J536" i="4"/>
  <c r="K536" i="4" s="1"/>
  <c r="J535" i="4"/>
  <c r="K535" i="4" s="1"/>
  <c r="J534" i="4"/>
  <c r="K534" i="4" s="1"/>
  <c r="J533" i="4"/>
  <c r="K533" i="4" s="1"/>
  <c r="J532" i="4"/>
  <c r="K532" i="4" s="1"/>
  <c r="J531" i="4"/>
  <c r="K531" i="4" s="1"/>
  <c r="J530" i="4"/>
  <c r="K530" i="4" s="1"/>
  <c r="J529" i="4"/>
  <c r="K529" i="4" s="1"/>
  <c r="J528" i="4"/>
  <c r="K528" i="4" s="1"/>
  <c r="J527" i="4"/>
  <c r="K527" i="4" s="1"/>
  <c r="J526" i="4"/>
  <c r="K526" i="4" s="1"/>
  <c r="J525" i="4"/>
  <c r="K525" i="4" s="1"/>
  <c r="J524" i="4"/>
  <c r="K524" i="4" s="1"/>
  <c r="J523" i="4"/>
  <c r="K523" i="4" s="1"/>
  <c r="J522" i="4"/>
  <c r="K522" i="4" s="1"/>
  <c r="J521" i="4"/>
  <c r="K521" i="4" s="1"/>
  <c r="J520" i="4"/>
  <c r="K520" i="4" s="1"/>
  <c r="J519" i="4"/>
  <c r="K519" i="4" s="1"/>
  <c r="J518" i="4"/>
  <c r="K518" i="4" s="1"/>
  <c r="J517" i="4"/>
  <c r="K517" i="4" s="1"/>
  <c r="J516" i="4"/>
  <c r="K516" i="4" s="1"/>
  <c r="J515" i="4"/>
  <c r="K515" i="4" s="1"/>
  <c r="J514" i="4"/>
  <c r="K514" i="4" s="1"/>
  <c r="J513" i="4"/>
  <c r="K513" i="4" s="1"/>
  <c r="J512" i="4"/>
  <c r="K512" i="4" s="1"/>
  <c r="J511" i="4"/>
  <c r="K511" i="4" s="1"/>
  <c r="J510" i="4"/>
  <c r="K510" i="4" s="1"/>
  <c r="J509" i="4"/>
  <c r="K509" i="4" s="1"/>
  <c r="J508" i="4"/>
  <c r="K508" i="4" s="1"/>
  <c r="J507" i="4"/>
  <c r="K507" i="4" s="1"/>
  <c r="J506" i="4"/>
  <c r="K506" i="4" s="1"/>
  <c r="J505" i="4"/>
  <c r="K505" i="4" s="1"/>
  <c r="J504" i="4"/>
  <c r="K504" i="4" s="1"/>
  <c r="J503" i="4"/>
  <c r="K503" i="4" s="1"/>
  <c r="J502" i="4"/>
  <c r="K502" i="4" s="1"/>
  <c r="J501" i="4"/>
  <c r="K501" i="4" s="1"/>
  <c r="J500" i="4"/>
  <c r="K500" i="4" s="1"/>
  <c r="J499" i="4"/>
  <c r="K499" i="4" s="1"/>
  <c r="J498" i="4"/>
  <c r="K498" i="4" s="1"/>
  <c r="J497" i="4"/>
  <c r="K497" i="4" s="1"/>
  <c r="J496" i="4"/>
  <c r="K496" i="4" s="1"/>
  <c r="J495" i="4"/>
  <c r="K495" i="4" s="1"/>
  <c r="J494" i="4"/>
  <c r="K494" i="4" s="1"/>
  <c r="J493" i="4"/>
  <c r="K493" i="4" s="1"/>
  <c r="J492" i="4"/>
  <c r="K492" i="4" s="1"/>
  <c r="J491" i="4"/>
  <c r="K491" i="4" s="1"/>
  <c r="J490" i="4"/>
  <c r="K490" i="4" s="1"/>
  <c r="J489" i="4"/>
  <c r="K489" i="4" s="1"/>
  <c r="J488" i="4"/>
  <c r="K488" i="4" s="1"/>
  <c r="J487" i="4"/>
  <c r="K487" i="4" s="1"/>
  <c r="J486" i="4"/>
  <c r="K486" i="4" s="1"/>
  <c r="J485" i="4"/>
  <c r="K485" i="4" s="1"/>
  <c r="J484" i="4"/>
  <c r="K484" i="4" s="1"/>
  <c r="J483" i="4"/>
  <c r="K483" i="4" s="1"/>
  <c r="J482" i="4"/>
  <c r="K482" i="4" s="1"/>
  <c r="J481" i="4"/>
  <c r="K481" i="4" s="1"/>
  <c r="J480" i="4"/>
  <c r="K480" i="4" s="1"/>
  <c r="J479" i="4"/>
  <c r="K479" i="4" s="1"/>
  <c r="J478" i="4"/>
  <c r="K478" i="4" s="1"/>
  <c r="J477" i="4"/>
  <c r="K477" i="4" s="1"/>
  <c r="J476" i="4"/>
  <c r="K476" i="4" s="1"/>
  <c r="J475" i="4"/>
  <c r="K475" i="4" s="1"/>
  <c r="J474" i="4"/>
  <c r="K474" i="4" s="1"/>
  <c r="J473" i="4"/>
  <c r="K473" i="4" s="1"/>
  <c r="J472" i="4"/>
  <c r="K472" i="4" s="1"/>
  <c r="J471" i="4"/>
  <c r="K471" i="4" s="1"/>
  <c r="J470" i="4"/>
  <c r="K470" i="4" s="1"/>
  <c r="J469" i="4"/>
  <c r="K469" i="4" s="1"/>
  <c r="J468" i="4"/>
  <c r="K468" i="4" s="1"/>
  <c r="J467" i="4"/>
  <c r="K467" i="4" s="1"/>
  <c r="J466" i="4"/>
  <c r="K466" i="4" s="1"/>
  <c r="J465" i="4"/>
  <c r="K465" i="4" s="1"/>
  <c r="J464" i="4"/>
  <c r="K464" i="4" s="1"/>
  <c r="J463" i="4"/>
  <c r="K463" i="4" s="1"/>
  <c r="J462" i="4"/>
  <c r="K462" i="4" s="1"/>
  <c r="J461" i="4"/>
  <c r="K461" i="4" s="1"/>
  <c r="J460" i="4"/>
  <c r="K460" i="4" s="1"/>
  <c r="J459" i="4"/>
  <c r="K459" i="4" s="1"/>
  <c r="J458" i="4"/>
  <c r="K458" i="4" s="1"/>
  <c r="J457" i="4"/>
  <c r="K457" i="4" s="1"/>
  <c r="J456" i="4"/>
  <c r="K456" i="4" s="1"/>
  <c r="J455" i="4"/>
  <c r="K455" i="4" s="1"/>
  <c r="J454" i="4"/>
  <c r="K454" i="4" s="1"/>
  <c r="J453" i="4"/>
  <c r="K453" i="4" s="1"/>
  <c r="J452" i="4"/>
  <c r="K452" i="4" s="1"/>
  <c r="J451" i="4"/>
  <c r="K451" i="4" s="1"/>
  <c r="J450" i="4"/>
  <c r="K450" i="4" s="1"/>
  <c r="J449" i="4"/>
  <c r="K449" i="4" s="1"/>
  <c r="J448" i="4"/>
  <c r="K448" i="4" s="1"/>
  <c r="J447" i="4"/>
  <c r="K447" i="4" s="1"/>
  <c r="J446" i="4"/>
  <c r="K446" i="4" s="1"/>
  <c r="J445" i="4"/>
  <c r="K445" i="4" s="1"/>
  <c r="J444" i="4"/>
  <c r="K444" i="4" s="1"/>
  <c r="J443" i="4"/>
  <c r="K443" i="4" s="1"/>
  <c r="J442" i="4"/>
  <c r="K442" i="4" s="1"/>
  <c r="J441" i="4"/>
  <c r="K441" i="4" s="1"/>
  <c r="J440" i="4"/>
  <c r="K440" i="4" s="1"/>
  <c r="J439" i="4"/>
  <c r="K439" i="4" s="1"/>
  <c r="J438" i="4"/>
  <c r="K438" i="4" s="1"/>
  <c r="J437" i="4"/>
  <c r="K437" i="4" s="1"/>
  <c r="J436" i="4"/>
  <c r="K436" i="4" s="1"/>
  <c r="J435" i="4"/>
  <c r="K435" i="4" s="1"/>
  <c r="J434" i="4"/>
  <c r="K434" i="4" s="1"/>
  <c r="J433" i="4"/>
  <c r="K433" i="4" s="1"/>
  <c r="J432" i="4"/>
  <c r="K432" i="4" s="1"/>
  <c r="J431" i="4"/>
  <c r="K431" i="4" s="1"/>
  <c r="J430" i="4"/>
  <c r="K430" i="4" s="1"/>
  <c r="J429" i="4"/>
  <c r="K429" i="4" s="1"/>
  <c r="J428" i="4"/>
  <c r="K428" i="4" s="1"/>
  <c r="J427" i="4"/>
  <c r="K427" i="4" s="1"/>
  <c r="J426" i="4"/>
  <c r="K426" i="4" s="1"/>
  <c r="J425" i="4"/>
  <c r="K425" i="4" s="1"/>
  <c r="J424" i="4"/>
  <c r="K424" i="4" s="1"/>
  <c r="J423" i="4"/>
  <c r="K423" i="4" s="1"/>
  <c r="J422" i="4"/>
  <c r="K422" i="4" s="1"/>
  <c r="J421" i="4"/>
  <c r="K421" i="4" s="1"/>
  <c r="J420" i="4"/>
  <c r="K420" i="4" s="1"/>
  <c r="J419" i="4"/>
  <c r="K419" i="4" s="1"/>
  <c r="J418" i="4"/>
  <c r="K418" i="4" s="1"/>
  <c r="J417" i="4"/>
  <c r="K417" i="4" s="1"/>
  <c r="J416" i="4"/>
  <c r="K416" i="4" s="1"/>
  <c r="J415" i="4"/>
  <c r="K415" i="4" s="1"/>
  <c r="J414" i="4"/>
  <c r="K414" i="4" s="1"/>
  <c r="J413" i="4"/>
  <c r="K413" i="4" s="1"/>
  <c r="J412" i="4"/>
  <c r="K412" i="4" s="1"/>
  <c r="J411" i="4"/>
  <c r="K411" i="4" s="1"/>
  <c r="J410" i="4"/>
  <c r="K410" i="4" s="1"/>
  <c r="J409" i="4"/>
  <c r="K409" i="4" s="1"/>
  <c r="J408" i="4"/>
  <c r="K408" i="4" s="1"/>
  <c r="J407" i="4"/>
  <c r="K407" i="4" s="1"/>
  <c r="J406" i="4"/>
  <c r="K406" i="4" s="1"/>
  <c r="J405" i="4"/>
  <c r="K405" i="4" s="1"/>
  <c r="J404" i="4"/>
  <c r="K404" i="4" s="1"/>
  <c r="J403" i="4"/>
  <c r="K403" i="4" s="1"/>
  <c r="J402" i="4"/>
  <c r="K402" i="4" s="1"/>
  <c r="J401" i="4"/>
  <c r="K401" i="4" s="1"/>
  <c r="J400" i="4"/>
  <c r="K400" i="4" s="1"/>
  <c r="J399" i="4"/>
  <c r="K399" i="4" s="1"/>
  <c r="J398" i="4"/>
  <c r="K398" i="4" s="1"/>
  <c r="J397" i="4"/>
  <c r="K397" i="4" s="1"/>
  <c r="J396" i="4"/>
  <c r="K396" i="4" s="1"/>
  <c r="J395" i="4"/>
  <c r="K395" i="4" s="1"/>
  <c r="J394" i="4"/>
  <c r="K394" i="4" s="1"/>
  <c r="J393" i="4"/>
  <c r="K393" i="4" s="1"/>
  <c r="J392" i="4"/>
  <c r="K392" i="4" s="1"/>
  <c r="J391" i="4"/>
  <c r="K391" i="4" s="1"/>
  <c r="J390" i="4"/>
  <c r="K390" i="4" s="1"/>
  <c r="J389" i="4"/>
  <c r="K389" i="4" s="1"/>
  <c r="J388" i="4"/>
  <c r="K388" i="4" s="1"/>
  <c r="J387" i="4"/>
  <c r="K387" i="4" s="1"/>
  <c r="J386" i="4"/>
  <c r="K386" i="4" s="1"/>
  <c r="J385" i="4"/>
  <c r="K385" i="4" s="1"/>
  <c r="J384" i="4"/>
  <c r="K384" i="4" s="1"/>
  <c r="J383" i="4"/>
  <c r="K383" i="4" s="1"/>
  <c r="J382" i="4"/>
  <c r="K382" i="4" s="1"/>
  <c r="J381" i="4"/>
  <c r="K381" i="4" s="1"/>
  <c r="J380" i="4"/>
  <c r="K380" i="4" s="1"/>
  <c r="J379" i="4"/>
  <c r="K379" i="4" s="1"/>
  <c r="J378" i="4"/>
  <c r="K378" i="4" s="1"/>
  <c r="J377" i="4"/>
  <c r="K377" i="4" s="1"/>
  <c r="J376" i="4"/>
  <c r="K376" i="4" s="1"/>
  <c r="J375" i="4"/>
  <c r="K375" i="4" s="1"/>
  <c r="J374" i="4"/>
  <c r="K374" i="4" s="1"/>
  <c r="J373" i="4"/>
  <c r="K373" i="4" s="1"/>
  <c r="J372" i="4"/>
  <c r="K372" i="4" s="1"/>
  <c r="J371" i="4"/>
  <c r="K371" i="4" s="1"/>
  <c r="J370" i="4"/>
  <c r="K370" i="4" s="1"/>
  <c r="J369" i="4"/>
  <c r="K369" i="4" s="1"/>
  <c r="J368" i="4"/>
  <c r="K368" i="4" s="1"/>
  <c r="J367" i="4"/>
  <c r="K367" i="4" s="1"/>
  <c r="J366" i="4"/>
  <c r="K366" i="4" s="1"/>
  <c r="J365" i="4"/>
  <c r="K365" i="4" s="1"/>
  <c r="J364" i="4"/>
  <c r="K364" i="4" s="1"/>
  <c r="J363" i="4"/>
  <c r="K363" i="4" s="1"/>
  <c r="J362" i="4"/>
  <c r="K362" i="4" s="1"/>
  <c r="J361" i="4"/>
  <c r="K361" i="4" s="1"/>
  <c r="J360" i="4"/>
  <c r="K360" i="4" s="1"/>
  <c r="J359" i="4"/>
  <c r="K359" i="4" s="1"/>
  <c r="J358" i="4"/>
  <c r="K358" i="4" s="1"/>
  <c r="J357" i="4"/>
  <c r="K357" i="4" s="1"/>
  <c r="J356" i="4"/>
  <c r="K356" i="4" s="1"/>
  <c r="J355" i="4"/>
  <c r="K355" i="4" s="1"/>
  <c r="J354" i="4"/>
  <c r="K354" i="4" s="1"/>
  <c r="J353" i="4"/>
  <c r="K353" i="4" s="1"/>
  <c r="J352" i="4"/>
  <c r="K352" i="4" s="1"/>
  <c r="J351" i="4"/>
  <c r="K351" i="4" s="1"/>
  <c r="J350" i="4"/>
  <c r="K350" i="4" s="1"/>
  <c r="J349" i="4"/>
  <c r="K349" i="4" s="1"/>
  <c r="J348" i="4"/>
  <c r="K348" i="4" s="1"/>
  <c r="J347" i="4"/>
  <c r="K347" i="4" s="1"/>
  <c r="J346" i="4"/>
  <c r="K346" i="4" s="1"/>
  <c r="J345" i="4"/>
  <c r="K345" i="4" s="1"/>
  <c r="J344" i="4"/>
  <c r="K344" i="4" s="1"/>
  <c r="J343" i="4"/>
  <c r="K343" i="4" s="1"/>
  <c r="J342" i="4"/>
  <c r="K342" i="4" s="1"/>
  <c r="J341" i="4"/>
  <c r="K341" i="4" s="1"/>
  <c r="J340" i="4"/>
  <c r="K340" i="4" s="1"/>
  <c r="J339" i="4"/>
  <c r="K339" i="4" s="1"/>
  <c r="J338" i="4"/>
  <c r="K338" i="4" s="1"/>
  <c r="J337" i="4"/>
  <c r="K337" i="4" s="1"/>
  <c r="J336" i="4"/>
  <c r="K336" i="4" s="1"/>
  <c r="J335" i="4"/>
  <c r="K335" i="4" s="1"/>
  <c r="J334" i="4"/>
  <c r="K334" i="4" s="1"/>
  <c r="J333" i="4"/>
  <c r="K333" i="4" s="1"/>
  <c r="J332" i="4"/>
  <c r="K332" i="4" s="1"/>
  <c r="J331" i="4"/>
  <c r="K331" i="4" s="1"/>
  <c r="J330" i="4"/>
  <c r="K330" i="4" s="1"/>
  <c r="J329" i="4"/>
  <c r="K329" i="4" s="1"/>
  <c r="J328" i="4"/>
  <c r="K328" i="4" s="1"/>
  <c r="J327" i="4"/>
  <c r="K327" i="4" s="1"/>
  <c r="J326" i="4"/>
  <c r="K326" i="4" s="1"/>
  <c r="J325" i="4"/>
  <c r="K325" i="4" s="1"/>
  <c r="J324" i="4"/>
  <c r="K324" i="4" s="1"/>
  <c r="J323" i="4"/>
  <c r="K323" i="4" s="1"/>
  <c r="J322" i="4"/>
  <c r="K322" i="4" s="1"/>
  <c r="J321" i="4"/>
  <c r="K321" i="4" s="1"/>
  <c r="J320" i="4"/>
  <c r="K320" i="4" s="1"/>
  <c r="J319" i="4"/>
  <c r="K319" i="4" s="1"/>
  <c r="J318" i="4"/>
  <c r="K318" i="4" s="1"/>
  <c r="J317" i="4"/>
  <c r="K317" i="4" s="1"/>
  <c r="J316" i="4"/>
  <c r="K316" i="4" s="1"/>
  <c r="J315" i="4"/>
  <c r="K315" i="4" s="1"/>
  <c r="J314" i="4"/>
  <c r="K314" i="4" s="1"/>
  <c r="J313" i="4"/>
  <c r="K313" i="4" s="1"/>
  <c r="J312" i="4"/>
  <c r="K312" i="4" s="1"/>
  <c r="J311" i="4"/>
  <c r="K311" i="4" s="1"/>
  <c r="J310" i="4"/>
  <c r="K310" i="4" s="1"/>
  <c r="J309" i="4"/>
  <c r="K309" i="4" s="1"/>
  <c r="J308" i="4"/>
  <c r="K308" i="4" s="1"/>
  <c r="J307" i="4"/>
  <c r="K307" i="4" s="1"/>
  <c r="J306" i="4"/>
  <c r="K306" i="4" s="1"/>
  <c r="J305" i="4"/>
  <c r="K305" i="4" s="1"/>
  <c r="J304" i="4"/>
  <c r="K304" i="4" s="1"/>
  <c r="J303" i="4"/>
  <c r="K303" i="4" s="1"/>
  <c r="J302" i="4"/>
  <c r="K302" i="4" s="1"/>
  <c r="J301" i="4"/>
  <c r="K301" i="4" s="1"/>
  <c r="J300" i="4"/>
  <c r="K300" i="4" s="1"/>
  <c r="J299" i="4"/>
  <c r="K299" i="4" s="1"/>
  <c r="J298" i="4"/>
  <c r="K298" i="4" s="1"/>
  <c r="J297" i="4"/>
  <c r="K297" i="4" s="1"/>
  <c r="J296" i="4"/>
  <c r="K296" i="4" s="1"/>
  <c r="J295" i="4"/>
  <c r="K295" i="4" s="1"/>
  <c r="J294" i="4"/>
  <c r="K294" i="4" s="1"/>
  <c r="J293" i="4"/>
  <c r="K293" i="4" s="1"/>
  <c r="J292" i="4"/>
  <c r="K292" i="4" s="1"/>
  <c r="J291" i="4"/>
  <c r="K291" i="4" s="1"/>
  <c r="J290" i="4"/>
  <c r="K290" i="4" s="1"/>
  <c r="J289" i="4"/>
  <c r="K289" i="4" s="1"/>
  <c r="J288" i="4"/>
  <c r="K288" i="4" s="1"/>
  <c r="J287" i="4"/>
  <c r="K287" i="4" s="1"/>
  <c r="J286" i="4"/>
  <c r="K286" i="4" s="1"/>
  <c r="J285" i="4"/>
  <c r="K285" i="4" s="1"/>
  <c r="J284" i="4"/>
  <c r="K284" i="4" s="1"/>
  <c r="J283" i="4"/>
  <c r="K283" i="4" s="1"/>
  <c r="J282" i="4"/>
  <c r="K282" i="4" s="1"/>
  <c r="J281" i="4"/>
  <c r="K281" i="4" s="1"/>
  <c r="J280" i="4"/>
  <c r="K280" i="4" s="1"/>
  <c r="J279" i="4"/>
  <c r="K279" i="4" s="1"/>
  <c r="J278" i="4"/>
  <c r="K278" i="4" s="1"/>
  <c r="J277" i="4"/>
  <c r="K277" i="4" s="1"/>
  <c r="J276" i="4"/>
  <c r="K276" i="4" s="1"/>
  <c r="J275" i="4"/>
  <c r="K275" i="4" s="1"/>
  <c r="J274" i="4"/>
  <c r="K274" i="4" s="1"/>
  <c r="J273" i="4"/>
  <c r="K273" i="4" s="1"/>
  <c r="J272" i="4"/>
  <c r="K272" i="4" s="1"/>
  <c r="J271" i="4"/>
  <c r="K271" i="4" s="1"/>
  <c r="J270" i="4"/>
  <c r="K270" i="4" s="1"/>
  <c r="J269" i="4"/>
  <c r="K269" i="4" s="1"/>
  <c r="J268" i="4"/>
  <c r="K268" i="4" s="1"/>
  <c r="J267" i="4"/>
  <c r="K267" i="4" s="1"/>
  <c r="J266" i="4"/>
  <c r="K266" i="4" s="1"/>
  <c r="J265" i="4"/>
  <c r="K265" i="4" s="1"/>
  <c r="J264" i="4"/>
  <c r="K264" i="4" s="1"/>
  <c r="J263" i="4"/>
  <c r="K263" i="4" s="1"/>
  <c r="J262" i="4"/>
  <c r="K262" i="4" s="1"/>
  <c r="J261" i="4"/>
  <c r="K261" i="4" s="1"/>
  <c r="J260" i="4"/>
  <c r="K260" i="4" s="1"/>
  <c r="J259" i="4"/>
  <c r="K259" i="4" s="1"/>
  <c r="J258" i="4"/>
  <c r="K258" i="4" s="1"/>
  <c r="J257" i="4"/>
  <c r="K257" i="4" s="1"/>
  <c r="J256" i="4"/>
  <c r="K256" i="4" s="1"/>
  <c r="J255" i="4"/>
  <c r="K255" i="4" s="1"/>
  <c r="J254" i="4"/>
  <c r="K254" i="4" s="1"/>
  <c r="J253" i="4"/>
  <c r="K253" i="4" s="1"/>
  <c r="J252" i="4"/>
  <c r="K252" i="4" s="1"/>
  <c r="J251" i="4"/>
  <c r="K251" i="4" s="1"/>
  <c r="J250" i="4"/>
  <c r="K250" i="4" s="1"/>
  <c r="J249" i="4"/>
  <c r="K249" i="4" s="1"/>
  <c r="J248" i="4"/>
  <c r="K248" i="4" s="1"/>
  <c r="J247" i="4"/>
  <c r="K247" i="4" s="1"/>
  <c r="J246" i="4"/>
  <c r="K246" i="4" s="1"/>
  <c r="J245" i="4"/>
  <c r="K245" i="4" s="1"/>
  <c r="J244" i="4"/>
  <c r="K244" i="4" s="1"/>
  <c r="J243" i="4"/>
  <c r="K243" i="4" s="1"/>
  <c r="J242" i="4"/>
  <c r="K242" i="4" s="1"/>
  <c r="J241" i="4"/>
  <c r="K241" i="4" s="1"/>
  <c r="J240" i="4"/>
  <c r="K240" i="4" s="1"/>
  <c r="J239" i="4"/>
  <c r="K239" i="4" s="1"/>
  <c r="J238" i="4"/>
  <c r="K238" i="4" s="1"/>
  <c r="J237" i="4"/>
  <c r="K237" i="4" s="1"/>
  <c r="J236" i="4"/>
  <c r="K236" i="4" s="1"/>
  <c r="J235" i="4"/>
  <c r="K235" i="4" s="1"/>
  <c r="J234" i="4"/>
  <c r="K234" i="4" s="1"/>
  <c r="J233" i="4"/>
  <c r="K233" i="4" s="1"/>
  <c r="J232" i="4"/>
  <c r="K232" i="4" s="1"/>
  <c r="J231" i="4"/>
  <c r="K231" i="4" s="1"/>
  <c r="J230" i="4"/>
  <c r="K230" i="4" s="1"/>
  <c r="J229" i="4"/>
  <c r="K229" i="4" s="1"/>
  <c r="J228" i="4"/>
  <c r="K228" i="4" s="1"/>
  <c r="J227" i="4"/>
  <c r="K227" i="4" s="1"/>
  <c r="J226" i="4"/>
  <c r="K226" i="4" s="1"/>
  <c r="J225" i="4"/>
  <c r="K225" i="4" s="1"/>
  <c r="J224" i="4"/>
  <c r="K224" i="4" s="1"/>
  <c r="J223" i="4"/>
  <c r="K223" i="4" s="1"/>
  <c r="J222" i="4"/>
  <c r="K222" i="4" s="1"/>
  <c r="J221" i="4"/>
  <c r="K221" i="4" s="1"/>
  <c r="J220" i="4"/>
  <c r="K220" i="4" s="1"/>
  <c r="J219" i="4"/>
  <c r="K219" i="4" s="1"/>
  <c r="J218" i="4"/>
  <c r="K218" i="4" s="1"/>
  <c r="J217" i="4"/>
  <c r="K217" i="4" s="1"/>
  <c r="J216" i="4"/>
  <c r="K216" i="4" s="1"/>
  <c r="J215" i="4"/>
  <c r="K215" i="4" s="1"/>
  <c r="J214" i="4"/>
  <c r="K214" i="4" s="1"/>
  <c r="J213" i="4"/>
  <c r="K213" i="4" s="1"/>
  <c r="J212" i="4"/>
  <c r="K212" i="4" s="1"/>
  <c r="J211" i="4"/>
  <c r="K211" i="4" s="1"/>
  <c r="J210" i="4"/>
  <c r="K210" i="4" s="1"/>
  <c r="J209" i="4"/>
  <c r="K209" i="4" s="1"/>
  <c r="J208" i="4"/>
  <c r="K208" i="4" s="1"/>
  <c r="J207" i="4"/>
  <c r="K207" i="4" s="1"/>
  <c r="J206" i="4"/>
  <c r="K206" i="4" s="1"/>
  <c r="J205" i="4"/>
  <c r="K205" i="4" s="1"/>
  <c r="J204" i="4"/>
  <c r="K204" i="4" s="1"/>
  <c r="J203" i="4"/>
  <c r="K203" i="4" s="1"/>
  <c r="J202" i="4"/>
  <c r="K202" i="4" s="1"/>
  <c r="J201" i="4"/>
  <c r="K201" i="4" s="1"/>
  <c r="J200" i="4"/>
  <c r="K200" i="4" s="1"/>
  <c r="J199" i="4"/>
  <c r="K199" i="4" s="1"/>
  <c r="J198" i="4"/>
  <c r="K198" i="4" s="1"/>
  <c r="J197" i="4"/>
  <c r="K197" i="4" s="1"/>
  <c r="J196" i="4"/>
  <c r="K196" i="4" s="1"/>
  <c r="J195" i="4"/>
  <c r="K195" i="4" s="1"/>
  <c r="J194" i="4"/>
  <c r="K194" i="4" s="1"/>
  <c r="J193" i="4"/>
  <c r="K193" i="4" s="1"/>
  <c r="J192" i="4"/>
  <c r="K192" i="4" s="1"/>
  <c r="J191" i="4"/>
  <c r="K191" i="4" s="1"/>
  <c r="J190" i="4"/>
  <c r="K190" i="4" s="1"/>
  <c r="J189" i="4"/>
  <c r="K189" i="4" s="1"/>
  <c r="J188" i="4"/>
  <c r="K188" i="4" s="1"/>
  <c r="J187" i="4"/>
  <c r="K187" i="4" s="1"/>
  <c r="J186" i="4"/>
  <c r="K186" i="4" s="1"/>
  <c r="J185" i="4"/>
  <c r="K185" i="4" s="1"/>
  <c r="J184" i="4"/>
  <c r="K184" i="4" s="1"/>
  <c r="J183" i="4"/>
  <c r="K183" i="4" s="1"/>
  <c r="J182" i="4"/>
  <c r="K182" i="4" s="1"/>
  <c r="J181" i="4"/>
  <c r="K181" i="4" s="1"/>
  <c r="J180" i="4"/>
  <c r="K180" i="4" s="1"/>
  <c r="J179" i="4"/>
  <c r="K179" i="4" s="1"/>
  <c r="J178" i="4"/>
  <c r="K178" i="4" s="1"/>
  <c r="J177" i="4"/>
  <c r="K177" i="4" s="1"/>
  <c r="J176" i="4"/>
  <c r="K176" i="4" s="1"/>
  <c r="J175" i="4"/>
  <c r="K175" i="4" s="1"/>
  <c r="J174" i="4"/>
  <c r="K174" i="4" s="1"/>
  <c r="J173" i="4"/>
  <c r="K173" i="4" s="1"/>
  <c r="J172" i="4"/>
  <c r="K172" i="4" s="1"/>
  <c r="J171" i="4"/>
  <c r="K171" i="4" s="1"/>
  <c r="J170" i="4"/>
  <c r="K170" i="4" s="1"/>
  <c r="J169" i="4"/>
  <c r="K169" i="4" s="1"/>
  <c r="J168" i="4"/>
  <c r="K168" i="4" s="1"/>
  <c r="J167" i="4"/>
  <c r="K167" i="4" s="1"/>
  <c r="J166" i="4"/>
  <c r="K166" i="4" s="1"/>
  <c r="J165" i="4"/>
  <c r="K165" i="4" s="1"/>
  <c r="J164" i="4"/>
  <c r="K164" i="4" s="1"/>
  <c r="J163" i="4"/>
  <c r="K163" i="4" s="1"/>
  <c r="J162" i="4"/>
  <c r="K162" i="4" s="1"/>
  <c r="J161" i="4"/>
  <c r="K161" i="4" s="1"/>
  <c r="J160" i="4"/>
  <c r="K160" i="4" s="1"/>
  <c r="J159" i="4"/>
  <c r="K159" i="4" s="1"/>
  <c r="J158" i="4"/>
  <c r="K158" i="4" s="1"/>
  <c r="J157" i="4"/>
  <c r="K157" i="4" s="1"/>
  <c r="J156" i="4"/>
  <c r="K156" i="4" s="1"/>
  <c r="J155" i="4"/>
  <c r="K155" i="4" s="1"/>
  <c r="J154" i="4"/>
  <c r="K154" i="4" s="1"/>
  <c r="J153" i="4"/>
  <c r="K153" i="4" s="1"/>
  <c r="J152" i="4"/>
  <c r="K152" i="4" s="1"/>
  <c r="J151" i="4"/>
  <c r="K151" i="4" s="1"/>
  <c r="J150" i="4"/>
  <c r="K150" i="4" s="1"/>
  <c r="J149" i="4"/>
  <c r="K149" i="4" s="1"/>
  <c r="J148" i="4"/>
  <c r="K148" i="4" s="1"/>
  <c r="J147" i="4"/>
  <c r="K147" i="4" s="1"/>
  <c r="J146" i="4"/>
  <c r="K146" i="4" s="1"/>
  <c r="J145" i="4"/>
  <c r="K145" i="4" s="1"/>
  <c r="J144" i="4"/>
  <c r="K144" i="4" s="1"/>
  <c r="J143" i="4"/>
  <c r="K143" i="4" s="1"/>
  <c r="J142" i="4"/>
  <c r="K142" i="4" s="1"/>
  <c r="J141" i="4"/>
  <c r="K141" i="4" s="1"/>
  <c r="J140" i="4"/>
  <c r="K140" i="4" s="1"/>
  <c r="J139" i="4"/>
  <c r="K139" i="4" s="1"/>
  <c r="J138" i="4"/>
  <c r="K138" i="4" s="1"/>
  <c r="J137" i="4"/>
  <c r="K137" i="4" s="1"/>
  <c r="J136" i="4"/>
  <c r="K136" i="4" s="1"/>
  <c r="J135" i="4"/>
  <c r="K135" i="4" s="1"/>
  <c r="J134" i="4"/>
  <c r="K134" i="4" s="1"/>
  <c r="J133" i="4"/>
  <c r="K133" i="4" s="1"/>
  <c r="J132" i="4"/>
  <c r="K132" i="4" s="1"/>
  <c r="J131" i="4"/>
  <c r="K131" i="4" s="1"/>
  <c r="J130" i="4"/>
  <c r="K130" i="4" s="1"/>
  <c r="J129" i="4"/>
  <c r="K129" i="4" s="1"/>
  <c r="J128" i="4"/>
  <c r="K128" i="4" s="1"/>
  <c r="J127" i="4"/>
  <c r="K127" i="4" s="1"/>
  <c r="J126" i="4"/>
  <c r="K126" i="4" s="1"/>
  <c r="J125" i="4"/>
  <c r="K125" i="4" s="1"/>
  <c r="J124" i="4"/>
  <c r="K124" i="4" s="1"/>
  <c r="J123" i="4"/>
  <c r="K123" i="4" s="1"/>
  <c r="J122" i="4"/>
  <c r="K122" i="4" s="1"/>
  <c r="J121" i="4"/>
  <c r="K121" i="4" s="1"/>
  <c r="J120" i="4"/>
  <c r="K120" i="4" s="1"/>
  <c r="J119" i="4"/>
  <c r="K119" i="4" s="1"/>
  <c r="J118" i="4"/>
  <c r="K118" i="4" s="1"/>
  <c r="J117" i="4"/>
  <c r="K117" i="4" s="1"/>
  <c r="J116" i="4"/>
  <c r="K116" i="4" s="1"/>
  <c r="J115" i="4"/>
  <c r="K115" i="4" s="1"/>
  <c r="J114" i="4"/>
  <c r="K114" i="4" s="1"/>
  <c r="J113" i="4"/>
  <c r="K113" i="4" s="1"/>
  <c r="J112" i="4"/>
  <c r="K112" i="4" s="1"/>
  <c r="J111" i="4"/>
  <c r="K111" i="4" s="1"/>
  <c r="J110" i="4"/>
  <c r="K110" i="4" s="1"/>
  <c r="J109" i="4"/>
  <c r="K109" i="4" s="1"/>
  <c r="J108" i="4"/>
  <c r="K108" i="4" s="1"/>
  <c r="J107" i="4"/>
  <c r="K107" i="4" s="1"/>
  <c r="J106" i="4"/>
  <c r="K106" i="4" s="1"/>
  <c r="J105" i="4"/>
  <c r="K105" i="4" s="1"/>
  <c r="J104" i="4"/>
  <c r="K104" i="4" s="1"/>
  <c r="J103" i="4"/>
  <c r="K103" i="4" s="1"/>
  <c r="J102" i="4"/>
  <c r="K102" i="4" s="1"/>
  <c r="J101" i="4"/>
  <c r="K101" i="4" s="1"/>
  <c r="J100" i="4"/>
  <c r="K100" i="4" s="1"/>
  <c r="J99" i="4"/>
  <c r="K99" i="4" s="1"/>
  <c r="J98" i="4"/>
  <c r="K98" i="4" s="1"/>
  <c r="J97" i="4"/>
  <c r="K97" i="4" s="1"/>
  <c r="J96" i="4"/>
  <c r="K96" i="4" s="1"/>
  <c r="J95" i="4"/>
  <c r="K95" i="4" s="1"/>
  <c r="J94" i="4"/>
  <c r="K94" i="4" s="1"/>
  <c r="J93" i="4"/>
  <c r="K93" i="4" s="1"/>
  <c r="J92" i="4"/>
  <c r="K92" i="4" s="1"/>
  <c r="J91" i="4"/>
  <c r="K91" i="4" s="1"/>
  <c r="J90" i="4"/>
  <c r="K90" i="4" s="1"/>
  <c r="J89" i="4"/>
  <c r="K89" i="4" s="1"/>
  <c r="J88" i="4"/>
  <c r="K88" i="4" s="1"/>
  <c r="J87" i="4"/>
  <c r="K87" i="4" s="1"/>
  <c r="J86" i="4"/>
  <c r="K86" i="4" s="1"/>
  <c r="J85" i="4"/>
  <c r="K85" i="4" s="1"/>
  <c r="J84" i="4"/>
  <c r="K84" i="4" s="1"/>
  <c r="J83" i="4"/>
  <c r="K83" i="4" s="1"/>
  <c r="J82" i="4"/>
  <c r="K82" i="4" s="1"/>
  <c r="J81" i="4"/>
  <c r="K81" i="4" s="1"/>
  <c r="J80" i="4"/>
  <c r="K80" i="4" s="1"/>
  <c r="J79" i="4"/>
  <c r="K79" i="4" s="1"/>
  <c r="J78" i="4"/>
  <c r="K78" i="4" s="1"/>
  <c r="J77" i="4"/>
  <c r="K77" i="4" s="1"/>
  <c r="J76" i="4"/>
  <c r="K76" i="4" s="1"/>
  <c r="J75" i="4"/>
  <c r="K75" i="4" s="1"/>
  <c r="J74" i="4"/>
  <c r="K74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66" i="4"/>
  <c r="K66" i="4" s="1"/>
  <c r="J65" i="4"/>
  <c r="K65" i="4" s="1"/>
  <c r="J64" i="4"/>
  <c r="K64" i="4" s="1"/>
  <c r="J63" i="4"/>
  <c r="K63" i="4" s="1"/>
  <c r="J62" i="4"/>
  <c r="K62" i="4" s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J2" i="4"/>
  <c r="K2" i="4" s="1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" i="4" l="1"/>
  <c r="G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203" i="4"/>
  <c r="G203" i="4"/>
  <c r="F204" i="4"/>
  <c r="G204" i="4"/>
  <c r="F205" i="4"/>
  <c r="G205" i="4"/>
  <c r="F206" i="4"/>
  <c r="G206" i="4"/>
  <c r="F207" i="4"/>
  <c r="G207" i="4"/>
  <c r="F208" i="4"/>
  <c r="G208" i="4"/>
  <c r="F209" i="4"/>
  <c r="G209" i="4"/>
  <c r="F210" i="4"/>
  <c r="G210" i="4"/>
  <c r="F211" i="4"/>
  <c r="G211" i="4"/>
  <c r="F212" i="4"/>
  <c r="G212" i="4"/>
  <c r="F213" i="4"/>
  <c r="G213" i="4"/>
  <c r="F214" i="4"/>
  <c r="G214" i="4"/>
  <c r="F215" i="4"/>
  <c r="G215" i="4"/>
  <c r="F216" i="4"/>
  <c r="G216" i="4"/>
  <c r="F217" i="4"/>
  <c r="G217" i="4"/>
  <c r="F218" i="4"/>
  <c r="G218" i="4"/>
  <c r="F219" i="4"/>
  <c r="G219" i="4"/>
  <c r="F220" i="4"/>
  <c r="G220" i="4"/>
  <c r="F221" i="4"/>
  <c r="G221" i="4"/>
  <c r="F222" i="4"/>
  <c r="G222" i="4"/>
  <c r="F223" i="4"/>
  <c r="G223" i="4"/>
  <c r="F224" i="4"/>
  <c r="G224" i="4"/>
  <c r="F225" i="4"/>
  <c r="G225" i="4"/>
  <c r="F226" i="4"/>
  <c r="G226" i="4"/>
  <c r="F227" i="4"/>
  <c r="G227" i="4"/>
  <c r="F228" i="4"/>
  <c r="G228" i="4"/>
  <c r="F229" i="4"/>
  <c r="G229" i="4"/>
  <c r="F230" i="4"/>
  <c r="G230" i="4"/>
  <c r="F231" i="4"/>
  <c r="G231" i="4"/>
  <c r="F232" i="4"/>
  <c r="G232" i="4"/>
  <c r="F233" i="4"/>
  <c r="G233" i="4"/>
  <c r="F234" i="4"/>
  <c r="G234" i="4"/>
  <c r="F235" i="4"/>
  <c r="G235" i="4"/>
  <c r="F236" i="4"/>
  <c r="G236" i="4"/>
  <c r="F237" i="4"/>
  <c r="G237" i="4"/>
  <c r="F238" i="4"/>
  <c r="G238" i="4"/>
  <c r="F239" i="4"/>
  <c r="G239" i="4"/>
  <c r="F240" i="4"/>
  <c r="G240" i="4"/>
  <c r="F241" i="4"/>
  <c r="G241" i="4"/>
  <c r="F242" i="4"/>
  <c r="G242" i="4"/>
  <c r="F243" i="4"/>
  <c r="G243" i="4"/>
  <c r="F244" i="4"/>
  <c r="G244" i="4"/>
  <c r="F245" i="4"/>
  <c r="G245" i="4"/>
  <c r="F246" i="4"/>
  <c r="G246" i="4"/>
  <c r="F247" i="4"/>
  <c r="G247" i="4"/>
  <c r="F248" i="4"/>
  <c r="G248" i="4"/>
  <c r="F249" i="4"/>
  <c r="G249" i="4"/>
  <c r="F250" i="4"/>
  <c r="G250" i="4"/>
  <c r="F251" i="4"/>
  <c r="G251" i="4"/>
  <c r="F252" i="4"/>
  <c r="G252" i="4"/>
  <c r="F253" i="4"/>
  <c r="G253" i="4"/>
  <c r="F254" i="4"/>
  <c r="G254" i="4"/>
  <c r="F255" i="4"/>
  <c r="G255" i="4"/>
  <c r="F256" i="4"/>
  <c r="G256" i="4"/>
  <c r="F257" i="4"/>
  <c r="G257" i="4"/>
  <c r="F258" i="4"/>
  <c r="G258" i="4"/>
  <c r="F259" i="4"/>
  <c r="G259" i="4"/>
  <c r="F260" i="4"/>
  <c r="G260" i="4"/>
  <c r="F261" i="4"/>
  <c r="G261" i="4"/>
  <c r="F262" i="4"/>
  <c r="G262" i="4"/>
  <c r="F263" i="4"/>
  <c r="G263" i="4"/>
  <c r="F264" i="4"/>
  <c r="G264" i="4"/>
  <c r="F265" i="4"/>
  <c r="G265" i="4"/>
  <c r="F266" i="4"/>
  <c r="G266" i="4"/>
  <c r="F267" i="4"/>
  <c r="G267" i="4"/>
  <c r="F268" i="4"/>
  <c r="G268" i="4"/>
  <c r="F269" i="4"/>
  <c r="G269" i="4"/>
  <c r="F270" i="4"/>
  <c r="G270" i="4"/>
  <c r="F271" i="4"/>
  <c r="G271" i="4"/>
  <c r="F272" i="4"/>
  <c r="G272" i="4"/>
  <c r="F273" i="4"/>
  <c r="G273" i="4"/>
  <c r="F274" i="4"/>
  <c r="G274" i="4"/>
  <c r="F275" i="4"/>
  <c r="G275" i="4"/>
  <c r="F276" i="4"/>
  <c r="G276" i="4"/>
  <c r="F277" i="4"/>
  <c r="G277" i="4"/>
  <c r="F278" i="4"/>
  <c r="G278" i="4"/>
  <c r="F279" i="4"/>
  <c r="G279" i="4"/>
  <c r="F280" i="4"/>
  <c r="G280" i="4"/>
  <c r="F281" i="4"/>
  <c r="G281" i="4"/>
  <c r="F282" i="4"/>
  <c r="G282" i="4"/>
  <c r="F283" i="4"/>
  <c r="G283" i="4"/>
  <c r="F284" i="4"/>
  <c r="G284" i="4"/>
  <c r="F285" i="4"/>
  <c r="G285" i="4"/>
  <c r="F286" i="4"/>
  <c r="G286" i="4"/>
  <c r="F287" i="4"/>
  <c r="G287" i="4"/>
  <c r="F288" i="4"/>
  <c r="G288" i="4"/>
  <c r="F289" i="4"/>
  <c r="G289" i="4"/>
  <c r="F290" i="4"/>
  <c r="G290" i="4"/>
  <c r="F291" i="4"/>
  <c r="G291" i="4"/>
  <c r="F292" i="4"/>
  <c r="G292" i="4"/>
  <c r="F293" i="4"/>
  <c r="G293" i="4"/>
  <c r="F294" i="4"/>
  <c r="G294" i="4"/>
  <c r="F295" i="4"/>
  <c r="G295" i="4"/>
  <c r="F296" i="4"/>
  <c r="G296" i="4"/>
  <c r="F297" i="4"/>
  <c r="G297" i="4"/>
  <c r="F298" i="4"/>
  <c r="G298" i="4"/>
  <c r="F299" i="4"/>
  <c r="G299" i="4"/>
  <c r="F300" i="4"/>
  <c r="G300" i="4"/>
  <c r="F301" i="4"/>
  <c r="G301" i="4"/>
  <c r="F302" i="4"/>
  <c r="G302" i="4"/>
  <c r="F303" i="4"/>
  <c r="G303" i="4"/>
  <c r="F304" i="4"/>
  <c r="G304" i="4"/>
  <c r="F305" i="4"/>
  <c r="G305" i="4"/>
  <c r="F306" i="4"/>
  <c r="G306" i="4"/>
  <c r="F307" i="4"/>
  <c r="G307" i="4"/>
  <c r="F308" i="4"/>
  <c r="G308" i="4"/>
  <c r="F309" i="4"/>
  <c r="G309" i="4"/>
  <c r="F310" i="4"/>
  <c r="G310" i="4"/>
  <c r="F311" i="4"/>
  <c r="G311" i="4"/>
  <c r="F312" i="4"/>
  <c r="G312" i="4"/>
  <c r="F313" i="4"/>
  <c r="G313" i="4"/>
  <c r="F314" i="4"/>
  <c r="G314" i="4"/>
  <c r="F315" i="4"/>
  <c r="G315" i="4"/>
  <c r="F316" i="4"/>
  <c r="G316" i="4"/>
  <c r="F317" i="4"/>
  <c r="G317" i="4"/>
  <c r="F318" i="4"/>
  <c r="G318" i="4"/>
  <c r="F319" i="4"/>
  <c r="G319" i="4"/>
  <c r="F320" i="4"/>
  <c r="G320" i="4"/>
  <c r="F321" i="4"/>
  <c r="G321" i="4"/>
  <c r="F322" i="4"/>
  <c r="G322" i="4"/>
  <c r="F323" i="4"/>
  <c r="G323" i="4"/>
  <c r="F324" i="4"/>
  <c r="G324" i="4"/>
  <c r="F325" i="4"/>
  <c r="G325" i="4"/>
  <c r="F326" i="4"/>
  <c r="G326" i="4"/>
  <c r="F327" i="4"/>
  <c r="G327" i="4"/>
  <c r="F328" i="4"/>
  <c r="G328" i="4"/>
  <c r="F329" i="4"/>
  <c r="G329" i="4"/>
  <c r="F330" i="4"/>
  <c r="G330" i="4"/>
  <c r="F331" i="4"/>
  <c r="G331" i="4"/>
  <c r="F332" i="4"/>
  <c r="G332" i="4"/>
  <c r="F333" i="4"/>
  <c r="G333" i="4"/>
  <c r="F334" i="4"/>
  <c r="G334" i="4"/>
  <c r="F335" i="4"/>
  <c r="G335" i="4"/>
  <c r="F336" i="4"/>
  <c r="G336" i="4"/>
  <c r="F337" i="4"/>
  <c r="G337" i="4"/>
  <c r="F338" i="4"/>
  <c r="G338" i="4"/>
  <c r="F339" i="4"/>
  <c r="G339" i="4"/>
  <c r="F340" i="4"/>
  <c r="G340" i="4"/>
  <c r="F341" i="4"/>
  <c r="G341" i="4"/>
  <c r="F342" i="4"/>
  <c r="G342" i="4"/>
  <c r="F343" i="4"/>
  <c r="G343" i="4"/>
  <c r="F344" i="4"/>
  <c r="G344" i="4"/>
  <c r="F345" i="4"/>
  <c r="G345" i="4"/>
  <c r="F346" i="4"/>
  <c r="G346" i="4"/>
  <c r="F347" i="4"/>
  <c r="G347" i="4"/>
  <c r="F348" i="4"/>
  <c r="G348" i="4"/>
  <c r="F349" i="4"/>
  <c r="G349" i="4"/>
  <c r="F350" i="4"/>
  <c r="G350" i="4"/>
  <c r="F351" i="4"/>
  <c r="G351" i="4"/>
  <c r="F352" i="4"/>
  <c r="G352" i="4"/>
  <c r="F353" i="4"/>
  <c r="G353" i="4"/>
  <c r="F354" i="4"/>
  <c r="G354" i="4"/>
  <c r="F355" i="4"/>
  <c r="G355" i="4"/>
  <c r="F356" i="4"/>
  <c r="G356" i="4"/>
  <c r="F357" i="4"/>
  <c r="G357" i="4"/>
  <c r="F358" i="4"/>
  <c r="G358" i="4"/>
  <c r="F359" i="4"/>
  <c r="G359" i="4"/>
  <c r="F360" i="4"/>
  <c r="G360" i="4"/>
  <c r="F361" i="4"/>
  <c r="G361" i="4"/>
  <c r="F362" i="4"/>
  <c r="G362" i="4"/>
  <c r="F363" i="4"/>
  <c r="G363" i="4"/>
  <c r="F364" i="4"/>
  <c r="G364" i="4"/>
  <c r="F365" i="4"/>
  <c r="G365" i="4"/>
  <c r="F366" i="4"/>
  <c r="G366" i="4"/>
  <c r="F367" i="4"/>
  <c r="G367" i="4"/>
  <c r="F368" i="4"/>
  <c r="G368" i="4"/>
  <c r="F369" i="4"/>
  <c r="G369" i="4"/>
  <c r="F370" i="4"/>
  <c r="G370" i="4"/>
  <c r="F371" i="4"/>
  <c r="G371" i="4"/>
  <c r="F372" i="4"/>
  <c r="G372" i="4"/>
  <c r="F373" i="4"/>
  <c r="G373" i="4"/>
  <c r="F374" i="4"/>
  <c r="G374" i="4"/>
  <c r="F375" i="4"/>
  <c r="G375" i="4"/>
  <c r="F376" i="4"/>
  <c r="G376" i="4"/>
  <c r="F377" i="4"/>
  <c r="G377" i="4"/>
  <c r="F378" i="4"/>
  <c r="G378" i="4"/>
  <c r="F379" i="4"/>
  <c r="G379" i="4"/>
  <c r="F380" i="4"/>
  <c r="G380" i="4"/>
  <c r="F381" i="4"/>
  <c r="G381" i="4"/>
  <c r="F382" i="4"/>
  <c r="G382" i="4"/>
  <c r="F383" i="4"/>
  <c r="G383" i="4"/>
  <c r="F384" i="4"/>
  <c r="G384" i="4"/>
  <c r="F385" i="4"/>
  <c r="G385" i="4"/>
  <c r="F386" i="4"/>
  <c r="G386" i="4"/>
  <c r="F387" i="4"/>
  <c r="G387" i="4"/>
  <c r="F388" i="4"/>
  <c r="G388" i="4"/>
  <c r="F389" i="4"/>
  <c r="G389" i="4"/>
  <c r="F390" i="4"/>
  <c r="G390" i="4"/>
  <c r="F391" i="4"/>
  <c r="G391" i="4"/>
  <c r="F392" i="4"/>
  <c r="G392" i="4"/>
  <c r="F393" i="4"/>
  <c r="G393" i="4"/>
  <c r="F394" i="4"/>
  <c r="G394" i="4"/>
  <c r="F395" i="4"/>
  <c r="G395" i="4"/>
  <c r="F396" i="4"/>
  <c r="G396" i="4"/>
  <c r="F397" i="4"/>
  <c r="G397" i="4"/>
  <c r="F398" i="4"/>
  <c r="G398" i="4"/>
  <c r="F399" i="4"/>
  <c r="G399" i="4"/>
  <c r="F400" i="4"/>
  <c r="G400" i="4"/>
  <c r="F401" i="4"/>
  <c r="G401" i="4"/>
  <c r="F402" i="4"/>
  <c r="G402" i="4"/>
  <c r="F403" i="4"/>
  <c r="G403" i="4"/>
  <c r="F404" i="4"/>
  <c r="G404" i="4"/>
  <c r="F405" i="4"/>
  <c r="G405" i="4"/>
  <c r="F406" i="4"/>
  <c r="G406" i="4"/>
  <c r="F407" i="4"/>
  <c r="G407" i="4"/>
  <c r="F408" i="4"/>
  <c r="G408" i="4"/>
  <c r="F409" i="4"/>
  <c r="G409" i="4"/>
  <c r="F410" i="4"/>
  <c r="G410" i="4"/>
  <c r="F411" i="4"/>
  <c r="G411" i="4"/>
  <c r="F412" i="4"/>
  <c r="G412" i="4"/>
  <c r="F413" i="4"/>
  <c r="G413" i="4"/>
  <c r="F414" i="4"/>
  <c r="G414" i="4"/>
  <c r="F415" i="4"/>
  <c r="G415" i="4"/>
  <c r="F416" i="4"/>
  <c r="G416" i="4"/>
  <c r="F417" i="4"/>
  <c r="G417" i="4"/>
  <c r="F418" i="4"/>
  <c r="G418" i="4"/>
  <c r="F419" i="4"/>
  <c r="G419" i="4"/>
  <c r="F420" i="4"/>
  <c r="G420" i="4"/>
  <c r="F421" i="4"/>
  <c r="G421" i="4"/>
  <c r="F422" i="4"/>
  <c r="G422" i="4"/>
  <c r="F423" i="4"/>
  <c r="G423" i="4"/>
  <c r="F424" i="4"/>
  <c r="G424" i="4"/>
  <c r="F425" i="4"/>
  <c r="G425" i="4"/>
  <c r="F426" i="4"/>
  <c r="G426" i="4"/>
  <c r="F427" i="4"/>
  <c r="G427" i="4"/>
  <c r="F428" i="4"/>
  <c r="G428" i="4"/>
  <c r="F429" i="4"/>
  <c r="G429" i="4"/>
  <c r="F430" i="4"/>
  <c r="G430" i="4"/>
  <c r="F431" i="4"/>
  <c r="G431" i="4"/>
  <c r="F432" i="4"/>
  <c r="G432" i="4"/>
  <c r="F433" i="4"/>
  <c r="G433" i="4"/>
  <c r="F434" i="4"/>
  <c r="G434" i="4"/>
  <c r="F435" i="4"/>
  <c r="G435" i="4"/>
  <c r="F436" i="4"/>
  <c r="G436" i="4"/>
  <c r="F437" i="4"/>
  <c r="G437" i="4"/>
  <c r="F438" i="4"/>
  <c r="G438" i="4"/>
  <c r="F439" i="4"/>
  <c r="G439" i="4"/>
  <c r="F440" i="4"/>
  <c r="G440" i="4"/>
  <c r="F441" i="4"/>
  <c r="G441" i="4"/>
  <c r="F442" i="4"/>
  <c r="G442" i="4"/>
  <c r="F443" i="4"/>
  <c r="G443" i="4"/>
  <c r="F444" i="4"/>
  <c r="G444" i="4"/>
  <c r="F445" i="4"/>
  <c r="G445" i="4"/>
  <c r="F446" i="4"/>
  <c r="G446" i="4"/>
  <c r="F447" i="4"/>
  <c r="G447" i="4"/>
  <c r="F448" i="4"/>
  <c r="G448" i="4"/>
  <c r="F449" i="4"/>
  <c r="G449" i="4"/>
  <c r="F450" i="4"/>
  <c r="G450" i="4"/>
  <c r="F451" i="4"/>
  <c r="G451" i="4"/>
  <c r="F452" i="4"/>
  <c r="G452" i="4"/>
  <c r="F453" i="4"/>
  <c r="G453" i="4"/>
  <c r="F454" i="4"/>
  <c r="G454" i="4"/>
  <c r="F455" i="4"/>
  <c r="G455" i="4"/>
  <c r="F456" i="4"/>
  <c r="G456" i="4"/>
  <c r="F457" i="4"/>
  <c r="G457" i="4"/>
  <c r="F458" i="4"/>
  <c r="G458" i="4"/>
  <c r="F459" i="4"/>
  <c r="G459" i="4"/>
  <c r="F460" i="4"/>
  <c r="G460" i="4"/>
  <c r="F461" i="4"/>
  <c r="G461" i="4"/>
  <c r="F462" i="4"/>
  <c r="G462" i="4"/>
  <c r="F463" i="4"/>
  <c r="G463" i="4"/>
  <c r="F464" i="4"/>
  <c r="G464" i="4"/>
  <c r="F465" i="4"/>
  <c r="G465" i="4"/>
  <c r="F466" i="4"/>
  <c r="G466" i="4"/>
  <c r="F467" i="4"/>
  <c r="G467" i="4"/>
  <c r="F468" i="4"/>
  <c r="G468" i="4"/>
  <c r="F469" i="4"/>
  <c r="G469" i="4"/>
  <c r="F470" i="4"/>
  <c r="G470" i="4"/>
  <c r="F471" i="4"/>
  <c r="G471" i="4"/>
  <c r="F472" i="4"/>
  <c r="G472" i="4"/>
  <c r="F473" i="4"/>
  <c r="G473" i="4"/>
  <c r="F474" i="4"/>
  <c r="G474" i="4"/>
  <c r="F475" i="4"/>
  <c r="G475" i="4"/>
  <c r="F476" i="4"/>
  <c r="G476" i="4"/>
  <c r="F477" i="4"/>
  <c r="G477" i="4"/>
  <c r="F478" i="4"/>
  <c r="G478" i="4"/>
  <c r="F479" i="4"/>
  <c r="G479" i="4"/>
  <c r="F480" i="4"/>
  <c r="G480" i="4"/>
  <c r="F481" i="4"/>
  <c r="G481" i="4"/>
  <c r="F482" i="4"/>
  <c r="G482" i="4"/>
  <c r="F483" i="4"/>
  <c r="G483" i="4"/>
  <c r="F484" i="4"/>
  <c r="G484" i="4"/>
  <c r="F485" i="4"/>
  <c r="G485" i="4"/>
  <c r="F486" i="4"/>
  <c r="G486" i="4"/>
  <c r="F487" i="4"/>
  <c r="G487" i="4"/>
  <c r="F488" i="4"/>
  <c r="G488" i="4"/>
  <c r="F489" i="4"/>
  <c r="G489" i="4"/>
  <c r="F490" i="4"/>
  <c r="G490" i="4"/>
  <c r="F491" i="4"/>
  <c r="G491" i="4"/>
  <c r="F492" i="4"/>
  <c r="G492" i="4"/>
  <c r="F493" i="4"/>
  <c r="G493" i="4"/>
  <c r="F494" i="4"/>
  <c r="G494" i="4"/>
  <c r="F495" i="4"/>
  <c r="G495" i="4"/>
  <c r="F496" i="4"/>
  <c r="G496" i="4"/>
  <c r="F497" i="4"/>
  <c r="G497" i="4"/>
  <c r="F498" i="4"/>
  <c r="G498" i="4"/>
  <c r="F499" i="4"/>
  <c r="G499" i="4"/>
  <c r="F500" i="4"/>
  <c r="G500" i="4"/>
  <c r="F501" i="4"/>
  <c r="G501" i="4"/>
  <c r="F502" i="4"/>
  <c r="G502" i="4"/>
  <c r="F503" i="4"/>
  <c r="G503" i="4"/>
  <c r="F504" i="4"/>
  <c r="G504" i="4"/>
  <c r="F505" i="4"/>
  <c r="G505" i="4"/>
  <c r="F506" i="4"/>
  <c r="G506" i="4"/>
  <c r="F507" i="4"/>
  <c r="G507" i="4"/>
  <c r="F508" i="4"/>
  <c r="G508" i="4"/>
  <c r="F509" i="4"/>
  <c r="G509" i="4"/>
  <c r="F510" i="4"/>
  <c r="G510" i="4"/>
  <c r="F511" i="4"/>
  <c r="G511" i="4"/>
  <c r="F512" i="4"/>
  <c r="G512" i="4"/>
  <c r="F513" i="4"/>
  <c r="G513" i="4"/>
  <c r="F514" i="4"/>
  <c r="G514" i="4"/>
  <c r="F515" i="4"/>
  <c r="G515" i="4"/>
  <c r="F516" i="4"/>
  <c r="G516" i="4"/>
  <c r="F517" i="4"/>
  <c r="G517" i="4"/>
  <c r="F518" i="4"/>
  <c r="G518" i="4"/>
  <c r="F519" i="4"/>
  <c r="G519" i="4"/>
  <c r="F520" i="4"/>
  <c r="G520" i="4"/>
  <c r="F521" i="4"/>
  <c r="G521" i="4"/>
  <c r="F522" i="4"/>
  <c r="G522" i="4"/>
  <c r="F523" i="4"/>
  <c r="G523" i="4"/>
  <c r="F524" i="4"/>
  <c r="G524" i="4"/>
  <c r="F525" i="4"/>
  <c r="G525" i="4"/>
  <c r="F526" i="4"/>
  <c r="G526" i="4"/>
  <c r="F527" i="4"/>
  <c r="G527" i="4"/>
  <c r="F528" i="4"/>
  <c r="G528" i="4"/>
  <c r="F529" i="4"/>
  <c r="G529" i="4"/>
  <c r="F530" i="4"/>
  <c r="G530" i="4"/>
  <c r="F531" i="4"/>
  <c r="G531" i="4"/>
  <c r="F532" i="4"/>
  <c r="G532" i="4"/>
  <c r="F533" i="4"/>
  <c r="G533" i="4"/>
  <c r="F534" i="4"/>
  <c r="G534" i="4"/>
  <c r="F535" i="4"/>
  <c r="G535" i="4"/>
  <c r="F536" i="4"/>
  <c r="G536" i="4"/>
  <c r="F537" i="4"/>
  <c r="G537" i="4"/>
  <c r="F538" i="4"/>
  <c r="G538" i="4"/>
  <c r="F539" i="4"/>
  <c r="G539" i="4"/>
  <c r="F540" i="4"/>
  <c r="G540" i="4"/>
  <c r="F541" i="4"/>
  <c r="G541" i="4"/>
  <c r="F542" i="4"/>
  <c r="G542" i="4"/>
  <c r="F543" i="4"/>
  <c r="G543" i="4"/>
  <c r="F544" i="4"/>
  <c r="G544" i="4"/>
  <c r="F545" i="4"/>
  <c r="G545" i="4"/>
  <c r="F546" i="4"/>
  <c r="G546" i="4"/>
  <c r="F547" i="4"/>
  <c r="G547" i="4"/>
  <c r="F548" i="4"/>
  <c r="G548" i="4"/>
  <c r="F549" i="4"/>
  <c r="G549" i="4"/>
  <c r="F550" i="4"/>
  <c r="G550" i="4"/>
  <c r="F551" i="4"/>
  <c r="G551" i="4"/>
  <c r="F552" i="4"/>
  <c r="G552" i="4"/>
  <c r="F553" i="4"/>
  <c r="G553" i="4"/>
  <c r="F554" i="4"/>
  <c r="G554" i="4"/>
  <c r="F555" i="4"/>
  <c r="G555" i="4"/>
  <c r="F556" i="4"/>
  <c r="G556" i="4"/>
  <c r="F557" i="4"/>
  <c r="G557" i="4"/>
  <c r="F558" i="4"/>
  <c r="G558" i="4"/>
  <c r="F559" i="4"/>
  <c r="G559" i="4"/>
  <c r="F560" i="4"/>
  <c r="G560" i="4"/>
  <c r="F561" i="4"/>
  <c r="G561" i="4"/>
  <c r="F562" i="4"/>
  <c r="G562" i="4"/>
  <c r="F563" i="4"/>
  <c r="G563" i="4"/>
  <c r="F564" i="4"/>
  <c r="G564" i="4"/>
  <c r="F565" i="4"/>
  <c r="G565" i="4"/>
  <c r="F566" i="4"/>
  <c r="G566" i="4"/>
  <c r="F567" i="4"/>
  <c r="G567" i="4"/>
  <c r="F568" i="4"/>
  <c r="G568" i="4"/>
  <c r="F569" i="4"/>
  <c r="G569" i="4"/>
  <c r="F570" i="4"/>
  <c r="G570" i="4"/>
  <c r="F571" i="4"/>
  <c r="G571" i="4"/>
  <c r="F572" i="4"/>
  <c r="G572" i="4"/>
  <c r="F573" i="4"/>
  <c r="G573" i="4"/>
  <c r="F574" i="4"/>
  <c r="G574" i="4"/>
  <c r="F575" i="4"/>
  <c r="G575" i="4"/>
  <c r="F576" i="4"/>
  <c r="G576" i="4"/>
  <c r="F577" i="4"/>
  <c r="G577" i="4"/>
  <c r="F578" i="4"/>
  <c r="G578" i="4"/>
  <c r="F579" i="4"/>
  <c r="G579" i="4"/>
  <c r="F580" i="4"/>
  <c r="G580" i="4"/>
  <c r="F581" i="4"/>
  <c r="G581" i="4"/>
  <c r="F582" i="4"/>
  <c r="G582" i="4"/>
  <c r="F583" i="4"/>
  <c r="G583" i="4"/>
  <c r="F584" i="4"/>
  <c r="G584" i="4"/>
  <c r="F585" i="4"/>
  <c r="G585" i="4"/>
  <c r="F586" i="4"/>
  <c r="G586" i="4"/>
  <c r="F587" i="4"/>
  <c r="G587" i="4"/>
  <c r="F588" i="4"/>
  <c r="G588" i="4"/>
  <c r="F589" i="4"/>
  <c r="G589" i="4"/>
  <c r="F590" i="4"/>
  <c r="G590" i="4"/>
  <c r="F591" i="4"/>
  <c r="G591" i="4"/>
  <c r="F592" i="4"/>
  <c r="G592" i="4"/>
  <c r="F593" i="4"/>
  <c r="G593" i="4"/>
  <c r="F594" i="4"/>
  <c r="G594" i="4"/>
  <c r="F595" i="4"/>
  <c r="G595" i="4"/>
  <c r="F596" i="4"/>
  <c r="G596" i="4"/>
  <c r="F597" i="4"/>
  <c r="G597" i="4"/>
  <c r="F598" i="4"/>
  <c r="G598" i="4"/>
  <c r="F599" i="4"/>
  <c r="G599" i="4"/>
  <c r="F600" i="4"/>
  <c r="G600" i="4"/>
  <c r="F601" i="4"/>
  <c r="G601" i="4"/>
  <c r="F602" i="4"/>
  <c r="G602" i="4"/>
  <c r="F603" i="4"/>
  <c r="G603" i="4"/>
  <c r="F604" i="4"/>
  <c r="G604" i="4"/>
  <c r="F605" i="4"/>
  <c r="G605" i="4"/>
  <c r="F606" i="4"/>
  <c r="G606" i="4"/>
  <c r="F607" i="4"/>
  <c r="G607" i="4"/>
  <c r="F608" i="4"/>
  <c r="G608" i="4"/>
  <c r="F609" i="4"/>
  <c r="G609" i="4"/>
  <c r="F610" i="4"/>
  <c r="G610" i="4"/>
  <c r="F611" i="4"/>
  <c r="G611" i="4"/>
  <c r="F612" i="4"/>
  <c r="G612" i="4"/>
  <c r="F613" i="4"/>
  <c r="G613" i="4"/>
  <c r="F614" i="4"/>
  <c r="G614" i="4"/>
  <c r="F615" i="4"/>
  <c r="G615" i="4"/>
  <c r="F616" i="4"/>
  <c r="G616" i="4"/>
  <c r="F617" i="4"/>
  <c r="G617" i="4"/>
  <c r="F618" i="4"/>
  <c r="G618" i="4"/>
  <c r="F619" i="4"/>
  <c r="G619" i="4"/>
  <c r="F620" i="4"/>
  <c r="G620" i="4"/>
  <c r="F621" i="4"/>
  <c r="G621" i="4"/>
  <c r="F622" i="4"/>
  <c r="G622" i="4"/>
  <c r="F623" i="4"/>
  <c r="G623" i="4"/>
  <c r="F624" i="4"/>
  <c r="G624" i="4"/>
  <c r="F625" i="4"/>
  <c r="G625" i="4"/>
  <c r="F626" i="4"/>
  <c r="G626" i="4"/>
  <c r="F627" i="4"/>
  <c r="G627" i="4"/>
  <c r="F628" i="4"/>
  <c r="G628" i="4"/>
  <c r="F629" i="4"/>
  <c r="G629" i="4"/>
  <c r="F630" i="4"/>
  <c r="G630" i="4"/>
  <c r="F631" i="4"/>
  <c r="G631" i="4"/>
  <c r="F632" i="4"/>
  <c r="G632" i="4"/>
  <c r="F633" i="4"/>
  <c r="G633" i="4"/>
  <c r="F634" i="4"/>
  <c r="G634" i="4"/>
  <c r="F635" i="4"/>
  <c r="G635" i="4"/>
  <c r="F636" i="4"/>
  <c r="G636" i="4"/>
  <c r="F637" i="4"/>
  <c r="G637" i="4"/>
  <c r="F638" i="4"/>
  <c r="G638" i="4"/>
  <c r="F639" i="4"/>
  <c r="G639" i="4"/>
  <c r="F640" i="4"/>
  <c r="G640" i="4"/>
  <c r="F641" i="4"/>
  <c r="G641" i="4"/>
  <c r="F642" i="4"/>
  <c r="G642" i="4"/>
  <c r="F643" i="4"/>
  <c r="G643" i="4"/>
  <c r="F644" i="4"/>
  <c r="G644" i="4"/>
  <c r="F645" i="4"/>
  <c r="G645" i="4"/>
  <c r="F646" i="4"/>
  <c r="G646" i="4"/>
  <c r="F647" i="4"/>
  <c r="G647" i="4"/>
  <c r="F648" i="4"/>
  <c r="G648" i="4"/>
  <c r="F649" i="4"/>
  <c r="G649" i="4"/>
  <c r="F650" i="4"/>
  <c r="G650" i="4"/>
  <c r="F651" i="4"/>
  <c r="G651" i="4"/>
  <c r="F652" i="4"/>
  <c r="G652" i="4"/>
  <c r="F653" i="4"/>
  <c r="G653" i="4"/>
  <c r="F654" i="4"/>
  <c r="G654" i="4"/>
  <c r="F655" i="4"/>
  <c r="G655" i="4"/>
  <c r="F656" i="4"/>
  <c r="G656" i="4"/>
  <c r="F657" i="4"/>
  <c r="G657" i="4"/>
  <c r="F658" i="4"/>
  <c r="G658" i="4"/>
  <c r="F659" i="4"/>
  <c r="G659" i="4"/>
  <c r="F660" i="4"/>
  <c r="G660" i="4"/>
  <c r="F661" i="4"/>
  <c r="G661" i="4"/>
  <c r="F662" i="4"/>
  <c r="G662" i="4"/>
  <c r="F663" i="4"/>
  <c r="G663" i="4"/>
  <c r="F664" i="4"/>
  <c r="G664" i="4"/>
  <c r="F665" i="4"/>
  <c r="G665" i="4"/>
  <c r="F666" i="4"/>
  <c r="G666" i="4"/>
  <c r="F667" i="4"/>
  <c r="G667" i="4"/>
  <c r="F668" i="4"/>
  <c r="G668" i="4"/>
  <c r="F669" i="4"/>
  <c r="G669" i="4"/>
  <c r="F670" i="4"/>
  <c r="G670" i="4"/>
  <c r="F671" i="4"/>
  <c r="G671" i="4"/>
  <c r="F672" i="4"/>
  <c r="G672" i="4"/>
  <c r="F673" i="4"/>
  <c r="G673" i="4"/>
  <c r="F674" i="4"/>
  <c r="G674" i="4"/>
  <c r="F675" i="4"/>
  <c r="G675" i="4"/>
  <c r="F676" i="4"/>
  <c r="G676" i="4"/>
  <c r="F677" i="4"/>
  <c r="G677" i="4"/>
  <c r="F678" i="4"/>
  <c r="G678" i="4"/>
  <c r="F679" i="4"/>
  <c r="G679" i="4"/>
  <c r="F680" i="4"/>
  <c r="G680" i="4"/>
  <c r="F681" i="4"/>
  <c r="G681" i="4"/>
  <c r="F682" i="4"/>
  <c r="G682" i="4"/>
  <c r="F683" i="4"/>
  <c r="G683" i="4"/>
  <c r="F684" i="4"/>
  <c r="G684" i="4"/>
  <c r="F685" i="4"/>
  <c r="G685" i="4"/>
  <c r="F686" i="4"/>
  <c r="G686" i="4"/>
  <c r="F687" i="4"/>
  <c r="G687" i="4"/>
  <c r="F688" i="4"/>
  <c r="G688" i="4"/>
  <c r="F689" i="4"/>
  <c r="G689" i="4"/>
  <c r="F690" i="4"/>
  <c r="G690" i="4"/>
  <c r="F691" i="4"/>
  <c r="G691" i="4"/>
  <c r="F692" i="4"/>
  <c r="G692" i="4"/>
  <c r="F693" i="4"/>
  <c r="G693" i="4"/>
  <c r="F694" i="4"/>
  <c r="G694" i="4"/>
  <c r="F695" i="4"/>
  <c r="G695" i="4"/>
  <c r="F696" i="4"/>
  <c r="G696" i="4"/>
  <c r="F697" i="4"/>
  <c r="G697" i="4"/>
  <c r="F698" i="4"/>
  <c r="G698" i="4"/>
  <c r="F699" i="4"/>
  <c r="G699" i="4"/>
  <c r="F700" i="4"/>
  <c r="G700" i="4"/>
  <c r="F701" i="4"/>
  <c r="G701" i="4"/>
  <c r="F702" i="4"/>
  <c r="G702" i="4"/>
  <c r="F703" i="4"/>
  <c r="G703" i="4"/>
  <c r="F704" i="4"/>
  <c r="G704" i="4"/>
  <c r="F705" i="4"/>
  <c r="G705" i="4"/>
  <c r="F706" i="4"/>
  <c r="G706" i="4"/>
  <c r="F707" i="4"/>
  <c r="G707" i="4"/>
  <c r="F708" i="4"/>
  <c r="G708" i="4"/>
  <c r="F709" i="4"/>
  <c r="G709" i="4"/>
  <c r="F710" i="4"/>
  <c r="G710" i="4"/>
  <c r="F711" i="4"/>
  <c r="G711" i="4"/>
  <c r="F712" i="4"/>
  <c r="G712" i="4"/>
  <c r="F713" i="4"/>
  <c r="G713" i="4"/>
  <c r="F714" i="4"/>
  <c r="G714" i="4"/>
  <c r="F715" i="4"/>
  <c r="G715" i="4"/>
  <c r="F716" i="4"/>
  <c r="G716" i="4"/>
  <c r="F717" i="4"/>
  <c r="G717" i="4"/>
  <c r="F718" i="4"/>
  <c r="G718" i="4"/>
  <c r="F719" i="4"/>
  <c r="G719" i="4"/>
  <c r="F720" i="4"/>
  <c r="G720" i="4"/>
  <c r="F721" i="4"/>
  <c r="G721" i="4"/>
  <c r="F722" i="4"/>
  <c r="G722" i="4"/>
  <c r="F723" i="4"/>
  <c r="G723" i="4"/>
  <c r="F724" i="4"/>
  <c r="G724" i="4"/>
  <c r="F725" i="4"/>
  <c r="G725" i="4"/>
  <c r="F726" i="4"/>
  <c r="G726" i="4"/>
  <c r="F727" i="4"/>
  <c r="G727" i="4"/>
  <c r="F728" i="4"/>
  <c r="G728" i="4"/>
  <c r="F729" i="4"/>
  <c r="G729" i="4"/>
  <c r="F730" i="4"/>
  <c r="G730" i="4"/>
  <c r="F731" i="4"/>
  <c r="G731" i="4"/>
  <c r="F732" i="4"/>
  <c r="G732" i="4"/>
  <c r="F733" i="4"/>
  <c r="G733" i="4"/>
  <c r="F734" i="4"/>
  <c r="G734" i="4"/>
  <c r="F735" i="4"/>
  <c r="G735" i="4"/>
  <c r="F736" i="4"/>
  <c r="G736" i="4"/>
  <c r="F737" i="4"/>
  <c r="G737" i="4"/>
  <c r="F738" i="4"/>
  <c r="G738" i="4"/>
  <c r="F739" i="4"/>
  <c r="G739" i="4"/>
  <c r="F740" i="4"/>
  <c r="G740" i="4"/>
  <c r="F741" i="4"/>
  <c r="G741" i="4"/>
  <c r="F742" i="4"/>
  <c r="G742" i="4"/>
  <c r="F743" i="4"/>
  <c r="G743" i="4"/>
  <c r="F744" i="4"/>
  <c r="G744" i="4"/>
  <c r="F745" i="4"/>
  <c r="G745" i="4"/>
  <c r="F746" i="4"/>
  <c r="G746" i="4"/>
  <c r="F747" i="4"/>
  <c r="G747" i="4"/>
  <c r="F748" i="4"/>
  <c r="G748" i="4"/>
  <c r="F749" i="4"/>
  <c r="G749" i="4"/>
  <c r="F750" i="4"/>
  <c r="G750" i="4"/>
  <c r="F751" i="4"/>
  <c r="G751" i="4"/>
  <c r="F752" i="4"/>
  <c r="G752" i="4"/>
  <c r="F753" i="4"/>
  <c r="G753" i="4"/>
  <c r="F754" i="4"/>
  <c r="G754" i="4"/>
  <c r="F755" i="4"/>
  <c r="G755" i="4"/>
  <c r="F756" i="4"/>
  <c r="G756" i="4"/>
  <c r="F757" i="4"/>
  <c r="G757" i="4"/>
  <c r="F758" i="4"/>
  <c r="G758" i="4"/>
  <c r="F759" i="4"/>
  <c r="G759" i="4"/>
  <c r="F760" i="4"/>
  <c r="G760" i="4"/>
  <c r="F761" i="4"/>
  <c r="G761" i="4"/>
  <c r="F762" i="4"/>
  <c r="G762" i="4"/>
  <c r="F763" i="4"/>
  <c r="G763" i="4"/>
  <c r="F764" i="4"/>
  <c r="G764" i="4"/>
  <c r="F765" i="4"/>
  <c r="G765" i="4"/>
  <c r="F766" i="4"/>
  <c r="G766" i="4"/>
  <c r="F767" i="4"/>
  <c r="G767" i="4"/>
  <c r="F768" i="4"/>
  <c r="G768" i="4"/>
  <c r="F769" i="4"/>
  <c r="G769" i="4"/>
  <c r="F770" i="4"/>
  <c r="G770" i="4"/>
  <c r="F771" i="4"/>
  <c r="G771" i="4"/>
  <c r="F772" i="4"/>
  <c r="G772" i="4"/>
  <c r="F773" i="4"/>
  <c r="G773" i="4"/>
  <c r="F774" i="4"/>
  <c r="G774" i="4"/>
  <c r="F775" i="4"/>
  <c r="G775" i="4"/>
  <c r="F776" i="4"/>
  <c r="G776" i="4"/>
  <c r="F777" i="4"/>
  <c r="G777" i="4"/>
  <c r="F778" i="4"/>
  <c r="G778" i="4"/>
  <c r="F779" i="4"/>
  <c r="G779" i="4"/>
  <c r="F780" i="4"/>
  <c r="G780" i="4"/>
  <c r="F781" i="4"/>
  <c r="G781" i="4"/>
  <c r="F782" i="4"/>
  <c r="G782" i="4"/>
  <c r="F783" i="4"/>
  <c r="G783" i="4"/>
  <c r="F784" i="4"/>
  <c r="G784" i="4"/>
  <c r="F785" i="4"/>
  <c r="G785" i="4"/>
  <c r="F786" i="4"/>
  <c r="G786" i="4"/>
  <c r="F787" i="4"/>
  <c r="G787" i="4"/>
  <c r="F788" i="4"/>
  <c r="G788" i="4"/>
  <c r="F789" i="4"/>
  <c r="G789" i="4"/>
  <c r="F790" i="4"/>
  <c r="G790" i="4"/>
  <c r="F791" i="4"/>
  <c r="G791" i="4"/>
  <c r="F792" i="4"/>
  <c r="G792" i="4"/>
  <c r="F793" i="4"/>
  <c r="G793" i="4"/>
  <c r="F794" i="4"/>
  <c r="G794" i="4"/>
  <c r="F795" i="4"/>
  <c r="G795" i="4"/>
  <c r="F796" i="4"/>
  <c r="G796" i="4"/>
  <c r="F797" i="4"/>
  <c r="G797" i="4"/>
  <c r="F798" i="4"/>
  <c r="G798" i="4"/>
  <c r="F799" i="4"/>
  <c r="G799" i="4"/>
  <c r="F800" i="4"/>
  <c r="G800" i="4"/>
  <c r="F801" i="4"/>
  <c r="G801" i="4"/>
  <c r="F802" i="4"/>
  <c r="G802" i="4"/>
  <c r="F803" i="4"/>
  <c r="G803" i="4"/>
  <c r="F804" i="4"/>
  <c r="G804" i="4"/>
  <c r="F805" i="4"/>
  <c r="G805" i="4"/>
  <c r="F806" i="4"/>
  <c r="G806" i="4"/>
  <c r="F807" i="4"/>
  <c r="G807" i="4"/>
  <c r="F808" i="4"/>
  <c r="G808" i="4"/>
  <c r="F809" i="4"/>
  <c r="G809" i="4"/>
  <c r="F810" i="4"/>
  <c r="G810" i="4"/>
  <c r="F811" i="4"/>
  <c r="G811" i="4"/>
  <c r="F812" i="4"/>
  <c r="G812" i="4"/>
  <c r="F813" i="4"/>
  <c r="G813" i="4"/>
  <c r="F814" i="4"/>
  <c r="G814" i="4"/>
  <c r="F815" i="4"/>
  <c r="G815" i="4"/>
  <c r="F816" i="4"/>
  <c r="G816" i="4"/>
  <c r="F817" i="4"/>
  <c r="G817" i="4"/>
  <c r="F818" i="4"/>
  <c r="G818" i="4"/>
  <c r="F819" i="4"/>
  <c r="G819" i="4"/>
  <c r="F820" i="4"/>
  <c r="G820" i="4"/>
  <c r="F821" i="4"/>
  <c r="G821" i="4"/>
  <c r="F822" i="4"/>
  <c r="G822" i="4"/>
  <c r="F823" i="4"/>
  <c r="G823" i="4"/>
  <c r="F824" i="4"/>
  <c r="G824" i="4"/>
  <c r="F825" i="4"/>
  <c r="G825" i="4"/>
  <c r="F826" i="4"/>
  <c r="G826" i="4"/>
  <c r="F827" i="4"/>
  <c r="G827" i="4"/>
  <c r="F828" i="4"/>
  <c r="G828" i="4"/>
  <c r="F829" i="4"/>
  <c r="G829" i="4"/>
  <c r="F830" i="4"/>
  <c r="G830" i="4"/>
  <c r="F831" i="4"/>
  <c r="G831" i="4"/>
  <c r="F832" i="4"/>
  <c r="G832" i="4"/>
  <c r="F833" i="4"/>
  <c r="G833" i="4"/>
  <c r="F834" i="4"/>
  <c r="G834" i="4"/>
  <c r="F835" i="4"/>
  <c r="G835" i="4"/>
  <c r="F836" i="4"/>
  <c r="G836" i="4"/>
  <c r="F837" i="4"/>
  <c r="G837" i="4"/>
  <c r="F838" i="4"/>
  <c r="G838" i="4"/>
  <c r="F839" i="4"/>
  <c r="G839" i="4"/>
  <c r="F840" i="4"/>
  <c r="G840" i="4"/>
  <c r="F841" i="4"/>
  <c r="G841" i="4"/>
  <c r="F842" i="4"/>
  <c r="G842" i="4"/>
  <c r="F843" i="4"/>
  <c r="G843" i="4"/>
  <c r="F844" i="4"/>
  <c r="G844" i="4"/>
  <c r="F845" i="4"/>
  <c r="G845" i="4"/>
  <c r="F846" i="4"/>
  <c r="G846" i="4"/>
  <c r="F847" i="4"/>
  <c r="G847" i="4"/>
  <c r="F848" i="4"/>
  <c r="G848" i="4"/>
  <c r="F849" i="4"/>
  <c r="G849" i="4"/>
  <c r="F850" i="4"/>
  <c r="G850" i="4"/>
  <c r="F851" i="4"/>
  <c r="G851" i="4"/>
  <c r="F852" i="4"/>
  <c r="G852" i="4"/>
  <c r="F853" i="4"/>
  <c r="G853" i="4"/>
  <c r="F854" i="4"/>
  <c r="G854" i="4"/>
  <c r="F855" i="4"/>
  <c r="G855" i="4"/>
  <c r="F856" i="4"/>
  <c r="G856" i="4"/>
  <c r="F857" i="4"/>
  <c r="G857" i="4"/>
  <c r="F858" i="4"/>
  <c r="G858" i="4"/>
  <c r="F859" i="4"/>
  <c r="G859" i="4"/>
  <c r="F860" i="4"/>
  <c r="G860" i="4"/>
  <c r="F861" i="4"/>
  <c r="G861" i="4"/>
  <c r="F862" i="4"/>
  <c r="G862" i="4"/>
  <c r="F863" i="4"/>
  <c r="G863" i="4"/>
  <c r="F864" i="4"/>
  <c r="G864" i="4"/>
  <c r="F865" i="4"/>
  <c r="G865" i="4"/>
  <c r="F866" i="4"/>
  <c r="G866" i="4"/>
  <c r="F867" i="4"/>
  <c r="G867" i="4"/>
  <c r="F868" i="4"/>
  <c r="G868" i="4"/>
  <c r="F869" i="4"/>
  <c r="G869" i="4"/>
  <c r="F870" i="4"/>
  <c r="G870" i="4"/>
  <c r="F871" i="4"/>
  <c r="G871" i="4"/>
  <c r="F872" i="4"/>
  <c r="G872" i="4"/>
  <c r="F873" i="4"/>
  <c r="G873" i="4"/>
  <c r="F874" i="4"/>
  <c r="G874" i="4"/>
  <c r="F875" i="4"/>
  <c r="G875" i="4"/>
  <c r="F876" i="4"/>
  <c r="G876" i="4"/>
  <c r="F877" i="4"/>
  <c r="G877" i="4"/>
  <c r="F878" i="4"/>
  <c r="G878" i="4"/>
  <c r="F879" i="4"/>
  <c r="G879" i="4"/>
  <c r="F880" i="4"/>
  <c r="G880" i="4"/>
  <c r="F881" i="4"/>
  <c r="G881" i="4"/>
  <c r="F882" i="4"/>
  <c r="G882" i="4"/>
  <c r="F883" i="4"/>
  <c r="G883" i="4"/>
  <c r="F884" i="4"/>
  <c r="G884" i="4"/>
  <c r="F885" i="4"/>
  <c r="G885" i="4"/>
  <c r="F886" i="4"/>
  <c r="G886" i="4"/>
  <c r="F887" i="4"/>
  <c r="G887" i="4"/>
  <c r="F888" i="4"/>
  <c r="G888" i="4"/>
  <c r="F889" i="4"/>
  <c r="G889" i="4"/>
  <c r="F890" i="4"/>
  <c r="G890" i="4"/>
  <c r="F891" i="4"/>
  <c r="G891" i="4"/>
  <c r="F892" i="4"/>
  <c r="G892" i="4"/>
  <c r="F893" i="4"/>
  <c r="G893" i="4"/>
  <c r="F894" i="4"/>
  <c r="G894" i="4"/>
  <c r="F895" i="4"/>
  <c r="G895" i="4"/>
  <c r="F896" i="4"/>
  <c r="G896" i="4"/>
  <c r="F897" i="4"/>
  <c r="G897" i="4"/>
  <c r="F898" i="4"/>
  <c r="G898" i="4"/>
  <c r="F899" i="4"/>
  <c r="G899" i="4"/>
  <c r="F900" i="4"/>
  <c r="G900" i="4"/>
  <c r="F901" i="4"/>
  <c r="G901" i="4"/>
  <c r="F902" i="4"/>
  <c r="G902" i="4"/>
  <c r="F903" i="4"/>
  <c r="G903" i="4"/>
  <c r="F904" i="4"/>
  <c r="G904" i="4"/>
  <c r="F905" i="4"/>
  <c r="G905" i="4"/>
  <c r="F906" i="4"/>
  <c r="G906" i="4"/>
  <c r="F907" i="4"/>
  <c r="G907" i="4"/>
  <c r="F908" i="4"/>
  <c r="G908" i="4"/>
  <c r="F909" i="4"/>
  <c r="G909" i="4"/>
  <c r="F910" i="4"/>
  <c r="G910" i="4"/>
  <c r="F911" i="4"/>
  <c r="G911" i="4"/>
  <c r="F912" i="4"/>
  <c r="G912" i="4"/>
  <c r="F913" i="4"/>
  <c r="G913" i="4"/>
  <c r="F914" i="4"/>
  <c r="G914" i="4"/>
  <c r="F915" i="4"/>
  <c r="G915" i="4"/>
  <c r="F916" i="4"/>
  <c r="G916" i="4"/>
  <c r="F917" i="4"/>
  <c r="G917" i="4"/>
  <c r="F918" i="4"/>
  <c r="G918" i="4"/>
  <c r="F919" i="4"/>
  <c r="G919" i="4"/>
  <c r="F920" i="4"/>
  <c r="G920" i="4"/>
  <c r="F921" i="4"/>
  <c r="G921" i="4"/>
  <c r="F922" i="4"/>
  <c r="G922" i="4"/>
  <c r="F923" i="4"/>
  <c r="G923" i="4"/>
  <c r="F924" i="4"/>
  <c r="G924" i="4"/>
  <c r="F925" i="4"/>
  <c r="G925" i="4"/>
  <c r="F926" i="4"/>
  <c r="G926" i="4"/>
  <c r="F927" i="4"/>
  <c r="G927" i="4"/>
  <c r="F928" i="4"/>
  <c r="G928" i="4"/>
  <c r="F929" i="4"/>
  <c r="G929" i="4"/>
  <c r="F930" i="4"/>
  <c r="G930" i="4"/>
  <c r="F931" i="4"/>
  <c r="G931" i="4"/>
  <c r="F932" i="4"/>
  <c r="G932" i="4"/>
  <c r="F933" i="4"/>
  <c r="G933" i="4"/>
  <c r="F934" i="4"/>
  <c r="G934" i="4"/>
  <c r="F935" i="4"/>
  <c r="G935" i="4"/>
  <c r="F936" i="4"/>
  <c r="G936" i="4"/>
  <c r="F937" i="4"/>
  <c r="G937" i="4"/>
  <c r="F938" i="4"/>
  <c r="G938" i="4"/>
  <c r="F939" i="4"/>
  <c r="G939" i="4"/>
  <c r="F940" i="4"/>
  <c r="G940" i="4"/>
  <c r="F941" i="4"/>
  <c r="G941" i="4"/>
  <c r="F942" i="4"/>
  <c r="G942" i="4"/>
  <c r="F943" i="4"/>
  <c r="G943" i="4"/>
  <c r="F944" i="4"/>
  <c r="G944" i="4"/>
  <c r="F945" i="4"/>
  <c r="G945" i="4"/>
  <c r="F946" i="4"/>
  <c r="G946" i="4"/>
  <c r="F947" i="4"/>
  <c r="G947" i="4"/>
  <c r="F948" i="4"/>
  <c r="G948" i="4"/>
  <c r="F949" i="4"/>
  <c r="G949" i="4"/>
  <c r="F950" i="4"/>
  <c r="G950" i="4"/>
  <c r="F951" i="4"/>
  <c r="G951" i="4"/>
  <c r="F952" i="4"/>
  <c r="G952" i="4"/>
  <c r="F953" i="4"/>
  <c r="G953" i="4"/>
  <c r="F954" i="4"/>
  <c r="G954" i="4"/>
  <c r="F955" i="4"/>
  <c r="G955" i="4"/>
  <c r="F956" i="4"/>
  <c r="G956" i="4"/>
  <c r="F957" i="4"/>
  <c r="G957" i="4"/>
  <c r="F958" i="4"/>
  <c r="G958" i="4"/>
  <c r="F959" i="4"/>
  <c r="G959" i="4"/>
  <c r="F960" i="4"/>
  <c r="G960" i="4"/>
  <c r="F961" i="4"/>
  <c r="G961" i="4"/>
  <c r="F962" i="4"/>
  <c r="G962" i="4"/>
  <c r="F963" i="4"/>
  <c r="G963" i="4"/>
  <c r="F964" i="4"/>
  <c r="G964" i="4"/>
  <c r="F965" i="4"/>
  <c r="G965" i="4"/>
  <c r="F966" i="4"/>
  <c r="G966" i="4"/>
  <c r="F967" i="4"/>
  <c r="G967" i="4"/>
  <c r="F968" i="4"/>
  <c r="G968" i="4"/>
  <c r="F969" i="4"/>
  <c r="G969" i="4"/>
  <c r="F970" i="4"/>
  <c r="G970" i="4"/>
  <c r="F971" i="4"/>
  <c r="G971" i="4"/>
  <c r="F972" i="4"/>
  <c r="G972" i="4"/>
  <c r="F973" i="4"/>
  <c r="G973" i="4"/>
  <c r="F974" i="4"/>
  <c r="G974" i="4"/>
  <c r="F975" i="4"/>
  <c r="G975" i="4"/>
  <c r="F976" i="4"/>
  <c r="G976" i="4"/>
  <c r="F977" i="4"/>
  <c r="G977" i="4"/>
  <c r="F978" i="4"/>
  <c r="G978" i="4"/>
  <c r="F979" i="4"/>
  <c r="G979" i="4"/>
  <c r="F980" i="4"/>
  <c r="G980" i="4"/>
  <c r="F981" i="4"/>
  <c r="G981" i="4"/>
  <c r="F982" i="4"/>
  <c r="G982" i="4"/>
  <c r="F983" i="4"/>
  <c r="G983" i="4"/>
  <c r="F984" i="4"/>
  <c r="G984" i="4"/>
  <c r="F985" i="4"/>
  <c r="G985" i="4"/>
  <c r="F986" i="4"/>
  <c r="G986" i="4"/>
  <c r="F987" i="4"/>
  <c r="G987" i="4"/>
  <c r="F988" i="4"/>
  <c r="G988" i="4"/>
  <c r="F989" i="4"/>
  <c r="G989" i="4"/>
  <c r="F990" i="4"/>
  <c r="G990" i="4"/>
  <c r="F991" i="4"/>
  <c r="G991" i="4"/>
  <c r="F992" i="4"/>
  <c r="G992" i="4"/>
  <c r="F993" i="4"/>
  <c r="G993" i="4"/>
  <c r="F994" i="4"/>
  <c r="G994" i="4"/>
  <c r="F995" i="4"/>
  <c r="G995" i="4"/>
  <c r="F996" i="4"/>
  <c r="G996" i="4"/>
  <c r="F997" i="4"/>
  <c r="G997" i="4"/>
  <c r="F998" i="4"/>
  <c r="G998" i="4"/>
  <c r="F999" i="4"/>
  <c r="G999" i="4"/>
  <c r="F1000" i="4"/>
  <c r="G1000" i="4"/>
  <c r="F1001" i="4"/>
  <c r="G1001" i="4"/>
</calcChain>
</file>

<file path=xl/sharedStrings.xml><?xml version="1.0" encoding="utf-8"?>
<sst xmlns="http://schemas.openxmlformats.org/spreadsheetml/2006/main" count="4203" uniqueCount="970">
  <si>
    <t>customer_id</t>
  </si>
  <si>
    <t>customer_name</t>
  </si>
  <si>
    <t>city</t>
  </si>
  <si>
    <t>state</t>
  </si>
  <si>
    <t>age</t>
  </si>
  <si>
    <t>gender</t>
  </si>
  <si>
    <t>Duplicate_Check</t>
  </si>
  <si>
    <t>C001</t>
  </si>
  <si>
    <t>Rahul X.</t>
  </si>
  <si>
    <t>Tirupati</t>
  </si>
  <si>
    <t>Andhra Pradesh</t>
  </si>
  <si>
    <t>Male</t>
  </si>
  <si>
    <t>C002</t>
  </si>
  <si>
    <t>Arjun X.</t>
  </si>
  <si>
    <t>Mumbai</t>
  </si>
  <si>
    <t>Maharashtra</t>
  </si>
  <si>
    <t>C003</t>
  </si>
  <si>
    <t>Kavya B.</t>
  </si>
  <si>
    <t>Coimbatore</t>
  </si>
  <si>
    <t>Tamil Nadu</t>
  </si>
  <si>
    <t>C004</t>
  </si>
  <si>
    <t>Pooja Q.</t>
  </si>
  <si>
    <t>Bengaluru</t>
  </si>
  <si>
    <t>Karnataka</t>
  </si>
  <si>
    <t>C005</t>
  </si>
  <si>
    <t>Ravi W.</t>
  </si>
  <si>
    <t>Bhubaneswar</t>
  </si>
  <si>
    <t>Odisha</t>
  </si>
  <si>
    <t>Female</t>
  </si>
  <si>
    <t>C006</t>
  </si>
  <si>
    <t>Rohit S.</t>
  </si>
  <si>
    <t>C007</t>
  </si>
  <si>
    <t>Kavya K.</t>
  </si>
  <si>
    <t>Chennai</t>
  </si>
  <si>
    <t>C008</t>
  </si>
  <si>
    <t>Suresh D.</t>
  </si>
  <si>
    <t>C009</t>
  </si>
  <si>
    <t>Neha L.</t>
  </si>
  <si>
    <t>C010</t>
  </si>
  <si>
    <t>Rohit R.</t>
  </si>
  <si>
    <t>Vijayawada</t>
  </si>
  <si>
    <t>C011</t>
  </si>
  <si>
    <t>Lakshmi J.</t>
  </si>
  <si>
    <t>Visakhapatnam</t>
  </si>
  <si>
    <t>C012</t>
  </si>
  <si>
    <t>C013</t>
  </si>
  <si>
    <t>Divya C.</t>
  </si>
  <si>
    <t>C014</t>
  </si>
  <si>
    <t>Vikram O.</t>
  </si>
  <si>
    <t>Jaipur</t>
  </si>
  <si>
    <t>Rajasthan</t>
  </si>
  <si>
    <t>C015</t>
  </si>
  <si>
    <t>C016</t>
  </si>
  <si>
    <t>Meena U.</t>
  </si>
  <si>
    <t>C017</t>
  </si>
  <si>
    <t>Rohit M.</t>
  </si>
  <si>
    <t>C018</t>
  </si>
  <si>
    <t>Priya H.</t>
  </si>
  <si>
    <t>Kolkata</t>
  </si>
  <si>
    <t>West Bengal</t>
  </si>
  <si>
    <t>C019</t>
  </si>
  <si>
    <t>Vikram C.</t>
  </si>
  <si>
    <t>C020</t>
  </si>
  <si>
    <t>Swathi M.</t>
  </si>
  <si>
    <t>C021</t>
  </si>
  <si>
    <t>Vikram E.</t>
  </si>
  <si>
    <t>Warangal</t>
  </si>
  <si>
    <t>Telangana</t>
  </si>
  <si>
    <t>C022</t>
  </si>
  <si>
    <t>Kavya S.</t>
  </si>
  <si>
    <t>C023</t>
  </si>
  <si>
    <t>Arjun Q.</t>
  </si>
  <si>
    <t>C024</t>
  </si>
  <si>
    <t>Anjali E.</t>
  </si>
  <si>
    <t>C025</t>
  </si>
  <si>
    <t>Meena C.</t>
  </si>
  <si>
    <t>Ahmedabad</t>
  </si>
  <si>
    <t>Gujarat</t>
  </si>
  <si>
    <t>C026</t>
  </si>
  <si>
    <t>Rohit Q.</t>
  </si>
  <si>
    <t>Mysuru</t>
  </si>
  <si>
    <t>C027</t>
  </si>
  <si>
    <t>Lakshmi Y.</t>
  </si>
  <si>
    <t>C028</t>
  </si>
  <si>
    <t>Divya N.</t>
  </si>
  <si>
    <t>C029</t>
  </si>
  <si>
    <t>Vikram Q.</t>
  </si>
  <si>
    <t>Hyderabad</t>
  </si>
  <si>
    <t>C030</t>
  </si>
  <si>
    <t>Manoj T.</t>
  </si>
  <si>
    <t>Delhi</t>
  </si>
  <si>
    <t>C031</t>
  </si>
  <si>
    <t>Sneha R.</t>
  </si>
  <si>
    <t>Kochi</t>
  </si>
  <si>
    <t>Kerala</t>
  </si>
  <si>
    <t>C032</t>
  </si>
  <si>
    <t>Suresh P.</t>
  </si>
  <si>
    <t>C033</t>
  </si>
  <si>
    <t>Divya H.</t>
  </si>
  <si>
    <t>C034</t>
  </si>
  <si>
    <t>Kiran C.</t>
  </si>
  <si>
    <t>C035</t>
  </si>
  <si>
    <t>Arjun E.</t>
  </si>
  <si>
    <t>C036</t>
  </si>
  <si>
    <t>Sneha I.</t>
  </si>
  <si>
    <t>C037</t>
  </si>
  <si>
    <t>C038</t>
  </si>
  <si>
    <t>Neha O.</t>
  </si>
  <si>
    <t>C039</t>
  </si>
  <si>
    <t>Pooja H.</t>
  </si>
  <si>
    <t>C040</t>
  </si>
  <si>
    <t>Nikhil R.</t>
  </si>
  <si>
    <t>C041</t>
  </si>
  <si>
    <t>Kiran W.</t>
  </si>
  <si>
    <t>C042</t>
  </si>
  <si>
    <t>Kiran B.</t>
  </si>
  <si>
    <t>C043</t>
  </si>
  <si>
    <t>Pooja I.</t>
  </si>
  <si>
    <t>Patna</t>
  </si>
  <si>
    <t>Bihar</t>
  </si>
  <si>
    <t>C044</t>
  </si>
  <si>
    <t>Lakshmi E.</t>
  </si>
  <si>
    <t>C045</t>
  </si>
  <si>
    <t>Swathi Z.</t>
  </si>
  <si>
    <t>C046</t>
  </si>
  <si>
    <t>Anjali V.</t>
  </si>
  <si>
    <t>C047</t>
  </si>
  <si>
    <t>Kavya O.</t>
  </si>
  <si>
    <t>C048</t>
  </si>
  <si>
    <t>Amit X.</t>
  </si>
  <si>
    <t>C049</t>
  </si>
  <si>
    <t>Ravi G.</t>
  </si>
  <si>
    <t>C050</t>
  </si>
  <si>
    <t>Kavya F.</t>
  </si>
  <si>
    <t>C051</t>
  </si>
  <si>
    <t>Kiran O.</t>
  </si>
  <si>
    <t>C052</t>
  </si>
  <si>
    <t>Lakshmi A.</t>
  </si>
  <si>
    <t>C053</t>
  </si>
  <si>
    <t>Kavya P.</t>
  </si>
  <si>
    <t>C054</t>
  </si>
  <si>
    <t>Priya F.</t>
  </si>
  <si>
    <t>C055</t>
  </si>
  <si>
    <t>Vikram Z.</t>
  </si>
  <si>
    <t>C056</t>
  </si>
  <si>
    <t>Lakshmi V.</t>
  </si>
  <si>
    <t>C057</t>
  </si>
  <si>
    <t>Divya G.</t>
  </si>
  <si>
    <t>C058</t>
  </si>
  <si>
    <t>Priya B.</t>
  </si>
  <si>
    <t>C059</t>
  </si>
  <si>
    <t>Manoj F.</t>
  </si>
  <si>
    <t>C060</t>
  </si>
  <si>
    <t>Kiran T.</t>
  </si>
  <si>
    <t>C061</t>
  </si>
  <si>
    <t>Anjali S.</t>
  </si>
  <si>
    <t>C062</t>
  </si>
  <si>
    <t>Kiran N.</t>
  </si>
  <si>
    <t>C063</t>
  </si>
  <si>
    <t>Ravi V.</t>
  </si>
  <si>
    <t>Pune</t>
  </si>
  <si>
    <t>C064</t>
  </si>
  <si>
    <t>Amit E.</t>
  </si>
  <si>
    <t>C065</t>
  </si>
  <si>
    <t>Suresh Y.</t>
  </si>
  <si>
    <t>Lucknow</t>
  </si>
  <si>
    <t>Uttar Pradesh</t>
  </si>
  <si>
    <t>C066</t>
  </si>
  <si>
    <t>Meena S.</t>
  </si>
  <si>
    <t>C067</t>
  </si>
  <si>
    <t>Ravi Q.</t>
  </si>
  <si>
    <t>C068</t>
  </si>
  <si>
    <t>Kiran H.</t>
  </si>
  <si>
    <t>C069</t>
  </si>
  <si>
    <t>C070</t>
  </si>
  <si>
    <t>Divya V.</t>
  </si>
  <si>
    <t>C071</t>
  </si>
  <si>
    <t>Anjali D.</t>
  </si>
  <si>
    <t>C072</t>
  </si>
  <si>
    <t>Divya T.</t>
  </si>
  <si>
    <t>C073</t>
  </si>
  <si>
    <t>C074</t>
  </si>
  <si>
    <t>Kiran U.</t>
  </si>
  <si>
    <t>C075</t>
  </si>
  <si>
    <t>Rahul K.</t>
  </si>
  <si>
    <t>C076</t>
  </si>
  <si>
    <t>C077</t>
  </si>
  <si>
    <t>C078</t>
  </si>
  <si>
    <t>C079</t>
  </si>
  <si>
    <t>Priya J.</t>
  </si>
  <si>
    <t>C080</t>
  </si>
  <si>
    <t>C081</t>
  </si>
  <si>
    <t>Lakshmi N.</t>
  </si>
  <si>
    <t>C082</t>
  </si>
  <si>
    <t>Sneha Z.</t>
  </si>
  <si>
    <t>C083</t>
  </si>
  <si>
    <t>Sneha X.</t>
  </si>
  <si>
    <t>C084</t>
  </si>
  <si>
    <t>Vikram F.</t>
  </si>
  <si>
    <t>C085</t>
  </si>
  <si>
    <t>Swathi H.</t>
  </si>
  <si>
    <t>C086</t>
  </si>
  <si>
    <t>Divya Z.</t>
  </si>
  <si>
    <t>C087</t>
  </si>
  <si>
    <t>Ravi M.</t>
  </si>
  <si>
    <t>C088</t>
  </si>
  <si>
    <t>Vikram L.</t>
  </si>
  <si>
    <t>C089</t>
  </si>
  <si>
    <t>Suresh A.</t>
  </si>
  <si>
    <t>C090</t>
  </si>
  <si>
    <t>Nikhil I.</t>
  </si>
  <si>
    <t>C091</t>
  </si>
  <si>
    <t>Kavya L.</t>
  </si>
  <si>
    <t>C092</t>
  </si>
  <si>
    <t>Manoj D.</t>
  </si>
  <si>
    <t>C093</t>
  </si>
  <si>
    <t>Priya W.</t>
  </si>
  <si>
    <t>C094</t>
  </si>
  <si>
    <t>C095</t>
  </si>
  <si>
    <t>Kavya C.</t>
  </si>
  <si>
    <t>C096</t>
  </si>
  <si>
    <t>Suresh V.</t>
  </si>
  <si>
    <t>C097</t>
  </si>
  <si>
    <t>C098</t>
  </si>
  <si>
    <t>Divya R.</t>
  </si>
  <si>
    <t>C099</t>
  </si>
  <si>
    <t>Amit V.</t>
  </si>
  <si>
    <t>C100</t>
  </si>
  <si>
    <t>C101</t>
  </si>
  <si>
    <t>Kavya Z.</t>
  </si>
  <si>
    <t>C102</t>
  </si>
  <si>
    <t>Rohit O.</t>
  </si>
  <si>
    <t>C103</t>
  </si>
  <si>
    <t>Kiran J.</t>
  </si>
  <si>
    <t>C104</t>
  </si>
  <si>
    <t>Pooja V.</t>
  </si>
  <si>
    <t>C105</t>
  </si>
  <si>
    <t>Arjun A.</t>
  </si>
  <si>
    <t>C106</t>
  </si>
  <si>
    <t>Meena Y.</t>
  </si>
  <si>
    <t>Bhopal</t>
  </si>
  <si>
    <t>Madhya Pradesh</t>
  </si>
  <si>
    <t>C107</t>
  </si>
  <si>
    <t>Nikhil G.</t>
  </si>
  <si>
    <t>C108</t>
  </si>
  <si>
    <t>Pooja E.</t>
  </si>
  <si>
    <t>C109</t>
  </si>
  <si>
    <t>Kavya H.</t>
  </si>
  <si>
    <t>C110</t>
  </si>
  <si>
    <t>Lakshmi H.</t>
  </si>
  <si>
    <t>C111</t>
  </si>
  <si>
    <t>Rohit V.</t>
  </si>
  <si>
    <t>C112</t>
  </si>
  <si>
    <t>Meena X.</t>
  </si>
  <si>
    <t>C113</t>
  </si>
  <si>
    <t>Rohit F.</t>
  </si>
  <si>
    <t>C114</t>
  </si>
  <si>
    <t>Pooja U.</t>
  </si>
  <si>
    <t>C115</t>
  </si>
  <si>
    <t>C116</t>
  </si>
  <si>
    <t>Vikram K.</t>
  </si>
  <si>
    <t>C117</t>
  </si>
  <si>
    <t>Arjun H.</t>
  </si>
  <si>
    <t>C118</t>
  </si>
  <si>
    <t>C119</t>
  </si>
  <si>
    <t>Rohit N.</t>
  </si>
  <si>
    <t>C120</t>
  </si>
  <si>
    <t>Amit Y.</t>
  </si>
  <si>
    <t>C121</t>
  </si>
  <si>
    <t>Amit P.</t>
  </si>
  <si>
    <t>C122</t>
  </si>
  <si>
    <t>Amit N.</t>
  </si>
  <si>
    <t>C123</t>
  </si>
  <si>
    <t>C124</t>
  </si>
  <si>
    <t>Amit K.</t>
  </si>
  <si>
    <t>C125</t>
  </si>
  <si>
    <t>Rohit E.</t>
  </si>
  <si>
    <t>C126</t>
  </si>
  <si>
    <t>Nikhil S.</t>
  </si>
  <si>
    <t>C127</t>
  </si>
  <si>
    <t>Kavya E.</t>
  </si>
  <si>
    <t>C128</t>
  </si>
  <si>
    <t>Vikram M.</t>
  </si>
  <si>
    <t>C129</t>
  </si>
  <si>
    <t>Suresh K.</t>
  </si>
  <si>
    <t>C130</t>
  </si>
  <si>
    <t>C131</t>
  </si>
  <si>
    <t>Priya L.</t>
  </si>
  <si>
    <t>C132</t>
  </si>
  <si>
    <t>Rahul H.</t>
  </si>
  <si>
    <t>C133</t>
  </si>
  <si>
    <t>C134</t>
  </si>
  <si>
    <t>C135</t>
  </si>
  <si>
    <t>Sneha T.</t>
  </si>
  <si>
    <t>C136</t>
  </si>
  <si>
    <t>Divya D.</t>
  </si>
  <si>
    <t>C137</t>
  </si>
  <si>
    <t>Nikhil V.</t>
  </si>
  <si>
    <t>C138</t>
  </si>
  <si>
    <t>Kiran S.</t>
  </si>
  <si>
    <t>C139</t>
  </si>
  <si>
    <t>C140</t>
  </si>
  <si>
    <t>C141</t>
  </si>
  <si>
    <t>Kiran Q.</t>
  </si>
  <si>
    <t>C142</t>
  </si>
  <si>
    <t>C143</t>
  </si>
  <si>
    <t>Rohit W.</t>
  </si>
  <si>
    <t>C144</t>
  </si>
  <si>
    <t>Manoj U.</t>
  </si>
  <si>
    <t>C145</t>
  </si>
  <si>
    <t>Kavya X.</t>
  </si>
  <si>
    <t>C146</t>
  </si>
  <si>
    <t>Pooja C.</t>
  </si>
  <si>
    <t>C147</t>
  </si>
  <si>
    <t>C148</t>
  </si>
  <si>
    <t>Rahul P.</t>
  </si>
  <si>
    <t>C149</t>
  </si>
  <si>
    <t>Ravi L.</t>
  </si>
  <si>
    <t>C150</t>
  </si>
  <si>
    <t>Meena W.</t>
  </si>
  <si>
    <t>C151</t>
  </si>
  <si>
    <t>Ravi C.</t>
  </si>
  <si>
    <t>C152</t>
  </si>
  <si>
    <t>C153</t>
  </si>
  <si>
    <t>Rohit Z.</t>
  </si>
  <si>
    <t>C154</t>
  </si>
  <si>
    <t>Pooja M.</t>
  </si>
  <si>
    <t>C155</t>
  </si>
  <si>
    <t>Neha P.</t>
  </si>
  <si>
    <t>C156</t>
  </si>
  <si>
    <t>Lakshmi K.</t>
  </si>
  <si>
    <t>C157</t>
  </si>
  <si>
    <t>Divya I.</t>
  </si>
  <si>
    <t>C158</t>
  </si>
  <si>
    <t>C159</t>
  </si>
  <si>
    <t>Ravi X.</t>
  </si>
  <si>
    <t>C160</t>
  </si>
  <si>
    <t>C161</t>
  </si>
  <si>
    <t>C162</t>
  </si>
  <si>
    <t>Rahul W.</t>
  </si>
  <si>
    <t>C163</t>
  </si>
  <si>
    <t>C164</t>
  </si>
  <si>
    <t>Swathi D.</t>
  </si>
  <si>
    <t>C165</t>
  </si>
  <si>
    <t>Swathi O.</t>
  </si>
  <si>
    <t>C166</t>
  </si>
  <si>
    <t>Vikram P.</t>
  </si>
  <si>
    <t>C167</t>
  </si>
  <si>
    <t>Swathi C.</t>
  </si>
  <si>
    <t>C168</t>
  </si>
  <si>
    <t>Arjun Z.</t>
  </si>
  <si>
    <t>C169</t>
  </si>
  <si>
    <t>Pooja D.</t>
  </si>
  <si>
    <t>C170</t>
  </si>
  <si>
    <t>Meena Z.</t>
  </si>
  <si>
    <t>C171</t>
  </si>
  <si>
    <t>Amit O.</t>
  </si>
  <si>
    <t>C172</t>
  </si>
  <si>
    <t>Kavya J.</t>
  </si>
  <si>
    <t>C173</t>
  </si>
  <si>
    <t>Anjali Y.</t>
  </si>
  <si>
    <t>C174</t>
  </si>
  <si>
    <t>Kiran F.</t>
  </si>
  <si>
    <t>C175</t>
  </si>
  <si>
    <t>C176</t>
  </si>
  <si>
    <t>Meena P.</t>
  </si>
  <si>
    <t>C177</t>
  </si>
  <si>
    <t>Divya W.</t>
  </si>
  <si>
    <t>C178</t>
  </si>
  <si>
    <t>C179</t>
  </si>
  <si>
    <t>Anjali R.</t>
  </si>
  <si>
    <t>C180</t>
  </si>
  <si>
    <t>Arjun C.</t>
  </si>
  <si>
    <t>C181</t>
  </si>
  <si>
    <t>C182</t>
  </si>
  <si>
    <t>Anjali O.</t>
  </si>
  <si>
    <t>C183</t>
  </si>
  <si>
    <t>Manoj R.</t>
  </si>
  <si>
    <t>C184</t>
  </si>
  <si>
    <t>Meena B.</t>
  </si>
  <si>
    <t>C185</t>
  </si>
  <si>
    <t>Vikram A.</t>
  </si>
  <si>
    <t>C186</t>
  </si>
  <si>
    <t>Nikhil A.</t>
  </si>
  <si>
    <t>C187</t>
  </si>
  <si>
    <t>Swathi Q.</t>
  </si>
  <si>
    <t>C188</t>
  </si>
  <si>
    <t>Sneha S.</t>
  </si>
  <si>
    <t>C189</t>
  </si>
  <si>
    <t>Swathi L.</t>
  </si>
  <si>
    <t>C190</t>
  </si>
  <si>
    <t>Anjali F.</t>
  </si>
  <si>
    <t>C191</t>
  </si>
  <si>
    <t>C192</t>
  </si>
  <si>
    <t>Kiran K.</t>
  </si>
  <si>
    <t>C193</t>
  </si>
  <si>
    <t>Amit Q.</t>
  </si>
  <si>
    <t>C194</t>
  </si>
  <si>
    <t>Priya G.</t>
  </si>
  <si>
    <t>C195</t>
  </si>
  <si>
    <t>Swathi U.</t>
  </si>
  <si>
    <t>C196</t>
  </si>
  <si>
    <t>Vikram R.</t>
  </si>
  <si>
    <t>C197</t>
  </si>
  <si>
    <t>C198</t>
  </si>
  <si>
    <t>C199</t>
  </si>
  <si>
    <t>C200</t>
  </si>
  <si>
    <t>Swathi W.</t>
  </si>
  <si>
    <t>C201</t>
  </si>
  <si>
    <t>Swathi P.</t>
  </si>
  <si>
    <t>C202</t>
  </si>
  <si>
    <t>Arjun M.</t>
  </si>
  <si>
    <t>C203</t>
  </si>
  <si>
    <t>Vikram Y.</t>
  </si>
  <si>
    <t>C204</t>
  </si>
  <si>
    <t>C205</t>
  </si>
  <si>
    <t>C206</t>
  </si>
  <si>
    <t>Lakshmi P.</t>
  </si>
  <si>
    <t>C207</t>
  </si>
  <si>
    <t>Lakshmi M.</t>
  </si>
  <si>
    <t>C208</t>
  </si>
  <si>
    <t>Pooja S.</t>
  </si>
  <si>
    <t>C209</t>
  </si>
  <si>
    <t>Priya K.</t>
  </si>
  <si>
    <t>C210</t>
  </si>
  <si>
    <t>Arjun P.</t>
  </si>
  <si>
    <t>C211</t>
  </si>
  <si>
    <t>Nikhil K.</t>
  </si>
  <si>
    <t>C212</t>
  </si>
  <si>
    <t>Manoj O.</t>
  </si>
  <si>
    <t>C213</t>
  </si>
  <si>
    <t>C214</t>
  </si>
  <si>
    <t>C215</t>
  </si>
  <si>
    <t>C216</t>
  </si>
  <si>
    <t>Priya T.</t>
  </si>
  <si>
    <t>C217</t>
  </si>
  <si>
    <t>Pooja X.</t>
  </si>
  <si>
    <t>C218</t>
  </si>
  <si>
    <t>C219</t>
  </si>
  <si>
    <t>C220</t>
  </si>
  <si>
    <t>Neha N.</t>
  </si>
  <si>
    <t>C221</t>
  </si>
  <si>
    <t>C222</t>
  </si>
  <si>
    <t>C223</t>
  </si>
  <si>
    <t>Nikhil E.</t>
  </si>
  <si>
    <t>C224</t>
  </si>
  <si>
    <t>Rohit I.</t>
  </si>
  <si>
    <t>C225</t>
  </si>
  <si>
    <t>C226</t>
  </si>
  <si>
    <t>Rohit L.</t>
  </si>
  <si>
    <t>C227</t>
  </si>
  <si>
    <t>C228</t>
  </si>
  <si>
    <t>C229</t>
  </si>
  <si>
    <t>Neha S.</t>
  </si>
  <si>
    <t>C230</t>
  </si>
  <si>
    <t>Amit I.</t>
  </si>
  <si>
    <t>C231</t>
  </si>
  <si>
    <t>Swathi J.</t>
  </si>
  <si>
    <t>C232</t>
  </si>
  <si>
    <t>Ravi T.</t>
  </si>
  <si>
    <t>C233</t>
  </si>
  <si>
    <t>C234</t>
  </si>
  <si>
    <t>Neha X.</t>
  </si>
  <si>
    <t>C235</t>
  </si>
  <si>
    <t>Suresh X.</t>
  </si>
  <si>
    <t>C236</t>
  </si>
  <si>
    <t>C237</t>
  </si>
  <si>
    <t>Manoj I.</t>
  </si>
  <si>
    <t>C238</t>
  </si>
  <si>
    <t>Divya X.</t>
  </si>
  <si>
    <t>C239</t>
  </si>
  <si>
    <t>Kiran E.</t>
  </si>
  <si>
    <t>C240</t>
  </si>
  <si>
    <t>Neha C.</t>
  </si>
  <si>
    <t>C241</t>
  </si>
  <si>
    <t>Lakshmi D.</t>
  </si>
  <si>
    <t>C242</t>
  </si>
  <si>
    <t>Nikhil M.</t>
  </si>
  <si>
    <t>C243</t>
  </si>
  <si>
    <t>Pooja P.</t>
  </si>
  <si>
    <t>C244</t>
  </si>
  <si>
    <t>C245</t>
  </si>
  <si>
    <t>Kavya D.</t>
  </si>
  <si>
    <t>C246</t>
  </si>
  <si>
    <t>Divya P.</t>
  </si>
  <si>
    <t>C247</t>
  </si>
  <si>
    <t>C248</t>
  </si>
  <si>
    <t>C249</t>
  </si>
  <si>
    <t>Anjali P.</t>
  </si>
  <si>
    <t>C250</t>
  </si>
  <si>
    <t>C251</t>
  </si>
  <si>
    <t>Rohit H.</t>
  </si>
  <si>
    <t>C252</t>
  </si>
  <si>
    <t>Lakshmi U.</t>
  </si>
  <si>
    <t>C253</t>
  </si>
  <si>
    <t>Vikram G.</t>
  </si>
  <si>
    <t>C254</t>
  </si>
  <si>
    <t>Ravi U.</t>
  </si>
  <si>
    <t>C255</t>
  </si>
  <si>
    <t>Suresh H.</t>
  </si>
  <si>
    <t>C256</t>
  </si>
  <si>
    <t>Lakshmi G.</t>
  </si>
  <si>
    <t>C257</t>
  </si>
  <si>
    <t>C258</t>
  </si>
  <si>
    <t>C259</t>
  </si>
  <si>
    <t>C260</t>
  </si>
  <si>
    <t>Neha Z.</t>
  </si>
  <si>
    <t>C261</t>
  </si>
  <si>
    <t>C262</t>
  </si>
  <si>
    <t>C263</t>
  </si>
  <si>
    <t>Neha Q.</t>
  </si>
  <si>
    <t>C264</t>
  </si>
  <si>
    <t>Manoj H.</t>
  </si>
  <si>
    <t>C265</t>
  </si>
  <si>
    <t>Divya O.</t>
  </si>
  <si>
    <t>C266</t>
  </si>
  <si>
    <t>C267</t>
  </si>
  <si>
    <t>Rohit C.</t>
  </si>
  <si>
    <t>C268</t>
  </si>
  <si>
    <t>C269</t>
  </si>
  <si>
    <t>C270</t>
  </si>
  <si>
    <t>Manoj J.</t>
  </si>
  <si>
    <t>C271</t>
  </si>
  <si>
    <t>Anjali U.</t>
  </si>
  <si>
    <t>C272</t>
  </si>
  <si>
    <t>C273</t>
  </si>
  <si>
    <t>C274</t>
  </si>
  <si>
    <t>C275</t>
  </si>
  <si>
    <t>C276</t>
  </si>
  <si>
    <t>C277</t>
  </si>
  <si>
    <t>Priya S.</t>
  </si>
  <si>
    <t>C278</t>
  </si>
  <si>
    <t>C279</t>
  </si>
  <si>
    <t>C280</t>
  </si>
  <si>
    <t>Nikhil Q.</t>
  </si>
  <si>
    <t>C281</t>
  </si>
  <si>
    <t>C282</t>
  </si>
  <si>
    <t>Vikram S.</t>
  </si>
  <si>
    <t>C283</t>
  </si>
  <si>
    <t>Meena T.</t>
  </si>
  <si>
    <t>C284</t>
  </si>
  <si>
    <t>C285</t>
  </si>
  <si>
    <t>Suresh L.</t>
  </si>
  <si>
    <t>C286</t>
  </si>
  <si>
    <t>C287</t>
  </si>
  <si>
    <t>Rahul C.</t>
  </si>
  <si>
    <t>C288</t>
  </si>
  <si>
    <t>C289</t>
  </si>
  <si>
    <t>C290</t>
  </si>
  <si>
    <t>Arjun F.</t>
  </si>
  <si>
    <t>C291</t>
  </si>
  <si>
    <t>C292</t>
  </si>
  <si>
    <t>Meena O.</t>
  </si>
  <si>
    <t>C293</t>
  </si>
  <si>
    <t>C294</t>
  </si>
  <si>
    <t>C295</t>
  </si>
  <si>
    <t>Divya B.</t>
  </si>
  <si>
    <t>C296</t>
  </si>
  <si>
    <t>Priya A.</t>
  </si>
  <si>
    <t>C297</t>
  </si>
  <si>
    <t>Arjun Y.</t>
  </si>
  <si>
    <t>C298</t>
  </si>
  <si>
    <t>Anjali A.</t>
  </si>
  <si>
    <t>C299</t>
  </si>
  <si>
    <t>C300</t>
  </si>
  <si>
    <t>C301</t>
  </si>
  <si>
    <t>Priya N.</t>
  </si>
  <si>
    <t>C302</t>
  </si>
  <si>
    <t>Suresh S.</t>
  </si>
  <si>
    <t>C303</t>
  </si>
  <si>
    <t>C304</t>
  </si>
  <si>
    <t>C305</t>
  </si>
  <si>
    <t>C306</t>
  </si>
  <si>
    <t>C307</t>
  </si>
  <si>
    <t>C308</t>
  </si>
  <si>
    <t>Sneha C.</t>
  </si>
  <si>
    <t>C309</t>
  </si>
  <si>
    <t>Manoj G.</t>
  </si>
  <si>
    <t>C310</t>
  </si>
  <si>
    <t>C311</t>
  </si>
  <si>
    <t>C312</t>
  </si>
  <si>
    <t>C313</t>
  </si>
  <si>
    <t>Meena K.</t>
  </si>
  <si>
    <t>C314</t>
  </si>
  <si>
    <t>C315</t>
  </si>
  <si>
    <t>C316</t>
  </si>
  <si>
    <t>C317</t>
  </si>
  <si>
    <t>C318</t>
  </si>
  <si>
    <t>C319</t>
  </si>
  <si>
    <t>C320</t>
  </si>
  <si>
    <t>Ravi K.</t>
  </si>
  <si>
    <t>C321</t>
  </si>
  <si>
    <t>Arjun B.</t>
  </si>
  <si>
    <t>C322</t>
  </si>
  <si>
    <t>C323</t>
  </si>
  <si>
    <t>Pooja W.</t>
  </si>
  <si>
    <t>C324</t>
  </si>
  <si>
    <t>C325</t>
  </si>
  <si>
    <t>Divya M.</t>
  </si>
  <si>
    <t>C326</t>
  </si>
  <si>
    <t>Priya Z.</t>
  </si>
  <si>
    <t>C327</t>
  </si>
  <si>
    <t>C328</t>
  </si>
  <si>
    <t>Vikram X.</t>
  </si>
  <si>
    <t>C329</t>
  </si>
  <si>
    <t>C330</t>
  </si>
  <si>
    <t>Divya U.</t>
  </si>
  <si>
    <t>C331</t>
  </si>
  <si>
    <t>C332</t>
  </si>
  <si>
    <t>Amit U.</t>
  </si>
  <si>
    <t>C333</t>
  </si>
  <si>
    <t>C334</t>
  </si>
  <si>
    <t>Neha A.</t>
  </si>
  <si>
    <t>C335</t>
  </si>
  <si>
    <t>C336</t>
  </si>
  <si>
    <t>C337</t>
  </si>
  <si>
    <t>Manoj Y.</t>
  </si>
  <si>
    <t>C338</t>
  </si>
  <si>
    <t>Meena E.</t>
  </si>
  <si>
    <t>C339</t>
  </si>
  <si>
    <t>Sneha F.</t>
  </si>
  <si>
    <t>C340</t>
  </si>
  <si>
    <t>C341</t>
  </si>
  <si>
    <t>Meena J.</t>
  </si>
  <si>
    <t>C342</t>
  </si>
  <si>
    <t>Pooja J.</t>
  </si>
  <si>
    <t>C343</t>
  </si>
  <si>
    <t>Nikhil O.</t>
  </si>
  <si>
    <t>C344</t>
  </si>
  <si>
    <t>Manoj Q.</t>
  </si>
  <si>
    <t>C345</t>
  </si>
  <si>
    <t>C346</t>
  </si>
  <si>
    <t>Neha R.</t>
  </si>
  <si>
    <t>C347</t>
  </si>
  <si>
    <t>Kiran Y.</t>
  </si>
  <si>
    <t>C348</t>
  </si>
  <si>
    <t>Manoj E.</t>
  </si>
  <si>
    <t>C349</t>
  </si>
  <si>
    <t>C350</t>
  </si>
  <si>
    <t>C351</t>
  </si>
  <si>
    <t>Kiran L.</t>
  </si>
  <si>
    <t>C352</t>
  </si>
  <si>
    <t>Anjali W.</t>
  </si>
  <si>
    <t>C353</t>
  </si>
  <si>
    <t>C354</t>
  </si>
  <si>
    <t>C355</t>
  </si>
  <si>
    <t>Rahul I.</t>
  </si>
  <si>
    <t>C356</t>
  </si>
  <si>
    <t>Meena Q.</t>
  </si>
  <si>
    <t>C357</t>
  </si>
  <si>
    <t>C358</t>
  </si>
  <si>
    <t>Kavya U.</t>
  </si>
  <si>
    <t>C359</t>
  </si>
  <si>
    <t>C360</t>
  </si>
  <si>
    <t>Nikhil H.</t>
  </si>
  <si>
    <t>C361</t>
  </si>
  <si>
    <t>Rahul T.</t>
  </si>
  <si>
    <t>C362</t>
  </si>
  <si>
    <t>C363</t>
  </si>
  <si>
    <t>C364</t>
  </si>
  <si>
    <t>Swathi B.</t>
  </si>
  <si>
    <t>C365</t>
  </si>
  <si>
    <t>C366</t>
  </si>
  <si>
    <t>Neha H.</t>
  </si>
  <si>
    <t>C367</t>
  </si>
  <si>
    <t>Suresh E.</t>
  </si>
  <si>
    <t>C368</t>
  </si>
  <si>
    <t>Suresh U.</t>
  </si>
  <si>
    <t>C369</t>
  </si>
  <si>
    <t>C370</t>
  </si>
  <si>
    <t>C371</t>
  </si>
  <si>
    <t>C372</t>
  </si>
  <si>
    <t>Swathi I.</t>
  </si>
  <si>
    <t>C373</t>
  </si>
  <si>
    <t>Neha Y.</t>
  </si>
  <si>
    <t>C374</t>
  </si>
  <si>
    <t>Anjali Z.</t>
  </si>
  <si>
    <t>C375</t>
  </si>
  <si>
    <t>C376</t>
  </si>
  <si>
    <t>C377</t>
  </si>
  <si>
    <t>C378</t>
  </si>
  <si>
    <t>Divya K.</t>
  </si>
  <si>
    <t>C379</t>
  </si>
  <si>
    <t>Divya J.</t>
  </si>
  <si>
    <t>C380</t>
  </si>
  <si>
    <t>C381</t>
  </si>
  <si>
    <t>Meena N.</t>
  </si>
  <si>
    <t>C382</t>
  </si>
  <si>
    <t>Amit L.</t>
  </si>
  <si>
    <t>C383</t>
  </si>
  <si>
    <t>Arjun T.</t>
  </si>
  <si>
    <t>C384</t>
  </si>
  <si>
    <t>C385</t>
  </si>
  <si>
    <t>Amit S.</t>
  </si>
  <si>
    <t>C386</t>
  </si>
  <si>
    <t>C387</t>
  </si>
  <si>
    <t>C388</t>
  </si>
  <si>
    <t>Vikram H.</t>
  </si>
  <si>
    <t>C389</t>
  </si>
  <si>
    <t>C390</t>
  </si>
  <si>
    <t>Vikram W.</t>
  </si>
  <si>
    <t>C391</t>
  </si>
  <si>
    <t>C392</t>
  </si>
  <si>
    <t>C393</t>
  </si>
  <si>
    <t>Kiran Z.</t>
  </si>
  <si>
    <t>C394</t>
  </si>
  <si>
    <t>Lakshmi R.</t>
  </si>
  <si>
    <t>C395</t>
  </si>
  <si>
    <t>C396</t>
  </si>
  <si>
    <t>Ravi Z.</t>
  </si>
  <si>
    <t>C397</t>
  </si>
  <si>
    <t>Rahul L.</t>
  </si>
  <si>
    <t>C398</t>
  </si>
  <si>
    <t>C399</t>
  </si>
  <si>
    <t>C400</t>
  </si>
  <si>
    <t>Nikhil C.</t>
  </si>
  <si>
    <t>C401</t>
  </si>
  <si>
    <t>C402</t>
  </si>
  <si>
    <t>C403</t>
  </si>
  <si>
    <t>Kavya Q.</t>
  </si>
  <si>
    <t>C404</t>
  </si>
  <si>
    <t>Arjun J.</t>
  </si>
  <si>
    <t>C405</t>
  </si>
  <si>
    <t>Pooja L.</t>
  </si>
  <si>
    <t>C406</t>
  </si>
  <si>
    <t>C407</t>
  </si>
  <si>
    <t>C408</t>
  </si>
  <si>
    <t>C409</t>
  </si>
  <si>
    <t>C410</t>
  </si>
  <si>
    <t>C411</t>
  </si>
  <si>
    <t>Vikram U.</t>
  </si>
  <si>
    <t>C412</t>
  </si>
  <si>
    <t>C413</t>
  </si>
  <si>
    <t>C414</t>
  </si>
  <si>
    <t>C415</t>
  </si>
  <si>
    <t>C416</t>
  </si>
  <si>
    <t>C417</t>
  </si>
  <si>
    <t>C418</t>
  </si>
  <si>
    <t>Pooja O.</t>
  </si>
  <si>
    <t>C419</t>
  </si>
  <si>
    <t>C420</t>
  </si>
  <si>
    <t>Amit T.</t>
  </si>
  <si>
    <t>C421</t>
  </si>
  <si>
    <t>C422</t>
  </si>
  <si>
    <t>C423</t>
  </si>
  <si>
    <t>Swathi A.</t>
  </si>
  <si>
    <t>C424</t>
  </si>
  <si>
    <t>C425</t>
  </si>
  <si>
    <t>C426</t>
  </si>
  <si>
    <t>C427</t>
  </si>
  <si>
    <t>C428</t>
  </si>
  <si>
    <t>Priya M.</t>
  </si>
  <si>
    <t>C429</t>
  </si>
  <si>
    <t>C430</t>
  </si>
  <si>
    <t>Rohit Y.</t>
  </si>
  <si>
    <t>C431</t>
  </si>
  <si>
    <t>Meena D.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</si>
  <si>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</si>
  <si>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</si>
  <si>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</si>
  <si>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</si>
  <si>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</si>
  <si>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</si>
  <si>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</si>
  <si>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</si>
  <si>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</si>
  <si>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Nikhil J.</t>
  </si>
  <si>
    <t>C441</t>
  </si>
  <si>
    <t>C442</t>
  </si>
  <si>
    <t>Nikhil P.</t>
  </si>
  <si>
    <t>C443</t>
  </si>
  <si>
    <t>Pooja B.</t>
  </si>
  <si>
    <t>C444</t>
  </si>
  <si>
    <t>Rahul O.</t>
  </si>
  <si>
    <t>C445</t>
  </si>
  <si>
    <t>Kavya W.</t>
  </si>
  <si>
    <t>C446</t>
  </si>
  <si>
    <t>C447</t>
  </si>
  <si>
    <t>Ravi R.</t>
  </si>
  <si>
    <t>C448</t>
  </si>
  <si>
    <t>C449</t>
  </si>
  <si>
    <t>Suresh R.</t>
  </si>
  <si>
    <t>C450</t>
  </si>
  <si>
    <t>Swathi G.</t>
  </si>
  <si>
    <t>C451</t>
  </si>
  <si>
    <t>C452</t>
  </si>
  <si>
    <t>Swathi K.</t>
  </si>
  <si>
    <t>C453</t>
  </si>
  <si>
    <t>Vikram J.</t>
  </si>
  <si>
    <t>C454</t>
  </si>
  <si>
    <t>C455</t>
  </si>
  <si>
    <t>C456</t>
  </si>
  <si>
    <t>C457</t>
  </si>
  <si>
    <t>Lakshmi I.</t>
  </si>
  <si>
    <t>C458</t>
  </si>
  <si>
    <t>Anjali T.</t>
  </si>
  <si>
    <t>C459</t>
  </si>
  <si>
    <t>Priya V.</t>
  </si>
  <si>
    <t>C460</t>
  </si>
  <si>
    <t>Priya D.</t>
  </si>
  <si>
    <t>C461</t>
  </si>
  <si>
    <t>C462</t>
  </si>
  <si>
    <t>Sneha N.</t>
  </si>
  <si>
    <t>C463</t>
  </si>
  <si>
    <t>Ravi Y.</t>
  </si>
  <si>
    <t>C464</t>
  </si>
  <si>
    <t>Priya Y.</t>
  </si>
  <si>
    <t>C465</t>
  </si>
  <si>
    <t>C466</t>
  </si>
  <si>
    <t>Amit Z.</t>
  </si>
  <si>
    <t>C467</t>
  </si>
  <si>
    <t>C468</t>
  </si>
  <si>
    <t>C469</t>
  </si>
  <si>
    <t>C470</t>
  </si>
  <si>
    <t>Suresh F.</t>
  </si>
  <si>
    <t>C471</t>
  </si>
  <si>
    <t>C472</t>
  </si>
  <si>
    <t>Ravi F.</t>
  </si>
  <si>
    <t>C473</t>
  </si>
  <si>
    <t>Manoj K.</t>
  </si>
  <si>
    <t>C474</t>
  </si>
  <si>
    <t>Sneha E.</t>
  </si>
  <si>
    <t>C475</t>
  </si>
  <si>
    <t>C476</t>
  </si>
  <si>
    <t>C477</t>
  </si>
  <si>
    <t>Neha W.</t>
  </si>
  <si>
    <t>C478</t>
  </si>
  <si>
    <t>Rohit J.</t>
  </si>
  <si>
    <t>C479</t>
  </si>
  <si>
    <t>C480</t>
  </si>
  <si>
    <t>Meena H.</t>
  </si>
  <si>
    <t>C481</t>
  </si>
  <si>
    <t>Arjun O.</t>
  </si>
  <si>
    <t>C482</t>
  </si>
  <si>
    <t>C483</t>
  </si>
  <si>
    <t>C484</t>
  </si>
  <si>
    <t>C485</t>
  </si>
  <si>
    <t>Lakshmi Q.</t>
  </si>
  <si>
    <t>C486</t>
  </si>
  <si>
    <t>Suresh Q.</t>
  </si>
  <si>
    <t>C487</t>
  </si>
  <si>
    <t>C488</t>
  </si>
  <si>
    <t>C489</t>
  </si>
  <si>
    <t>Nikhil B.</t>
  </si>
  <si>
    <t>C490</t>
  </si>
  <si>
    <t>Rahul M.</t>
  </si>
  <si>
    <t>C491</t>
  </si>
  <si>
    <t>C492</t>
  </si>
  <si>
    <t>Kiran R.</t>
  </si>
  <si>
    <t>C493</t>
  </si>
  <si>
    <t>C494</t>
  </si>
  <si>
    <t>C495</t>
  </si>
  <si>
    <t>Amit C.</t>
  </si>
  <si>
    <t>C496</t>
  </si>
  <si>
    <t>C497</t>
  </si>
  <si>
    <t>C498</t>
  </si>
  <si>
    <t>C499</t>
  </si>
  <si>
    <t>Amit H.</t>
  </si>
  <si>
    <t>C500</t>
  </si>
  <si>
    <t>Arjun I.</t>
  </si>
  <si>
    <t>product_id</t>
  </si>
  <si>
    <t>product_name</t>
  </si>
  <si>
    <t>category</t>
  </si>
  <si>
    <t>price</t>
  </si>
  <si>
    <t>cost</t>
  </si>
  <si>
    <t>Laptop</t>
  </si>
  <si>
    <t>Electronics</t>
  </si>
  <si>
    <t>Mobile</t>
  </si>
  <si>
    <t>Headphones</t>
  </si>
  <si>
    <t>Smart Watch</t>
  </si>
  <si>
    <t>Keyboard</t>
  </si>
  <si>
    <t>Mouse</t>
  </si>
  <si>
    <t>Monitor</t>
  </si>
  <si>
    <t>Tablet</t>
  </si>
  <si>
    <t>Power Bank</t>
  </si>
  <si>
    <t>Earbuds</t>
  </si>
  <si>
    <t>T-Shirt</t>
  </si>
  <si>
    <t>Fashion</t>
  </si>
  <si>
    <t>Jeans</t>
  </si>
  <si>
    <t>Shirt</t>
  </si>
  <si>
    <t>Jacket</t>
  </si>
  <si>
    <t>Shoes</t>
  </si>
  <si>
    <t>Saree</t>
  </si>
  <si>
    <t>Dress</t>
  </si>
  <si>
    <t>Backpack</t>
  </si>
  <si>
    <t>Wallet</t>
  </si>
  <si>
    <t>Belt</t>
  </si>
  <si>
    <t>Mixer</t>
  </si>
  <si>
    <t>Home Appliances</t>
  </si>
  <si>
    <t>Microwave</t>
  </si>
  <si>
    <t>Fan</t>
  </si>
  <si>
    <t>Iron</t>
  </si>
  <si>
    <t>Vacuum Cleaner</t>
  </si>
  <si>
    <t>Bedsheet</t>
  </si>
  <si>
    <t>Home &amp; Kitchen</t>
  </si>
  <si>
    <t>Cookware Set</t>
  </si>
  <si>
    <t>Bottle</t>
  </si>
  <si>
    <t>Chair</t>
  </si>
  <si>
    <t>Furniture</t>
  </si>
  <si>
    <t>Table</t>
  </si>
  <si>
    <t>Book</t>
  </si>
  <si>
    <t>Books</t>
  </si>
  <si>
    <t>Notebook</t>
  </si>
  <si>
    <t>Pen Set</t>
  </si>
  <si>
    <t>Cookbook</t>
  </si>
  <si>
    <t>Novel</t>
  </si>
  <si>
    <t>Cricket Bat</t>
  </si>
  <si>
    <t>Sports</t>
  </si>
  <si>
    <t>Football</t>
  </si>
  <si>
    <t>Badminton Racket</t>
  </si>
  <si>
    <t>Yoga Mat</t>
  </si>
  <si>
    <t>Dumbbells</t>
  </si>
  <si>
    <t>Face Wash</t>
  </si>
  <si>
    <t>Beauty</t>
  </si>
  <si>
    <t>Shampoo</t>
  </si>
  <si>
    <t>Perfume</t>
  </si>
  <si>
    <t>Moisturizer</t>
  </si>
  <si>
    <t>Sunscreen</t>
  </si>
  <si>
    <t>Toys Car</t>
  </si>
  <si>
    <t>Toys</t>
  </si>
  <si>
    <t>Puzzle</t>
  </si>
  <si>
    <t>Board Game</t>
  </si>
  <si>
    <t>Remote Car</t>
  </si>
  <si>
    <t>Building Blocks</t>
  </si>
  <si>
    <t>order_id</t>
  </si>
  <si>
    <t>order_date</t>
  </si>
  <si>
    <t>order_status</t>
  </si>
  <si>
    <t>order_month</t>
  </si>
  <si>
    <t>Delivered</t>
  </si>
  <si>
    <t>Pending</t>
  </si>
  <si>
    <t>Shipped</t>
  </si>
  <si>
    <t>Cancelled</t>
  </si>
  <si>
    <t>order_item_id</t>
  </si>
  <si>
    <t>quantity</t>
  </si>
  <si>
    <t>unit_price</t>
  </si>
  <si>
    <t>revenue</t>
  </si>
  <si>
    <t>profit</t>
  </si>
  <si>
    <t>payment_id</t>
  </si>
  <si>
    <t>payment_date</t>
  </si>
  <si>
    <t>payment_method</t>
  </si>
  <si>
    <t>payment_status</t>
  </si>
  <si>
    <t>amount</t>
  </si>
  <si>
    <t>UPI</t>
  </si>
  <si>
    <t>Paid</t>
  </si>
  <si>
    <t>Credit Card</t>
  </si>
  <si>
    <t>Debit Card</t>
  </si>
  <si>
    <t>Net Banking</t>
  </si>
  <si>
    <t>Cash on Delivery</t>
  </si>
  <si>
    <t>Failed</t>
  </si>
  <si>
    <t>Sum of payment_id</t>
  </si>
  <si>
    <t>Sum of amount</t>
  </si>
  <si>
    <t>Grand Total</t>
  </si>
  <si>
    <t>Sum of revenue</t>
  </si>
  <si>
    <t>E-COMMERCE SALES ANALYTICS DASHBOARD</t>
  </si>
  <si>
    <t>Total Revenue</t>
  </si>
  <si>
    <t>Total Orders</t>
  </si>
  <si>
    <t>Total Customers</t>
  </si>
  <si>
    <t>Total Profit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</si>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</sst>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₹-4009]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65" fontId="2" fillId="2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165" fontId="2" fillId="6" borderId="0" xfId="0" applyNumberFormat="1" applyFont="1" applyFill="1"/>
  </cellXfs>
  <cellStyles count="1">
    <cellStyle name="Normal" xfId="0" builtinId="0"/>
  </cellStyles>
  <dxfs count="19">
    <dxf>
      <numFmt numFmtId="165" formatCode="[$₹-4009]\ 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30" formatCode="@"/>
    </dxf>
    <dxf>
      <numFmt numFmtId="19" formatCode="m/d/yyyy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30" formatCode="@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[Ecommerce_Sales_Analytics1.xlsx]category_wise_revenue!PivotTable2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category_wise_revenue!$B$3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category_wise_revenue!$A$4:$A$13</c:f>
              <c:strCache>
                <c:ptCount val="9"/>
                <c:pt idx="0">
                  <c:v>Toys</c:v>
                </c:pt>
                <c:pt idx="1">
                  <c:v>Beauty</c:v>
                </c:pt>
                <c:pt idx="2">
                  <c:v>Sports</c:v>
                </c:pt>
                <c:pt idx="3">
                  <c:v>Fashion</c:v>
                </c:pt>
                <c:pt idx="4">
                  <c:v>Books</c:v>
                </c:pt>
                <c:pt idx="5">
                  <c:v>Home Appliances</c:v>
                </c:pt>
                <c:pt idx="6">
                  <c:v>Home &amp; Kitchen</c:v>
                </c:pt>
                <c:pt idx="7">
                  <c:v>Electronics</c:v>
                </c:pt>
                <c:pt idx="8">
                  <c:v>Furniture</c:v>
                </c:pt>
              </c:strCache>
            </c:strRef>
          </c:cat>
          <c:val>
            <c:numRef>
              <c:f>category_wise_revenue!$B$4:$B$13</c:f>
              <c:numCache>
                <c:formatCode>General</c:formatCode>
                <c:ptCount val="9"/>
                <c:pt idx="0">
                  <c:v>1839760</c:v>
                </c:pt>
                <c:pt idx="1">
                  <c:v>1533840</c:v>
                </c:pt>
                <c:pt idx="2">
                  <c:v>1483560</c:v>
                </c:pt>
                <c:pt idx="3">
                  <c:v>1318600</c:v>
                </c:pt>
                <c:pt idx="4">
                  <c:v>1205040</c:v>
                </c:pt>
                <c:pt idx="5">
                  <c:v>876240</c:v>
                </c:pt>
                <c:pt idx="6">
                  <c:v>671840</c:v>
                </c:pt>
                <c:pt idx="7">
                  <c:v>633600</c:v>
                </c:pt>
                <c:pt idx="8">
                  <c:v>455520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6-43A7-9C7F-0A8765D4C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828168"/>
        <c:axId val="444830216"/>
      </c:barChart>
      <c:catAx>
        <c:axId val="44482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30216"/>
        <c:crosses val="autoZero"/>
        <c:auto val="1"/>
        <c:lblAlgn val="ctr"/>
        <c:lblOffset val="100"/>
        <c:noMultiLvlLbl val="0"/>
      </c:catAx>
      <c:valAx>
        <c:axId val="44483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2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[Ecommerce_Sales_Analytics1.xlsx]monthly_revenue!PivotTable10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monthly_revenue!$A$4:$A$16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monthly_revenue!$B$4:$B$16</c:f>
              <c:numCache>
                <c:formatCode>General</c:formatCode>
                <c:ptCount val="12"/>
                <c:pt idx="0">
                  <c:v>852596</c:v>
                </c:pt>
                <c:pt idx="1">
                  <c:v>771745</c:v>
                </c:pt>
                <c:pt idx="2">
                  <c:v>757675</c:v>
                </c:pt>
                <c:pt idx="3">
                  <c:v>831580</c:v>
                </c:pt>
                <c:pt idx="4">
                  <c:v>1073930</c:v>
                </c:pt>
                <c:pt idx="5">
                  <c:v>850109</c:v>
                </c:pt>
                <c:pt idx="6">
                  <c:v>838704</c:v>
                </c:pt>
                <c:pt idx="7">
                  <c:v>752195</c:v>
                </c:pt>
                <c:pt idx="8">
                  <c:v>789630</c:v>
                </c:pt>
                <c:pt idx="9">
                  <c:v>859446</c:v>
                </c:pt>
                <c:pt idx="10">
                  <c:v>792644</c:v>
                </c:pt>
                <c:pt idx="11">
                  <c:v>847746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FC-4081-A767-C9BE92505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9245448"/>
        <c:axId val="1429272072"/>
      </c:lineChart>
      <c:catAx>
        <c:axId val="142924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72072"/>
        <c:crosses val="autoZero"/>
        <c:auto val="1"/>
        <c:lblAlgn val="ctr"/>
        <c:lblOffset val="100"/>
        <c:noMultiLvlLbl val="0"/>
      </c:catAx>
      <c:valAx>
        <c:axId val="142927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24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[Ecommerce_Sales_Analytics1.xlsx]payment_method_analysis!PivotTable3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payment_method_analysis!$B$3</c:f>
              <c:strCache>
                <c:ptCount val="1"/>
                <c:pt idx="0">
                  <c:v>Sum of payment_id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payment_method_analysis!$A$4:$A$9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payment_method_analysis!$B$4:$B$9</c:f>
              <c:numCache>
                <c:formatCode>General</c:formatCode>
                <c:ptCount val="5"/>
                <c:pt idx="0">
                  <c:v>25250</c:v>
                </c:pt>
                <c:pt idx="1">
                  <c:v>24950</c:v>
                </c:pt>
                <c:pt idx="2">
                  <c:v>25050</c:v>
                </c:pt>
                <c:pt idx="3">
                  <c:v>25150</c:v>
                </c:pt>
                <c:pt idx="4">
                  <c:v>24850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9-40F2-8A71-2830D7BEFA91}"/>
            </c:ext>
          </c:extLst>
        </c:ser>
        <c:ser>
          <c:idx val="1"/>
          <c:order val="1"/>
          <c:tx>
            <c:strRef>
              <c:f>payment_method_analysis!$C$3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payment_method_analysis!$A$4:$A$9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payment_method_analysis!$C$4:$C$9</c:f>
              <c:numCache>
                <c:formatCode>[$₹-4009]\ #,##0.00</c:formatCode>
                <c:ptCount val="5"/>
                <c:pt idx="0">
                  <c:v>1962500</c:v>
                </c:pt>
                <c:pt idx="1">
                  <c:v>2099500</c:v>
                </c:pt>
                <c:pt idx="2">
                  <c:v>2031000</c:v>
                </c:pt>
                <c:pt idx="3">
                  <c:v>1962500</c:v>
                </c:pt>
                <c:pt idx="4">
                  <c:v>1962500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9-40F2-8A71-2830D7BEF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4935"/>
        <c:axId val="10046983"/>
      </c:barChart>
      <c:catAx>
        <c:axId val="1004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983"/>
        <c:crosses val="autoZero"/>
        <c:auto val="1"/>
        <c:lblAlgn val="ctr"/>
        <c:lblOffset val="100"/>
        <c:noMultiLvlLbl val="0"/>
      </c:catAx>
      <c:valAx>
        <c:axId val="10046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[Ecommerce_Sales_Analytics1.xlsx]top-10_products_by_revenue!PivotTable7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'top-10_products_by_revenue'!$B$3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'top-10_products_by_revenue'!$A$4:$A$14</c:f>
              <c:strCache>
                <c:ptCount val="10"/>
                <c:pt idx="0">
                  <c:v>Building Blocks</c:v>
                </c:pt>
                <c:pt idx="1">
                  <c:v>Board Game</c:v>
                </c:pt>
                <c:pt idx="2">
                  <c:v>Toys Car</c:v>
                </c:pt>
                <c:pt idx="3">
                  <c:v>Moisturizer</c:v>
                </c:pt>
                <c:pt idx="4">
                  <c:v>Shampoo</c:v>
                </c:pt>
                <c:pt idx="5">
                  <c:v>Dumbbells</c:v>
                </c:pt>
                <c:pt idx="6">
                  <c:v>Badminton Racket</c:v>
                </c:pt>
                <c:pt idx="7">
                  <c:v>Cricket Bat</c:v>
                </c:pt>
                <c:pt idx="8">
                  <c:v>Cookbook</c:v>
                </c:pt>
                <c:pt idx="9">
                  <c:v>Notebook</c:v>
                </c:pt>
              </c:strCache>
            </c:strRef>
          </c:cat>
          <c:val>
            <c:numRef>
              <c:f>'top-10_products_by_revenue'!$B$4:$B$14</c:f>
              <c:numCache>
                <c:formatCode>General</c:formatCode>
                <c:ptCount val="10"/>
                <c:pt idx="0">
                  <c:v>441000</c:v>
                </c:pt>
                <c:pt idx="1">
                  <c:v>424560</c:v>
                </c:pt>
                <c:pt idx="2">
                  <c:v>408120</c:v>
                </c:pt>
                <c:pt idx="3">
                  <c:v>391680</c:v>
                </c:pt>
                <c:pt idx="4">
                  <c:v>375240</c:v>
                </c:pt>
                <c:pt idx="5">
                  <c:v>358800</c:v>
                </c:pt>
                <c:pt idx="6">
                  <c:v>342360</c:v>
                </c:pt>
                <c:pt idx="7">
                  <c:v>325920</c:v>
                </c:pt>
                <c:pt idx="8">
                  <c:v>309480</c:v>
                </c:pt>
                <c:pt idx="9">
                  <c:v>293040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1-44C4-ABBB-9F934253A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829704"/>
        <c:axId val="444831752"/>
      </c:barChart>
      <c:catAx>
        <c:axId val="444829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31752"/>
        <c:crosses val="autoZero"/>
        <c:auto val="1"/>
        <c:lblAlgn val="ctr"/>
        <c:lblOffset val="100"/>
        <c:noMultiLvlLbl val="0"/>
      </c:catAx>
      <c:valAx>
        <c:axId val="444831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2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[Ecommerce_Sales_Analytics1.xlsx]customer_wise_revenue!PivotTable2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customer_wise_revenue!$B$3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customer_wise_revenue!$A$4:$A$14</c:f>
              <c:strCache>
                <c:ptCount val="10"/>
                <c:pt idx="0">
                  <c:v>Divya V.</c:v>
                </c:pt>
                <c:pt idx="1">
                  <c:v>Priya J.</c:v>
                </c:pt>
                <c:pt idx="2">
                  <c:v>Priya B.</c:v>
                </c:pt>
                <c:pt idx="3">
                  <c:v>Suresh D.</c:v>
                </c:pt>
                <c:pt idx="4">
                  <c:v>Rohit L.</c:v>
                </c:pt>
                <c:pt idx="5">
                  <c:v>Kavya L.</c:v>
                </c:pt>
                <c:pt idx="6">
                  <c:v>Vikram O.</c:v>
                </c:pt>
                <c:pt idx="7">
                  <c:v>Swathi Q.</c:v>
                </c:pt>
                <c:pt idx="8">
                  <c:v>Arjun E.</c:v>
                </c:pt>
                <c:pt idx="9">
                  <c:v>Sneha Z.</c:v>
                </c:pt>
              </c:strCache>
            </c:strRef>
          </c:cat>
          <c:val>
            <c:numRef>
              <c:f>customer_wise_revenue!$B$4:$B$14</c:f>
              <c:numCache>
                <c:formatCode>General</c:formatCode>
                <c:ptCount val="10"/>
                <c:pt idx="0">
                  <c:v>160028</c:v>
                </c:pt>
                <c:pt idx="1">
                  <c:v>101317</c:v>
                </c:pt>
                <c:pt idx="2">
                  <c:v>99783</c:v>
                </c:pt>
                <c:pt idx="3">
                  <c:v>91207</c:v>
                </c:pt>
                <c:pt idx="4">
                  <c:v>90933</c:v>
                </c:pt>
                <c:pt idx="5">
                  <c:v>86083</c:v>
                </c:pt>
                <c:pt idx="6">
                  <c:v>81966</c:v>
                </c:pt>
                <c:pt idx="7">
                  <c:v>79500</c:v>
                </c:pt>
                <c:pt idx="8">
                  <c:v>79425</c:v>
                </c:pt>
                <c:pt idx="9">
                  <c:v>76582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3-47CF-8EA1-DC7FD4D2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712456"/>
        <c:axId val="2129199624"/>
      </c:barChart>
      <c:catAx>
        <c:axId val="1236712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199624"/>
        <c:crosses val="autoZero"/>
        <c:auto val="1"/>
        <c:lblAlgn val="ctr"/>
        <c:lblOffset val="100"/>
        <c:noMultiLvlLbl val="0"/>
      </c:catAx>
      <c:valAx>
        <c:axId val="2129199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1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0</xdr:rowOff>
    </xdr:from>
    <xdr:to>
      <xdr:col>0</xdr:col>
      <xdr:colOff>2628900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69F7E-66E5-46BA-B956-AC09B8080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400050</xdr:colOff>
      <xdr:row>4</xdr:row>
      <xdr:rowOff>161925</xdr:rowOff>
    </xdr:from>
    <xdr:to>
      <xdr:col>9</xdr:col>
      <xdr:colOff>800100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3B5ADD-30C4-4F2C-B5A6-8D53ECF1970B}"/>
            </a:ext>
            <a:ext uri="{147F2762-F138-4A5C-976F-8EAC2B608ADB}">
              <a16:predDERef xmlns:a16="http://schemas.microsoft.com/office/drawing/2014/main" pred="{78E69F7E-66E5-46BA-B956-AC09B8080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190500</xdr:colOff>
      <xdr:row>20</xdr:row>
      <xdr:rowOff>85725</xdr:rowOff>
    </xdr:from>
    <xdr:to>
      <xdr:col>10</xdr:col>
      <xdr:colOff>9525</xdr:colOff>
      <xdr:row>34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EC4E06-983A-46CA-A0F1-840D504E6D9A}"/>
            </a:ext>
            <a:ext uri="{147F2762-F138-4A5C-976F-8EAC2B608ADB}">
              <a16:predDERef xmlns:a16="http://schemas.microsoft.com/office/drawing/2014/main" pred="{CC3B5ADD-30C4-4F2C-B5A6-8D53ECF19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5</xdr:row>
      <xdr:rowOff>9525</xdr:rowOff>
    </xdr:from>
    <xdr:to>
      <xdr:col>5</xdr:col>
      <xdr:colOff>342900</xdr:colOff>
      <xdr:row>18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6F21A7-C99B-40A4-A65F-00AEE837A098}"/>
            </a:ext>
            <a:ext uri="{147F2762-F138-4A5C-976F-8EAC2B608ADB}">
              <a16:predDERef xmlns:a16="http://schemas.microsoft.com/office/drawing/2014/main" pred="{9CEC4E06-983A-46CA-A0F1-840D504E6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2571750</xdr:colOff>
      <xdr:row>20</xdr:row>
      <xdr:rowOff>66675</xdr:rowOff>
    </xdr:from>
    <xdr:to>
      <xdr:col>5</xdr:col>
      <xdr:colOff>523875</xdr:colOff>
      <xdr:row>33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728918-8403-401C-AEBF-CC254C945BD5}"/>
            </a:ext>
            <a:ext uri="{147F2762-F138-4A5C-976F-8EAC2B608ADB}">
              <a16:predDERef xmlns:a16="http://schemas.microsoft.com/office/drawing/2014/main" pred="{BB6F21A7-C99B-40A4-A65F-00AEE837A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378044328703" createdVersion="8" refreshedVersion="8" minRefreshableVersion="3" recordCount="1000" xr:uid="{5407EC13-BA7E-4231-A462-9D678B493700}">
  <cacheSource type="worksheet">
    <worksheetSource name="Table4[[order_id]:[order_month]]"/>
  </cacheSource>
  <cacheFields count="10">
    <cacheField name="order_id" numFmtId="0">
      <sharedItems containsSemiMixedTypes="0" containsString="0" containsNumber="1" containsInteger="1" minValue="101" maxValue="600"/>
    </cacheField>
    <cacheField name="product_id" numFmtId="0">
      <sharedItems containsSemiMixedTypes="0" containsString="0" containsNumber="1" containsInteger="1" minValue="1" maxValue="50"/>
    </cacheField>
    <cacheField name="quantity" numFmtId="1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637" maxValue="7350"/>
    </cacheField>
    <cacheField name="revenue" numFmtId="0">
      <sharedItems containsSemiMixedTypes="0" containsString="0" containsNumber="1" containsInteger="1" minValue="637" maxValue="29400"/>
    </cacheField>
    <cacheField name="profit" numFmtId="0">
      <sharedItems containsSemiMixedTypes="0" containsString="0" containsNumber="1" minValue="277.08999999999997" maxValue="13230"/>
    </cacheField>
    <cacheField name="category" numFmtId="0">
      <sharedItems/>
    </cacheField>
    <cacheField name="product_name" numFmtId="0">
      <sharedItems/>
    </cacheField>
    <cacheField name="order_date" numFmtId="0">
      <sharedItems containsSemiMixedTypes="0" containsString="0" containsNumber="1" containsInteger="1" minValue="45658" maxValue="46022"/>
    </cacheField>
    <cacheField name="order_month" numFmtId="0">
      <sharedItems count="12">
        <s v="Jan-2025"/>
        <s v="Feb-2025"/>
        <s v="Mar-2025"/>
        <s v="Apr-2025"/>
        <s v="May-2025"/>
        <s v="Jun-2025"/>
        <s v="Jul-2025"/>
        <s v="Aug-2025"/>
        <s v="Sep-2025"/>
        <s v="Oct-2025"/>
        <s v="Nov-2025"/>
        <s v="Dec-2025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378044328703" createdVersion="8" refreshedVersion="8" minRefreshableVersion="3" recordCount="1001" xr:uid="{48C57D1D-7A79-4F3B-86F0-3462FF3E54BA}">
  <cacheSource type="worksheet">
    <worksheetSource ref="A1:I1048576" sheet="order_items"/>
  </cacheSource>
  <cacheFields count="9">
    <cacheField name="order_item_id" numFmtId="0">
      <sharedItems containsString="0" containsBlank="1" containsNumber="1" containsInteger="1" minValue="1" maxValue="1000"/>
    </cacheField>
    <cacheField name="order_id" numFmtId="0">
      <sharedItems containsString="0" containsBlank="1" containsNumber="1" containsInteger="1" minValue="101" maxValue="600"/>
    </cacheField>
    <cacheField name="product_id" numFmtId="0">
      <sharedItems containsString="0" containsBlank="1" containsNumber="1" containsInteger="1" minValue="1" maxValue="50"/>
    </cacheField>
    <cacheField name="quantity" numFmtId="0">
      <sharedItems containsString="0" containsBlank="1" containsNumber="1" containsInteger="1" minValue="1" maxValue="4"/>
    </cacheField>
    <cacheField name="unit_price" numFmtId="0">
      <sharedItems containsString="0" containsBlank="1" containsNumber="1" containsInteger="1" minValue="637" maxValue="7350"/>
    </cacheField>
    <cacheField name="revenue" numFmtId="0">
      <sharedItems containsString="0" containsBlank="1" containsNumber="1" containsInteger="1" minValue="637" maxValue="29400"/>
    </cacheField>
    <cacheField name="profit" numFmtId="0">
      <sharedItems containsString="0" containsBlank="1" containsNumber="1" minValue="277.08999999999997" maxValue="13230"/>
    </cacheField>
    <cacheField name="category" numFmtId="0">
      <sharedItems containsBlank="1"/>
    </cacheField>
    <cacheField name="product_name" numFmtId="0">
      <sharedItems containsBlank="1" count="51">
        <s v="Tablet"/>
        <s v="Mixer"/>
        <s v="Shoes"/>
        <s v="Bottle"/>
        <s v="Microwave"/>
        <s v="Novel"/>
        <s v="Chair"/>
        <s v="Shampoo"/>
        <s v="Cricket Bat"/>
        <s v="Remote Car"/>
        <s v="Perfume"/>
        <s v="Mouse"/>
        <s v="Building Blocks"/>
        <s v="Shirt"/>
        <s v="Monitor"/>
        <s v="Belt"/>
        <s v="Jacket"/>
        <s v="Cookware Set"/>
        <s v="Cookbook"/>
        <s v="Face Wash"/>
        <s v="Board Game"/>
        <s v="Keyboard"/>
        <s v="Jeans"/>
        <s v="Wallet"/>
        <s v="Bedsheet"/>
        <s v="Pen Set"/>
        <s v="Dumbbells"/>
        <s v="Puzzle"/>
        <s v="Smart Watch"/>
        <s v="T-Shirt"/>
        <s v="Backpack"/>
        <s v="Vacuum Cleaner"/>
        <s v="Notebook"/>
        <s v="Yoga Mat"/>
        <s v="Toys Car"/>
        <s v="Headphones"/>
        <s v="Earbuds"/>
        <s v="Dress"/>
        <s v="Iron"/>
        <s v="Book"/>
        <s v="Badminton Racket"/>
        <s v="Sunscreen"/>
        <s v="Mobile"/>
        <s v="Power Bank"/>
        <s v="Saree"/>
        <s v="Fan"/>
        <s v="Table"/>
        <s v="Football"/>
        <s v="Moisturizer"/>
        <s v="Laptop"/>
        <m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378044444442" createdVersion="8" refreshedVersion="8" minRefreshableVersion="3" recordCount="1000" xr:uid="{DC06D1FC-D7F3-4528-9AE4-15A2DDA099AF}">
  <cacheSource type="worksheet">
    <worksheetSource name="Table4"/>
  </cacheSource>
  <cacheFields count="13">
    <cacheField name="order_item_id" numFmtId="0">
      <sharedItems containsSemiMixedTypes="0" containsString="0" containsNumber="1" containsInteger="1" minValue="1" maxValue="1000"/>
    </cacheField>
    <cacheField name="order_id" numFmtId="0">
      <sharedItems containsSemiMixedTypes="0" containsString="0" containsNumber="1" containsInteger="1" minValue="101" maxValue="600"/>
    </cacheField>
    <cacheField name="product_id" numFmtId="0">
      <sharedItems containsSemiMixedTypes="0" containsString="0" containsNumber="1" containsInteger="1" minValue="1" maxValue="50"/>
    </cacheField>
    <cacheField name="quantity" numFmtId="1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637" maxValue="7350"/>
    </cacheField>
    <cacheField name="revenue" numFmtId="0">
      <sharedItems containsSemiMixedTypes="0" containsString="0" containsNumber="1" containsInteger="1" minValue="637" maxValue="29400"/>
    </cacheField>
    <cacheField name="profit" numFmtId="0">
      <sharedItems containsSemiMixedTypes="0" containsString="0" containsNumber="1" minValue="277.08999999999997" maxValue="13230"/>
    </cacheField>
    <cacheField name="category" numFmtId="0">
      <sharedItems count="9">
        <s v="Electronics"/>
        <s v="Home Appliances"/>
        <s v="Fashion"/>
        <s v="Home &amp; Kitchen"/>
        <s v="Books"/>
        <s v="Furniture"/>
        <s v="Beauty"/>
        <s v="Sports"/>
        <s v="Toys"/>
      </sharedItems>
    </cacheField>
    <cacheField name="product_name" numFmtId="0">
      <sharedItems/>
    </cacheField>
    <cacheField name="order_date" numFmtId="0">
      <sharedItems containsSemiMixedTypes="0" containsString="0" containsNumber="1" containsInteger="1" minValue="45658" maxValue="46022"/>
    </cacheField>
    <cacheField name="order_month" numFmtId="0">
      <sharedItems/>
    </cacheField>
    <cacheField name="customer_id" numFmtId="0">
      <sharedItems containsSemiMixedTypes="0" containsString="0" containsNumber="1" containsInteger="1" minValue="1" maxValue="500"/>
    </cacheField>
    <cacheField name="customer_name" numFmtId="0">
      <sharedItems count="318">
        <s v="Rahul X."/>
        <s v="Neha O."/>
        <s v="Rahul K."/>
        <s v="Meena X."/>
        <s v="Ravi L."/>
        <s v="Nikhil A."/>
        <s v="Nikhil E."/>
        <s v="Neha Z."/>
        <s v="Arjun Y."/>
        <s v="Neha A."/>
        <s v="Priya K."/>
        <s v="Sneha S."/>
        <s v="Kavya W."/>
        <s v="Lakshmi P."/>
        <s v="Vikram C."/>
        <s v="Lakshmi V."/>
        <s v="Priya W."/>
        <s v="Swathi C."/>
        <s v="Vikram A."/>
        <s v="Lakshmi D."/>
        <s v="Kavya L."/>
        <s v="Vikram S."/>
        <s v="Anjali W."/>
        <s v="Swathi Q."/>
        <s v="Lakshmi A."/>
        <s v="Ravi Y."/>
        <s v="Arjun I."/>
        <s v="Lakshmi Y."/>
        <s v="Kiran U."/>
        <s v="Rohit V."/>
        <s v="Rahul P."/>
        <s v="Kiran T."/>
        <s v="Anjali V."/>
        <s v="Priya A."/>
        <s v="Priya J."/>
        <s v="Divya T."/>
        <s v="Rahul O."/>
        <s v="Arjun O."/>
        <s v="Priya H."/>
        <s v="Vikram Z."/>
        <s v="Manoj D."/>
        <s v="Suresh K."/>
        <s v="Vikram P."/>
        <s v="Vikram Y."/>
        <s v="Neha C."/>
        <s v="Priya S."/>
        <s v="Rohit C."/>
        <s v="Kiran L."/>
        <s v="Vikram H."/>
        <s v="Sneha N."/>
        <s v="Amit H."/>
        <s v="Sneha I."/>
        <s v="Vikram Q."/>
        <s v="Lakshmi H."/>
        <s v="Rohit S."/>
        <s v="Meena B."/>
        <s v="Kavya S."/>
        <s v="Arjun E."/>
        <s v="Divya B."/>
        <s v="Amit U."/>
        <s v="Sneha Z."/>
        <s v="Vikram G."/>
        <s v="Pooja B."/>
        <s v="Meena H."/>
        <s v="Rohit M."/>
        <s v="Priya F."/>
        <s v="Vikram M."/>
        <s v="Swathi O."/>
        <s v="Arjun M."/>
        <s v="Kiran E."/>
        <s v="Kavya D."/>
        <s v="Meena K."/>
        <s v="Amit Q."/>
        <s v="Arjun Q."/>
        <s v="Rohit H."/>
        <s v="Divya O."/>
        <s v="Kavya H."/>
        <s v="Pooja C."/>
        <s v="Manoj R."/>
        <s v="Neha N."/>
        <s v="Suresh Y."/>
        <s v="Divya V."/>
        <s v="Meena W."/>
        <s v="Suresh U."/>
        <s v="Pooja L."/>
        <s v="Nikhil P."/>
        <s v="Divya W."/>
        <s v="Meena U."/>
        <s v="Kavya P."/>
        <s v="Nikhil I."/>
        <s v="Kavya E."/>
        <s v="Swathi D."/>
        <s v="Swathi P."/>
        <s v="Divya X."/>
        <s v="Rohit L."/>
        <s v="Neha L."/>
        <s v="Swathi A."/>
        <s v="Priya D."/>
        <s v="Arjun X."/>
        <s v="Kiran C."/>
        <s v="Anjali D."/>
        <s v="Pooja E."/>
        <s v="Kavya X."/>
        <s v="Anjali O."/>
        <s v="Lakshmi G."/>
        <s v="Divya U."/>
        <s v="Suresh E."/>
        <s v="Arjun J."/>
        <s v="Swathi I."/>
        <s v="Rohit J."/>
        <s v="Suresh A."/>
        <s v="Nikhil S."/>
        <s v="Priya B."/>
        <s v="Swathi W."/>
        <s v="Manoj I."/>
        <s v="Suresh V."/>
        <s v="Sneha T."/>
        <s v="Manoj E."/>
        <s v="Amit S."/>
        <s v="Priya V."/>
        <s v="Anjali F."/>
        <s v="Divya H."/>
        <s v="Nikhil G."/>
        <s v="Manoj U."/>
        <s v="Suresh H."/>
        <s v="Meena O."/>
        <s v="Kiran S."/>
        <s v="Neha H."/>
        <s v="Kavya Q."/>
        <s v="Nikhil J."/>
        <s v="Neha W."/>
        <s v="Vikram O."/>
        <s v="Kiran O."/>
        <s v="Vikram L."/>
        <s v="Rohit E."/>
        <s v="Rahul W."/>
        <s v="Pooja D."/>
        <s v="Arjun Z."/>
        <s v="Amit N."/>
        <s v="Kiran Y."/>
        <s v="Kiran H."/>
        <s v="Suresh S."/>
        <s v="Anjali T."/>
        <s v="Amit C."/>
        <s v="Suresh P."/>
        <s v="Rohit R."/>
        <s v="Meena Y."/>
        <s v="Rohit W."/>
        <s v="Arjun C."/>
        <s v="Pooja X."/>
        <s v="Ravi U."/>
        <s v="Vikram X."/>
        <s v="Lakshmi U."/>
        <s v="Rahul L."/>
        <s v="Vikram K."/>
        <s v="Divya C."/>
        <s v="Kavya F."/>
        <s v="Ravi M."/>
        <s v="Amit K."/>
        <s v="Divya R."/>
        <s v="Suresh X."/>
        <s v="Manoj G."/>
        <s v="Neha R."/>
        <s v="Arjun T."/>
        <s v="Amit T."/>
        <s v="Lakshmi I."/>
        <s v="Sneha R."/>
        <s v="Arjun A."/>
        <s v="Anjali R."/>
        <s v="Priya T."/>
        <s v="Arjun F."/>
        <s v="Suresh D."/>
        <s v="Swathi B."/>
        <s v="Rohit O."/>
        <s v="Rahul I."/>
        <s v="Ravi W."/>
        <s v="Ravi G."/>
        <s v="Divya Z."/>
        <s v="Pooja I."/>
        <s v="Manoj T."/>
        <s v="Neha X."/>
        <s v="Anjali U."/>
        <s v="Sneha C."/>
        <s v="Meena E."/>
        <s v="Amit L."/>
        <s v="Ravi Q."/>
        <s v="Pooja V."/>
        <s v="Kiran Q."/>
        <s v="Lakshmi M."/>
        <s v="Priya Z."/>
        <s v="Nikhil C."/>
        <s v="Sneha E."/>
        <s v="Lakshmi J."/>
        <s v="Amit X."/>
        <s v="Swathi H."/>
        <s v="Ravi X."/>
        <s v="Vikram R."/>
        <s v="Manoj J."/>
        <s v="Manoj Q."/>
        <s v="Meena N."/>
        <s v="Pooja O."/>
        <s v="Kiran R."/>
        <s v="Meena S."/>
        <s v="Kiran J."/>
        <s v="Priya L."/>
        <s v="Kavya O."/>
        <s v="Divya M."/>
        <s v="Manoj K."/>
        <s v="Vikram F."/>
        <s v="Amit P."/>
        <s v="Swathi U."/>
        <s v="Ravi T."/>
        <s v="Nikhil R."/>
        <s v="Nikhil M."/>
        <s v="Nikhil O."/>
        <s v="Amit E."/>
        <s v="Neha Y."/>
        <s v="Divya N."/>
        <s v="Meena P."/>
        <s v="Rahul C."/>
        <s v="Rahul T."/>
        <s v="Lakshmi E."/>
        <s v="Ravi F."/>
        <s v="Sneha X."/>
        <s v="Amit Y."/>
        <s v="Divya I."/>
        <s v="Priya G."/>
        <s v="Swathi J."/>
        <s v="Kiran N."/>
        <s v="Pooja J."/>
        <s v="Divya J."/>
        <s v="Vikram J."/>
        <s v="Rahul M."/>
        <s v="Kavya Z."/>
        <s v="Kiran F."/>
        <s v="Manoj O."/>
        <s v="Anjali P."/>
        <s v="Nikhil V."/>
        <s v="Pooja W."/>
        <s v="Nikhil H."/>
        <s v="Swathi Z."/>
        <s v="Rohit N."/>
        <s v="Lakshmi K."/>
        <s v="Amit I."/>
        <s v="Meena J."/>
        <s v="Divya K."/>
        <s v="Swathi K."/>
        <s v="Nikhil B."/>
        <s v="Rohit Q."/>
        <s v="Ravi V."/>
        <s v="Nikhil K."/>
        <s v="Lakshmi N."/>
        <s v="Suresh L."/>
        <s v="Ravi Z."/>
        <s v="Suresh F."/>
        <s v="Kavya K."/>
        <s v="Neha P."/>
        <s v="Kiran K."/>
        <s v="Neha S."/>
        <s v="Swathi M."/>
        <s v="Divya D."/>
        <s v="Priya N."/>
        <s v="Kavya C."/>
        <s v="Kiran W."/>
        <s v="Meena C."/>
        <s v="Amit V."/>
        <s v="Anjali Y."/>
        <s v="Arjun P."/>
        <s v="Arjun B."/>
        <s v="Kavya U."/>
        <s v="Arjun H."/>
        <s v="Pooja M."/>
        <s v="Sneha F."/>
        <s v="Swathi L."/>
        <s v="Swathi G."/>
        <s v="Anjali E."/>
        <s v="Anjali S."/>
        <s v="Kavya J."/>
        <s v="Divya P."/>
        <s v="Meena T."/>
        <s v="Ravi K."/>
        <s v="Lakshmi R."/>
        <s v="Meena D."/>
        <s v="Kiran B."/>
        <s v="Rohit Z."/>
        <s v="Manoj H."/>
        <s v="Suresh R."/>
        <s v="Suresh Q."/>
        <s v="Amit O."/>
        <s v="Pooja S."/>
        <s v="Meena Q."/>
        <s v="Kiran Z."/>
        <s v="Rohit Y."/>
        <s v="Pooja Q."/>
        <s v="Neha Q."/>
        <s v="Manoj Y."/>
        <s v="Anjali Z."/>
        <s v="Vikram U."/>
        <s v="Lakshmi Q."/>
        <s v="Manoj F."/>
        <s v="Meena Z."/>
        <s v="Pooja U."/>
        <s v="Amit Z."/>
        <s v="Kavya B."/>
        <s v="Ravi C."/>
        <s v="Ravi R."/>
        <s v="Vikram E."/>
        <s v="Rahul H."/>
        <s v="Pooja P."/>
        <s v="Nikhil Q."/>
        <s v="Priya M."/>
        <s v="Pooja H."/>
        <s v="Rohit F."/>
        <s v="Rohit I."/>
        <s v="Anjali A."/>
        <s v="Divya G."/>
        <s v="Vikram W."/>
        <s v="Priya Y.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39175127315" createdVersion="8" refreshedVersion="8" minRefreshableVersion="3" recordCount="500" xr:uid="{BAEF48DA-0871-413D-9A6E-58B7AB7ED58E}">
  <cacheSource type="worksheet">
    <worksheetSource name="Table5"/>
  </cacheSource>
  <cacheFields count="6">
    <cacheField name="payment_id" numFmtId="0">
      <sharedItems containsSemiMixedTypes="0" containsString="0" containsNumber="1" containsInteger="1" minValue="1" maxValue="500"/>
    </cacheField>
    <cacheField name="order_id" numFmtId="0">
      <sharedItems containsSemiMixedTypes="0" containsString="0" containsNumber="1" containsInteger="1" minValue="101" maxValue="600"/>
    </cacheField>
    <cacheField name="payment_date" numFmtId="14">
      <sharedItems containsSemiMixedTypes="0" containsNonDate="0" containsDate="1" containsString="0" minDate="2025-01-01T00:00:00" maxDate="2026-01-01T00:00:00"/>
    </cacheField>
    <cacheField name="payment_method" numFmtId="0">
      <sharedItems count="5">
        <s v="UPI"/>
        <s v="Credit Card"/>
        <s v="Debit Card"/>
        <s v="Net Banking"/>
        <s v="Cash on Delivery"/>
      </sharedItems>
    </cacheField>
    <cacheField name="payment_status" numFmtId="0">
      <sharedItems/>
    </cacheField>
    <cacheField name="amount" numFmtId="165">
      <sharedItems containsSemiMixedTypes="0" containsString="0" containsNumber="1" containsInteger="1" minValue="5473" maxValue="4610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01"/>
    <n v="8"/>
    <n v="2"/>
    <n v="1596"/>
    <n v="3192"/>
    <n v="1053.3600000000001"/>
    <s v="Electronics"/>
    <s v="Tablet"/>
    <n v="45658"/>
    <x v="0"/>
  </r>
  <r>
    <n v="101"/>
    <n v="21"/>
    <n v="3"/>
    <n v="3377"/>
    <n v="10131"/>
    <n v="4406.97"/>
    <s v="Home Appliances"/>
    <s v="Mixer"/>
    <n v="45658"/>
    <x v="0"/>
  </r>
  <r>
    <n v="102"/>
    <n v="15"/>
    <n v="3"/>
    <n v="2555"/>
    <n v="7665"/>
    <n v="2874.3599999999997"/>
    <s v="Fashion"/>
    <s v="Shoes"/>
    <n v="45661"/>
    <x v="0"/>
  </r>
  <r>
    <n v="102"/>
    <n v="28"/>
    <n v="4"/>
    <n v="4336"/>
    <n v="17344"/>
    <n v="5723.52"/>
    <s v="Home &amp; Kitchen"/>
    <s v="Bottle"/>
    <n v="45661"/>
    <x v="0"/>
  </r>
  <r>
    <n v="103"/>
    <n v="22"/>
    <n v="4"/>
    <n v="3514"/>
    <n v="14056"/>
    <n v="5903.52"/>
    <s v="Home Appliances"/>
    <s v="Microwave"/>
    <n v="45664"/>
    <x v="0"/>
  </r>
  <r>
    <n v="103"/>
    <n v="35"/>
    <n v="1"/>
    <n v="5295"/>
    <n v="5295"/>
    <n v="1985.62"/>
    <s v="Books"/>
    <s v="Novel"/>
    <n v="45664"/>
    <x v="0"/>
  </r>
  <r>
    <n v="104"/>
    <n v="29"/>
    <n v="1"/>
    <n v="4473"/>
    <n v="4473"/>
    <n v="1408.9899999999998"/>
    <s v="Furniture"/>
    <s v="Chair"/>
    <n v="45667"/>
    <x v="0"/>
  </r>
  <r>
    <n v="104"/>
    <n v="42"/>
    <n v="2"/>
    <n v="6254"/>
    <n v="12508"/>
    <n v="5253.36"/>
    <s v="Beauty"/>
    <s v="Shampoo"/>
    <n v="45667"/>
    <x v="0"/>
  </r>
  <r>
    <n v="105"/>
    <n v="36"/>
    <n v="2"/>
    <n v="5432"/>
    <n v="10864"/>
    <n v="3911.04"/>
    <s v="Sports"/>
    <s v="Cricket Bat"/>
    <n v="45670"/>
    <x v="0"/>
  </r>
  <r>
    <n v="105"/>
    <n v="49"/>
    <n v="3"/>
    <n v="7213"/>
    <n v="21639"/>
    <n v="6816.27"/>
    <s v="Toys"/>
    <s v="Remote Car"/>
    <n v="45670"/>
    <x v="0"/>
  </r>
  <r>
    <n v="106"/>
    <n v="43"/>
    <n v="3"/>
    <n v="6391"/>
    <n v="19173"/>
    <n v="7765.0499999999993"/>
    <s v="Beauty"/>
    <s v="Perfume"/>
    <n v="45673"/>
    <x v="0"/>
  </r>
  <r>
    <n v="106"/>
    <n v="6"/>
    <n v="4"/>
    <n v="1322"/>
    <n v="5288"/>
    <n v="1903.6799999999998"/>
    <s v="Electronics"/>
    <s v="Mouse"/>
    <n v="45673"/>
    <x v="0"/>
  </r>
  <r>
    <n v="107"/>
    <n v="50"/>
    <n v="4"/>
    <n v="7350"/>
    <n v="29400"/>
    <n v="13230"/>
    <s v="Toys"/>
    <s v="Building Blocks"/>
    <n v="45676"/>
    <x v="0"/>
  </r>
  <r>
    <n v="107"/>
    <n v="13"/>
    <n v="1"/>
    <n v="2281"/>
    <n v="2281"/>
    <n v="923.8"/>
    <s v="Fashion"/>
    <s v="Shirt"/>
    <n v="45676"/>
    <x v="0"/>
  </r>
  <r>
    <n v="108"/>
    <n v="7"/>
    <n v="1"/>
    <n v="1459"/>
    <n v="1459"/>
    <n v="503.35"/>
    <s v="Electronics"/>
    <s v="Monitor"/>
    <n v="45679"/>
    <x v="0"/>
  </r>
  <r>
    <n v="108"/>
    <n v="20"/>
    <n v="2"/>
    <n v="3240"/>
    <n v="6480"/>
    <n v="2916"/>
    <s v="Fashion"/>
    <s v="Belt"/>
    <n v="45679"/>
    <x v="0"/>
  </r>
  <r>
    <n v="109"/>
    <n v="14"/>
    <n v="2"/>
    <n v="2418"/>
    <n v="4836"/>
    <n v="1886.04"/>
    <s v="Fashion"/>
    <s v="Jacket"/>
    <n v="45682"/>
    <x v="0"/>
  </r>
  <r>
    <n v="109"/>
    <n v="27"/>
    <n v="3"/>
    <n v="4199"/>
    <n v="12597"/>
    <n v="4345.9500000000007"/>
    <s v="Home &amp; Kitchen"/>
    <s v="Cookware Set"/>
    <n v="45682"/>
    <x v="0"/>
  </r>
  <r>
    <n v="110"/>
    <n v="21"/>
    <n v="3"/>
    <n v="3377"/>
    <n v="10131"/>
    <n v="4406.97"/>
    <s v="Home Appliances"/>
    <s v="Mixer"/>
    <n v="45685"/>
    <x v="0"/>
  </r>
  <r>
    <n v="110"/>
    <n v="34"/>
    <n v="4"/>
    <n v="5158"/>
    <n v="20632"/>
    <n v="8046.48"/>
    <s v="Books"/>
    <s v="Cookbook"/>
    <n v="45685"/>
    <x v="0"/>
  </r>
  <r>
    <n v="111"/>
    <n v="28"/>
    <n v="4"/>
    <n v="4336"/>
    <n v="17344"/>
    <n v="5723.52"/>
    <s v="Home &amp; Kitchen"/>
    <s v="Bottle"/>
    <n v="45688"/>
    <x v="0"/>
  </r>
  <r>
    <n v="111"/>
    <n v="41"/>
    <n v="1"/>
    <n v="6117"/>
    <n v="6117"/>
    <n v="2660.89"/>
    <s v="Beauty"/>
    <s v="Face Wash"/>
    <n v="45688"/>
    <x v="0"/>
  </r>
  <r>
    <n v="112"/>
    <n v="35"/>
    <n v="1"/>
    <n v="5295"/>
    <n v="5295"/>
    <n v="1985.62"/>
    <s v="Books"/>
    <s v="Novel"/>
    <n v="45691"/>
    <x v="1"/>
  </r>
  <r>
    <n v="112"/>
    <n v="48"/>
    <n v="2"/>
    <n v="7076"/>
    <n v="14152"/>
    <n v="4670.16"/>
    <s v="Toys"/>
    <s v="Board Game"/>
    <n v="45691"/>
    <x v="1"/>
  </r>
  <r>
    <n v="113"/>
    <n v="42"/>
    <n v="2"/>
    <n v="6254"/>
    <n v="12508"/>
    <n v="5253.36"/>
    <s v="Beauty"/>
    <s v="Shampoo"/>
    <n v="45694"/>
    <x v="1"/>
  </r>
  <r>
    <n v="113"/>
    <n v="5"/>
    <n v="3"/>
    <n v="1185"/>
    <n v="3555"/>
    <n v="1333.1399999999999"/>
    <s v="Electronics"/>
    <s v="Keyboard"/>
    <n v="45694"/>
    <x v="1"/>
  </r>
  <r>
    <n v="114"/>
    <n v="49"/>
    <n v="3"/>
    <n v="7213"/>
    <n v="21639"/>
    <n v="6816.27"/>
    <s v="Toys"/>
    <s v="Remote Car"/>
    <n v="45697"/>
    <x v="1"/>
  </r>
  <r>
    <n v="114"/>
    <n v="12"/>
    <n v="4"/>
    <n v="2144"/>
    <n v="8576"/>
    <n v="3601.92"/>
    <s v="Fashion"/>
    <s v="Jeans"/>
    <n v="45697"/>
    <x v="1"/>
  </r>
  <r>
    <n v="115"/>
    <n v="6"/>
    <n v="4"/>
    <n v="1322"/>
    <n v="5288"/>
    <n v="1903.6799999999998"/>
    <s v="Electronics"/>
    <s v="Mouse"/>
    <n v="45700"/>
    <x v="1"/>
  </r>
  <r>
    <n v="115"/>
    <n v="19"/>
    <n v="1"/>
    <n v="3103"/>
    <n v="3103"/>
    <n v="977.44"/>
    <s v="Fashion"/>
    <s v="Wallet"/>
    <n v="45700"/>
    <x v="1"/>
  </r>
  <r>
    <n v="116"/>
    <n v="13"/>
    <n v="1"/>
    <n v="2281"/>
    <n v="2281"/>
    <n v="923.8"/>
    <s v="Fashion"/>
    <s v="Shirt"/>
    <n v="45703"/>
    <x v="1"/>
  </r>
  <r>
    <n v="116"/>
    <n v="26"/>
    <n v="2"/>
    <n v="4062"/>
    <n v="8124"/>
    <n v="2924.6400000000003"/>
    <s v="Home &amp; Kitchen"/>
    <s v="Bedsheet"/>
    <n v="45703"/>
    <x v="1"/>
  </r>
  <r>
    <n v="117"/>
    <n v="20"/>
    <n v="2"/>
    <n v="3240"/>
    <n v="6480"/>
    <n v="2916"/>
    <s v="Fashion"/>
    <s v="Belt"/>
    <n v="45706"/>
    <x v="1"/>
  </r>
  <r>
    <n v="117"/>
    <n v="33"/>
    <n v="3"/>
    <n v="5021"/>
    <n v="15063"/>
    <n v="6100.5"/>
    <s v="Books"/>
    <s v="Pen Set"/>
    <n v="45706"/>
    <x v="1"/>
  </r>
  <r>
    <n v="118"/>
    <n v="27"/>
    <n v="3"/>
    <n v="4199"/>
    <n v="12597"/>
    <n v="4345.9500000000007"/>
    <s v="Home &amp; Kitchen"/>
    <s v="Cookware Set"/>
    <n v="45709"/>
    <x v="1"/>
  </r>
  <r>
    <n v="118"/>
    <n v="40"/>
    <n v="4"/>
    <n v="5980"/>
    <n v="23920"/>
    <n v="10764"/>
    <s v="Sports"/>
    <s v="Dumbbells"/>
    <n v="45709"/>
    <x v="1"/>
  </r>
  <r>
    <n v="119"/>
    <n v="34"/>
    <n v="4"/>
    <n v="5158"/>
    <n v="20632"/>
    <n v="8046.48"/>
    <s v="Books"/>
    <s v="Cookbook"/>
    <n v="45712"/>
    <x v="1"/>
  </r>
  <r>
    <n v="119"/>
    <n v="47"/>
    <n v="1"/>
    <n v="6939"/>
    <n v="6939"/>
    <n v="2393.9499999999998"/>
    <s v="Toys"/>
    <s v="Puzzle"/>
    <n v="45712"/>
    <x v="1"/>
  </r>
  <r>
    <n v="120"/>
    <n v="41"/>
    <n v="1"/>
    <n v="6117"/>
    <n v="6117"/>
    <n v="2660.89"/>
    <s v="Beauty"/>
    <s v="Face Wash"/>
    <n v="45715"/>
    <x v="1"/>
  </r>
  <r>
    <n v="120"/>
    <n v="4"/>
    <n v="2"/>
    <n v="1048"/>
    <n v="2096"/>
    <n v="817.44"/>
    <s v="Electronics"/>
    <s v="Smart Watch"/>
    <n v="45715"/>
    <x v="1"/>
  </r>
  <r>
    <n v="121"/>
    <n v="48"/>
    <n v="2"/>
    <n v="7076"/>
    <n v="14152"/>
    <n v="4670.16"/>
    <s v="Toys"/>
    <s v="Board Game"/>
    <n v="45718"/>
    <x v="2"/>
  </r>
  <r>
    <n v="121"/>
    <n v="11"/>
    <n v="3"/>
    <n v="2007"/>
    <n v="6021"/>
    <n v="2619.12"/>
    <s v="Fashion"/>
    <s v="T-Shirt"/>
    <n v="45718"/>
    <x v="2"/>
  </r>
  <r>
    <n v="122"/>
    <n v="5"/>
    <n v="3"/>
    <n v="1185"/>
    <n v="3555"/>
    <n v="1333.1399999999999"/>
    <s v="Electronics"/>
    <s v="Keyboard"/>
    <n v="45721"/>
    <x v="2"/>
  </r>
  <r>
    <n v="122"/>
    <n v="18"/>
    <n v="4"/>
    <n v="2966"/>
    <n v="11864"/>
    <n v="3915.12"/>
    <s v="Fashion"/>
    <s v="Backpack"/>
    <n v="45721"/>
    <x v="2"/>
  </r>
  <r>
    <n v="123"/>
    <n v="12"/>
    <n v="4"/>
    <n v="2144"/>
    <n v="8576"/>
    <n v="3601.92"/>
    <s v="Fashion"/>
    <s v="Jeans"/>
    <n v="45724"/>
    <x v="2"/>
  </r>
  <r>
    <n v="123"/>
    <n v="25"/>
    <n v="1"/>
    <n v="3925"/>
    <n v="3925"/>
    <n v="1471.88"/>
    <s v="Home Appliances"/>
    <s v="Vacuum Cleaner"/>
    <n v="45724"/>
    <x v="2"/>
  </r>
  <r>
    <n v="124"/>
    <n v="19"/>
    <n v="1"/>
    <n v="3103"/>
    <n v="3103"/>
    <n v="977.44"/>
    <s v="Fashion"/>
    <s v="Wallet"/>
    <n v="45727"/>
    <x v="2"/>
  </r>
  <r>
    <n v="124"/>
    <n v="32"/>
    <n v="2"/>
    <n v="4884"/>
    <n v="9768"/>
    <n v="4102.5600000000004"/>
    <s v="Books"/>
    <s v="Notebook"/>
    <n v="45727"/>
    <x v="2"/>
  </r>
  <r>
    <n v="125"/>
    <n v="26"/>
    <n v="2"/>
    <n v="4062"/>
    <n v="8124"/>
    <n v="2924.6400000000003"/>
    <s v="Home &amp; Kitchen"/>
    <s v="Bedsheet"/>
    <n v="45730"/>
    <x v="2"/>
  </r>
  <r>
    <n v="125"/>
    <n v="39"/>
    <n v="3"/>
    <n v="5843"/>
    <n v="17529"/>
    <n v="5521.62"/>
    <s v="Sports"/>
    <s v="Yoga Mat"/>
    <n v="45730"/>
    <x v="2"/>
  </r>
  <r>
    <n v="126"/>
    <n v="33"/>
    <n v="3"/>
    <n v="5021"/>
    <n v="15063"/>
    <n v="6100.5"/>
    <s v="Books"/>
    <s v="Pen Set"/>
    <n v="45733"/>
    <x v="2"/>
  </r>
  <r>
    <n v="126"/>
    <n v="46"/>
    <n v="4"/>
    <n v="6802"/>
    <n v="27208"/>
    <n v="9794.880000000001"/>
    <s v="Toys"/>
    <s v="Toys Car"/>
    <n v="45733"/>
    <x v="2"/>
  </r>
  <r>
    <n v="127"/>
    <n v="40"/>
    <n v="4"/>
    <n v="5980"/>
    <n v="23920"/>
    <n v="10764"/>
    <s v="Sports"/>
    <s v="Dumbbells"/>
    <n v="45736"/>
    <x v="2"/>
  </r>
  <r>
    <n v="127"/>
    <n v="3"/>
    <n v="1"/>
    <n v="911"/>
    <n v="911"/>
    <n v="368.95000000000005"/>
    <s v="Electronics"/>
    <s v="Headphones"/>
    <n v="45736"/>
    <x v="2"/>
  </r>
  <r>
    <n v="128"/>
    <n v="47"/>
    <n v="1"/>
    <n v="6939"/>
    <n v="6939"/>
    <n v="2393.9499999999998"/>
    <s v="Toys"/>
    <s v="Puzzle"/>
    <n v="45739"/>
    <x v="2"/>
  </r>
  <r>
    <n v="128"/>
    <n v="10"/>
    <n v="2"/>
    <n v="1870"/>
    <n v="3740"/>
    <n v="1683"/>
    <s v="Electronics"/>
    <s v="Earbuds"/>
    <n v="45739"/>
    <x v="2"/>
  </r>
  <r>
    <n v="129"/>
    <n v="4"/>
    <n v="2"/>
    <n v="1048"/>
    <n v="2096"/>
    <n v="817.44"/>
    <s v="Electronics"/>
    <s v="Smart Watch"/>
    <n v="45742"/>
    <x v="2"/>
  </r>
  <r>
    <n v="129"/>
    <n v="17"/>
    <n v="3"/>
    <n v="2829"/>
    <n v="8487"/>
    <n v="2928"/>
    <s v="Fashion"/>
    <s v="Dress"/>
    <n v="45742"/>
    <x v="2"/>
  </r>
  <r>
    <n v="130"/>
    <n v="11"/>
    <n v="3"/>
    <n v="2007"/>
    <n v="6021"/>
    <n v="2619.12"/>
    <s v="Fashion"/>
    <s v="T-Shirt"/>
    <n v="45745"/>
    <x v="2"/>
  </r>
  <r>
    <n v="130"/>
    <n v="24"/>
    <n v="4"/>
    <n v="3788"/>
    <n v="15152"/>
    <n v="5909.2800000000007"/>
    <s v="Home Appliances"/>
    <s v="Iron"/>
    <n v="45745"/>
    <x v="2"/>
  </r>
  <r>
    <n v="131"/>
    <n v="18"/>
    <n v="4"/>
    <n v="2966"/>
    <n v="11864"/>
    <n v="3915.12"/>
    <s v="Fashion"/>
    <s v="Backpack"/>
    <n v="45748"/>
    <x v="3"/>
  </r>
  <r>
    <n v="131"/>
    <n v="31"/>
    <n v="1"/>
    <n v="4747"/>
    <n v="4747"/>
    <n v="2064.94"/>
    <s v="Books"/>
    <s v="Book"/>
    <n v="45748"/>
    <x v="3"/>
  </r>
  <r>
    <n v="132"/>
    <n v="25"/>
    <n v="1"/>
    <n v="3925"/>
    <n v="3925"/>
    <n v="1471.88"/>
    <s v="Home Appliances"/>
    <s v="Vacuum Cleaner"/>
    <n v="45751"/>
    <x v="3"/>
  </r>
  <r>
    <n v="132"/>
    <n v="38"/>
    <n v="2"/>
    <n v="5706"/>
    <n v="11412"/>
    <n v="3765.96"/>
    <s v="Sports"/>
    <s v="Badminton Racket"/>
    <n v="45751"/>
    <x v="3"/>
  </r>
  <r>
    <n v="133"/>
    <n v="32"/>
    <n v="2"/>
    <n v="4884"/>
    <n v="9768"/>
    <n v="4102.5600000000004"/>
    <s v="Books"/>
    <s v="Notebook"/>
    <n v="45754"/>
    <x v="3"/>
  </r>
  <r>
    <n v="133"/>
    <n v="45"/>
    <n v="3"/>
    <n v="6665"/>
    <n v="19995"/>
    <n v="7498.14"/>
    <s v="Beauty"/>
    <s v="Sunscreen"/>
    <n v="45754"/>
    <x v="3"/>
  </r>
  <r>
    <n v="134"/>
    <n v="39"/>
    <n v="3"/>
    <n v="5843"/>
    <n v="17529"/>
    <n v="5521.62"/>
    <s v="Sports"/>
    <s v="Yoga Mat"/>
    <n v="45757"/>
    <x v="3"/>
  </r>
  <r>
    <n v="134"/>
    <n v="2"/>
    <n v="4"/>
    <n v="774"/>
    <n v="3096"/>
    <n v="1300.32"/>
    <s v="Electronics"/>
    <s v="Mobile"/>
    <n v="45757"/>
    <x v="3"/>
  </r>
  <r>
    <n v="135"/>
    <n v="46"/>
    <n v="4"/>
    <n v="6802"/>
    <n v="27208"/>
    <n v="9794.880000000001"/>
    <s v="Toys"/>
    <s v="Toys Car"/>
    <n v="45760"/>
    <x v="3"/>
  </r>
  <r>
    <n v="135"/>
    <n v="9"/>
    <n v="1"/>
    <n v="1733"/>
    <n v="1733"/>
    <n v="545.8900000000001"/>
    <s v="Electronics"/>
    <s v="Power Bank"/>
    <n v="45760"/>
    <x v="3"/>
  </r>
  <r>
    <n v="136"/>
    <n v="3"/>
    <n v="1"/>
    <n v="911"/>
    <n v="911"/>
    <n v="368.95000000000005"/>
    <s v="Electronics"/>
    <s v="Headphones"/>
    <n v="45763"/>
    <x v="3"/>
  </r>
  <r>
    <n v="136"/>
    <n v="16"/>
    <n v="2"/>
    <n v="2692"/>
    <n v="5384"/>
    <n v="1938.2399999999998"/>
    <s v="Fashion"/>
    <s v="Saree"/>
    <n v="45763"/>
    <x v="3"/>
  </r>
  <r>
    <n v="137"/>
    <n v="10"/>
    <n v="2"/>
    <n v="1870"/>
    <n v="3740"/>
    <n v="1683"/>
    <s v="Electronics"/>
    <s v="Earbuds"/>
    <n v="45766"/>
    <x v="3"/>
  </r>
  <r>
    <n v="137"/>
    <n v="23"/>
    <n v="3"/>
    <n v="3651"/>
    <n v="10953"/>
    <n v="4435.9500000000007"/>
    <s v="Home Appliances"/>
    <s v="Fan"/>
    <n v="45766"/>
    <x v="3"/>
  </r>
  <r>
    <n v="138"/>
    <n v="17"/>
    <n v="3"/>
    <n v="2829"/>
    <n v="8487"/>
    <n v="2928"/>
    <s v="Fashion"/>
    <s v="Dress"/>
    <n v="45769"/>
    <x v="3"/>
  </r>
  <r>
    <n v="138"/>
    <n v="30"/>
    <n v="4"/>
    <n v="4610"/>
    <n v="18440"/>
    <n v="8298"/>
    <s v="Furniture"/>
    <s v="Table"/>
    <n v="45769"/>
    <x v="3"/>
  </r>
  <r>
    <n v="139"/>
    <n v="24"/>
    <n v="4"/>
    <n v="3788"/>
    <n v="15152"/>
    <n v="5909.2800000000007"/>
    <s v="Home Appliances"/>
    <s v="Iron"/>
    <n v="45772"/>
    <x v="3"/>
  </r>
  <r>
    <n v="139"/>
    <n v="37"/>
    <n v="1"/>
    <n v="5569"/>
    <n v="5569"/>
    <n v="1921.3000000000002"/>
    <s v="Sports"/>
    <s v="Football"/>
    <n v="45772"/>
    <x v="3"/>
  </r>
  <r>
    <n v="140"/>
    <n v="31"/>
    <n v="1"/>
    <n v="4747"/>
    <n v="4747"/>
    <n v="2064.94"/>
    <s v="Books"/>
    <s v="Book"/>
    <n v="45775"/>
    <x v="3"/>
  </r>
  <r>
    <n v="140"/>
    <n v="44"/>
    <n v="2"/>
    <n v="6528"/>
    <n v="13056"/>
    <n v="5091.84"/>
    <s v="Beauty"/>
    <s v="Moisturizer"/>
    <n v="45775"/>
    <x v="3"/>
  </r>
  <r>
    <n v="141"/>
    <n v="38"/>
    <n v="2"/>
    <n v="5706"/>
    <n v="11412"/>
    <n v="3765.96"/>
    <s v="Sports"/>
    <s v="Badminton Racket"/>
    <n v="45778"/>
    <x v="4"/>
  </r>
  <r>
    <n v="141"/>
    <n v="1"/>
    <n v="3"/>
    <n v="637"/>
    <n v="1911"/>
    <n v="831.27"/>
    <s v="Electronics"/>
    <s v="Laptop"/>
    <n v="45778"/>
    <x v="4"/>
  </r>
  <r>
    <n v="142"/>
    <n v="45"/>
    <n v="3"/>
    <n v="6665"/>
    <n v="19995"/>
    <n v="7498.14"/>
    <s v="Beauty"/>
    <s v="Sunscreen"/>
    <n v="45781"/>
    <x v="4"/>
  </r>
  <r>
    <n v="142"/>
    <n v="8"/>
    <n v="4"/>
    <n v="1596"/>
    <n v="6384"/>
    <n v="2106.7200000000003"/>
    <s v="Electronics"/>
    <s v="Tablet"/>
    <n v="45781"/>
    <x v="4"/>
  </r>
  <r>
    <n v="143"/>
    <n v="2"/>
    <n v="4"/>
    <n v="774"/>
    <n v="3096"/>
    <n v="1300.32"/>
    <s v="Electronics"/>
    <s v="Mobile"/>
    <n v="45784"/>
    <x v="4"/>
  </r>
  <r>
    <n v="143"/>
    <n v="15"/>
    <n v="1"/>
    <n v="2555"/>
    <n v="2555"/>
    <n v="958.11999999999989"/>
    <s v="Fashion"/>
    <s v="Shoes"/>
    <n v="45784"/>
    <x v="4"/>
  </r>
  <r>
    <n v="144"/>
    <n v="9"/>
    <n v="1"/>
    <n v="1733"/>
    <n v="1733"/>
    <n v="545.8900000000001"/>
    <s v="Electronics"/>
    <s v="Power Bank"/>
    <n v="45787"/>
    <x v="4"/>
  </r>
  <r>
    <n v="144"/>
    <n v="22"/>
    <n v="2"/>
    <n v="3514"/>
    <n v="7028"/>
    <n v="2951.76"/>
    <s v="Home Appliances"/>
    <s v="Microwave"/>
    <n v="45787"/>
    <x v="4"/>
  </r>
  <r>
    <n v="145"/>
    <n v="16"/>
    <n v="2"/>
    <n v="2692"/>
    <n v="5384"/>
    <n v="1938.2399999999998"/>
    <s v="Fashion"/>
    <s v="Saree"/>
    <n v="45790"/>
    <x v="4"/>
  </r>
  <r>
    <n v="145"/>
    <n v="29"/>
    <n v="3"/>
    <n v="4473"/>
    <n v="13419"/>
    <n v="4226.9699999999993"/>
    <s v="Furniture"/>
    <s v="Chair"/>
    <n v="45790"/>
    <x v="4"/>
  </r>
  <r>
    <n v="146"/>
    <n v="23"/>
    <n v="3"/>
    <n v="3651"/>
    <n v="10953"/>
    <n v="4435.9500000000007"/>
    <s v="Home Appliances"/>
    <s v="Fan"/>
    <n v="45793"/>
    <x v="4"/>
  </r>
  <r>
    <n v="146"/>
    <n v="36"/>
    <n v="4"/>
    <n v="5432"/>
    <n v="21728"/>
    <n v="7822.08"/>
    <s v="Sports"/>
    <s v="Cricket Bat"/>
    <n v="45793"/>
    <x v="4"/>
  </r>
  <r>
    <n v="147"/>
    <n v="30"/>
    <n v="4"/>
    <n v="4610"/>
    <n v="18440"/>
    <n v="8298"/>
    <s v="Furniture"/>
    <s v="Table"/>
    <n v="45796"/>
    <x v="4"/>
  </r>
  <r>
    <n v="147"/>
    <n v="43"/>
    <n v="1"/>
    <n v="6391"/>
    <n v="6391"/>
    <n v="2588.35"/>
    <s v="Beauty"/>
    <s v="Perfume"/>
    <n v="45796"/>
    <x v="4"/>
  </r>
  <r>
    <n v="148"/>
    <n v="37"/>
    <n v="1"/>
    <n v="5569"/>
    <n v="5569"/>
    <n v="1921.3000000000002"/>
    <s v="Sports"/>
    <s v="Football"/>
    <n v="45799"/>
    <x v="4"/>
  </r>
  <r>
    <n v="148"/>
    <n v="50"/>
    <n v="2"/>
    <n v="7350"/>
    <n v="14700"/>
    <n v="6615"/>
    <s v="Toys"/>
    <s v="Building Blocks"/>
    <n v="45799"/>
    <x v="4"/>
  </r>
  <r>
    <n v="149"/>
    <n v="44"/>
    <n v="2"/>
    <n v="6528"/>
    <n v="13056"/>
    <n v="5091.84"/>
    <s v="Beauty"/>
    <s v="Moisturizer"/>
    <n v="45802"/>
    <x v="4"/>
  </r>
  <r>
    <n v="149"/>
    <n v="7"/>
    <n v="3"/>
    <n v="1459"/>
    <n v="4377"/>
    <n v="1510.0500000000002"/>
    <s v="Electronics"/>
    <s v="Monitor"/>
    <n v="45802"/>
    <x v="4"/>
  </r>
  <r>
    <n v="150"/>
    <n v="1"/>
    <n v="3"/>
    <n v="637"/>
    <n v="1911"/>
    <n v="831.27"/>
    <s v="Electronics"/>
    <s v="Laptop"/>
    <n v="45805"/>
    <x v="4"/>
  </r>
  <r>
    <n v="150"/>
    <n v="14"/>
    <n v="4"/>
    <n v="2418"/>
    <n v="9672"/>
    <n v="3772.08"/>
    <s v="Fashion"/>
    <s v="Jacket"/>
    <n v="45805"/>
    <x v="4"/>
  </r>
  <r>
    <n v="151"/>
    <n v="8"/>
    <n v="4"/>
    <n v="1596"/>
    <n v="6384"/>
    <n v="2106.7200000000003"/>
    <s v="Electronics"/>
    <s v="Tablet"/>
    <n v="45808"/>
    <x v="4"/>
  </r>
  <r>
    <n v="151"/>
    <n v="21"/>
    <n v="1"/>
    <n v="3377"/>
    <n v="3377"/>
    <n v="1468.99"/>
    <s v="Home Appliances"/>
    <s v="Mixer"/>
    <n v="45808"/>
    <x v="4"/>
  </r>
  <r>
    <n v="152"/>
    <n v="15"/>
    <n v="1"/>
    <n v="2555"/>
    <n v="2555"/>
    <n v="958.11999999999989"/>
    <s v="Fashion"/>
    <s v="Shoes"/>
    <n v="45811"/>
    <x v="5"/>
  </r>
  <r>
    <n v="152"/>
    <n v="28"/>
    <n v="2"/>
    <n v="4336"/>
    <n v="8672"/>
    <n v="2861.76"/>
    <s v="Home &amp; Kitchen"/>
    <s v="Bottle"/>
    <n v="45811"/>
    <x v="5"/>
  </r>
  <r>
    <n v="153"/>
    <n v="22"/>
    <n v="2"/>
    <n v="3514"/>
    <n v="7028"/>
    <n v="2951.76"/>
    <s v="Home Appliances"/>
    <s v="Microwave"/>
    <n v="45814"/>
    <x v="5"/>
  </r>
  <r>
    <n v="153"/>
    <n v="35"/>
    <n v="3"/>
    <n v="5295"/>
    <n v="15885"/>
    <n v="5956.86"/>
    <s v="Books"/>
    <s v="Novel"/>
    <n v="45814"/>
    <x v="5"/>
  </r>
  <r>
    <n v="154"/>
    <n v="29"/>
    <n v="3"/>
    <n v="4473"/>
    <n v="13419"/>
    <n v="4226.9699999999993"/>
    <s v="Furniture"/>
    <s v="Chair"/>
    <n v="45817"/>
    <x v="5"/>
  </r>
  <r>
    <n v="154"/>
    <n v="42"/>
    <n v="4"/>
    <n v="6254"/>
    <n v="25016"/>
    <n v="10506.72"/>
    <s v="Beauty"/>
    <s v="Shampoo"/>
    <n v="45817"/>
    <x v="5"/>
  </r>
  <r>
    <n v="155"/>
    <n v="36"/>
    <n v="4"/>
    <n v="5432"/>
    <n v="21728"/>
    <n v="7822.08"/>
    <s v="Sports"/>
    <s v="Cricket Bat"/>
    <n v="45820"/>
    <x v="5"/>
  </r>
  <r>
    <n v="155"/>
    <n v="49"/>
    <n v="1"/>
    <n v="7213"/>
    <n v="7213"/>
    <n v="2272.09"/>
    <s v="Toys"/>
    <s v="Remote Car"/>
    <n v="45820"/>
    <x v="5"/>
  </r>
  <r>
    <n v="156"/>
    <n v="43"/>
    <n v="1"/>
    <n v="6391"/>
    <n v="6391"/>
    <n v="2588.35"/>
    <s v="Beauty"/>
    <s v="Perfume"/>
    <n v="45823"/>
    <x v="5"/>
  </r>
  <r>
    <n v="156"/>
    <n v="6"/>
    <n v="2"/>
    <n v="1322"/>
    <n v="2644"/>
    <n v="951.83999999999992"/>
    <s v="Electronics"/>
    <s v="Mouse"/>
    <n v="45823"/>
    <x v="5"/>
  </r>
  <r>
    <n v="157"/>
    <n v="50"/>
    <n v="2"/>
    <n v="7350"/>
    <n v="14700"/>
    <n v="6615"/>
    <s v="Toys"/>
    <s v="Building Blocks"/>
    <n v="45826"/>
    <x v="5"/>
  </r>
  <r>
    <n v="157"/>
    <n v="13"/>
    <n v="3"/>
    <n v="2281"/>
    <n v="6843"/>
    <n v="2771.3999999999996"/>
    <s v="Fashion"/>
    <s v="Shirt"/>
    <n v="45826"/>
    <x v="5"/>
  </r>
  <r>
    <n v="158"/>
    <n v="7"/>
    <n v="3"/>
    <n v="1459"/>
    <n v="4377"/>
    <n v="1510.0500000000002"/>
    <s v="Electronics"/>
    <s v="Monitor"/>
    <n v="45829"/>
    <x v="5"/>
  </r>
  <r>
    <n v="158"/>
    <n v="20"/>
    <n v="4"/>
    <n v="3240"/>
    <n v="12960"/>
    <n v="5832"/>
    <s v="Fashion"/>
    <s v="Belt"/>
    <n v="45829"/>
    <x v="5"/>
  </r>
  <r>
    <n v="159"/>
    <n v="14"/>
    <n v="4"/>
    <n v="2418"/>
    <n v="9672"/>
    <n v="3772.08"/>
    <s v="Fashion"/>
    <s v="Jacket"/>
    <n v="45832"/>
    <x v="5"/>
  </r>
  <r>
    <n v="159"/>
    <n v="27"/>
    <n v="1"/>
    <n v="4199"/>
    <n v="4199"/>
    <n v="1448.65"/>
    <s v="Home &amp; Kitchen"/>
    <s v="Cookware Set"/>
    <n v="45832"/>
    <x v="5"/>
  </r>
  <r>
    <n v="160"/>
    <n v="21"/>
    <n v="1"/>
    <n v="3377"/>
    <n v="3377"/>
    <n v="1468.99"/>
    <s v="Home Appliances"/>
    <s v="Mixer"/>
    <n v="45835"/>
    <x v="5"/>
  </r>
  <r>
    <n v="160"/>
    <n v="34"/>
    <n v="2"/>
    <n v="5158"/>
    <n v="10316"/>
    <n v="4023.24"/>
    <s v="Books"/>
    <s v="Cookbook"/>
    <n v="45835"/>
    <x v="5"/>
  </r>
  <r>
    <n v="161"/>
    <n v="28"/>
    <n v="2"/>
    <n v="4336"/>
    <n v="8672"/>
    <n v="2861.76"/>
    <s v="Home &amp; Kitchen"/>
    <s v="Bottle"/>
    <n v="45838"/>
    <x v="5"/>
  </r>
  <r>
    <n v="161"/>
    <n v="41"/>
    <n v="3"/>
    <n v="6117"/>
    <n v="18351"/>
    <n v="7982.67"/>
    <s v="Beauty"/>
    <s v="Face Wash"/>
    <n v="45838"/>
    <x v="5"/>
  </r>
  <r>
    <n v="162"/>
    <n v="35"/>
    <n v="3"/>
    <n v="5295"/>
    <n v="15885"/>
    <n v="5956.86"/>
    <s v="Books"/>
    <s v="Novel"/>
    <n v="45841"/>
    <x v="6"/>
  </r>
  <r>
    <n v="162"/>
    <n v="48"/>
    <n v="4"/>
    <n v="7076"/>
    <n v="28304"/>
    <n v="9340.32"/>
    <s v="Toys"/>
    <s v="Board Game"/>
    <n v="45841"/>
    <x v="6"/>
  </r>
  <r>
    <n v="163"/>
    <n v="42"/>
    <n v="4"/>
    <n v="6254"/>
    <n v="25016"/>
    <n v="10506.72"/>
    <s v="Beauty"/>
    <s v="Shampoo"/>
    <n v="45844"/>
    <x v="6"/>
  </r>
  <r>
    <n v="163"/>
    <n v="5"/>
    <n v="1"/>
    <n v="1185"/>
    <n v="1185"/>
    <n v="444.38"/>
    <s v="Electronics"/>
    <s v="Keyboard"/>
    <n v="45844"/>
    <x v="6"/>
  </r>
  <r>
    <n v="164"/>
    <n v="49"/>
    <n v="1"/>
    <n v="7213"/>
    <n v="7213"/>
    <n v="2272.09"/>
    <s v="Toys"/>
    <s v="Remote Car"/>
    <n v="45847"/>
    <x v="6"/>
  </r>
  <r>
    <n v="164"/>
    <n v="12"/>
    <n v="2"/>
    <n v="2144"/>
    <n v="4288"/>
    <n v="1800.96"/>
    <s v="Fashion"/>
    <s v="Jeans"/>
    <n v="45847"/>
    <x v="6"/>
  </r>
  <r>
    <n v="165"/>
    <n v="6"/>
    <n v="2"/>
    <n v="1322"/>
    <n v="2644"/>
    <n v="951.83999999999992"/>
    <s v="Electronics"/>
    <s v="Mouse"/>
    <n v="45850"/>
    <x v="6"/>
  </r>
  <r>
    <n v="165"/>
    <n v="19"/>
    <n v="3"/>
    <n v="3103"/>
    <n v="9309"/>
    <n v="2932.32"/>
    <s v="Fashion"/>
    <s v="Wallet"/>
    <n v="45850"/>
    <x v="6"/>
  </r>
  <r>
    <n v="166"/>
    <n v="13"/>
    <n v="3"/>
    <n v="2281"/>
    <n v="6843"/>
    <n v="2771.3999999999996"/>
    <s v="Fashion"/>
    <s v="Shirt"/>
    <n v="45853"/>
    <x v="6"/>
  </r>
  <r>
    <n v="166"/>
    <n v="26"/>
    <n v="4"/>
    <n v="4062"/>
    <n v="16248"/>
    <n v="5849.2800000000007"/>
    <s v="Home &amp; Kitchen"/>
    <s v="Bedsheet"/>
    <n v="45853"/>
    <x v="6"/>
  </r>
  <r>
    <n v="167"/>
    <n v="20"/>
    <n v="4"/>
    <n v="3240"/>
    <n v="12960"/>
    <n v="5832"/>
    <s v="Fashion"/>
    <s v="Belt"/>
    <n v="45856"/>
    <x v="6"/>
  </r>
  <r>
    <n v="167"/>
    <n v="33"/>
    <n v="1"/>
    <n v="5021"/>
    <n v="5021"/>
    <n v="2033.5"/>
    <s v="Books"/>
    <s v="Pen Set"/>
    <n v="45856"/>
    <x v="6"/>
  </r>
  <r>
    <n v="168"/>
    <n v="27"/>
    <n v="1"/>
    <n v="4199"/>
    <n v="4199"/>
    <n v="1448.65"/>
    <s v="Home &amp; Kitchen"/>
    <s v="Cookware Set"/>
    <n v="45859"/>
    <x v="6"/>
  </r>
  <r>
    <n v="168"/>
    <n v="40"/>
    <n v="2"/>
    <n v="5980"/>
    <n v="11960"/>
    <n v="5382"/>
    <s v="Sports"/>
    <s v="Dumbbells"/>
    <n v="45859"/>
    <x v="6"/>
  </r>
  <r>
    <n v="169"/>
    <n v="34"/>
    <n v="2"/>
    <n v="5158"/>
    <n v="10316"/>
    <n v="4023.24"/>
    <s v="Books"/>
    <s v="Cookbook"/>
    <n v="45862"/>
    <x v="6"/>
  </r>
  <r>
    <n v="169"/>
    <n v="47"/>
    <n v="3"/>
    <n v="6939"/>
    <n v="20817"/>
    <n v="7181.8499999999995"/>
    <s v="Toys"/>
    <s v="Puzzle"/>
    <n v="45862"/>
    <x v="6"/>
  </r>
  <r>
    <n v="170"/>
    <n v="41"/>
    <n v="3"/>
    <n v="6117"/>
    <n v="18351"/>
    <n v="7982.67"/>
    <s v="Beauty"/>
    <s v="Face Wash"/>
    <n v="45865"/>
    <x v="6"/>
  </r>
  <r>
    <n v="170"/>
    <n v="4"/>
    <n v="4"/>
    <n v="1048"/>
    <n v="4192"/>
    <n v="1634.88"/>
    <s v="Electronics"/>
    <s v="Smart Watch"/>
    <n v="45865"/>
    <x v="6"/>
  </r>
  <r>
    <n v="171"/>
    <n v="48"/>
    <n v="4"/>
    <n v="7076"/>
    <n v="28304"/>
    <n v="9340.32"/>
    <s v="Toys"/>
    <s v="Board Game"/>
    <n v="45868"/>
    <x v="6"/>
  </r>
  <r>
    <n v="171"/>
    <n v="11"/>
    <n v="1"/>
    <n v="2007"/>
    <n v="2007"/>
    <n v="873.04"/>
    <s v="Fashion"/>
    <s v="T-Shirt"/>
    <n v="45868"/>
    <x v="6"/>
  </r>
  <r>
    <n v="172"/>
    <n v="5"/>
    <n v="1"/>
    <n v="1185"/>
    <n v="1185"/>
    <n v="444.38"/>
    <s v="Electronics"/>
    <s v="Keyboard"/>
    <n v="45871"/>
    <x v="7"/>
  </r>
  <r>
    <n v="172"/>
    <n v="18"/>
    <n v="2"/>
    <n v="2966"/>
    <n v="5932"/>
    <n v="1957.56"/>
    <s v="Fashion"/>
    <s v="Backpack"/>
    <n v="45871"/>
    <x v="7"/>
  </r>
  <r>
    <n v="173"/>
    <n v="12"/>
    <n v="2"/>
    <n v="2144"/>
    <n v="4288"/>
    <n v="1800.96"/>
    <s v="Fashion"/>
    <s v="Jeans"/>
    <n v="45874"/>
    <x v="7"/>
  </r>
  <r>
    <n v="173"/>
    <n v="25"/>
    <n v="3"/>
    <n v="3925"/>
    <n v="11775"/>
    <n v="4415.6400000000003"/>
    <s v="Home Appliances"/>
    <s v="Vacuum Cleaner"/>
    <n v="45874"/>
    <x v="7"/>
  </r>
  <r>
    <n v="174"/>
    <n v="19"/>
    <n v="3"/>
    <n v="3103"/>
    <n v="9309"/>
    <n v="2932.32"/>
    <s v="Fashion"/>
    <s v="Wallet"/>
    <n v="45877"/>
    <x v="7"/>
  </r>
  <r>
    <n v="174"/>
    <n v="32"/>
    <n v="4"/>
    <n v="4884"/>
    <n v="19536"/>
    <n v="8205.1200000000008"/>
    <s v="Books"/>
    <s v="Notebook"/>
    <n v="45877"/>
    <x v="7"/>
  </r>
  <r>
    <n v="175"/>
    <n v="26"/>
    <n v="4"/>
    <n v="4062"/>
    <n v="16248"/>
    <n v="5849.2800000000007"/>
    <s v="Home &amp; Kitchen"/>
    <s v="Bedsheet"/>
    <n v="45880"/>
    <x v="7"/>
  </r>
  <r>
    <n v="175"/>
    <n v="39"/>
    <n v="1"/>
    <n v="5843"/>
    <n v="5843"/>
    <n v="1840.54"/>
    <s v="Sports"/>
    <s v="Yoga Mat"/>
    <n v="45880"/>
    <x v="7"/>
  </r>
  <r>
    <n v="176"/>
    <n v="33"/>
    <n v="1"/>
    <n v="5021"/>
    <n v="5021"/>
    <n v="2033.5"/>
    <s v="Books"/>
    <s v="Pen Set"/>
    <n v="45883"/>
    <x v="7"/>
  </r>
  <r>
    <n v="176"/>
    <n v="46"/>
    <n v="2"/>
    <n v="6802"/>
    <n v="13604"/>
    <n v="4897.4400000000005"/>
    <s v="Toys"/>
    <s v="Toys Car"/>
    <n v="45883"/>
    <x v="7"/>
  </r>
  <r>
    <n v="177"/>
    <n v="40"/>
    <n v="2"/>
    <n v="5980"/>
    <n v="11960"/>
    <n v="5382"/>
    <s v="Sports"/>
    <s v="Dumbbells"/>
    <n v="45886"/>
    <x v="7"/>
  </r>
  <r>
    <n v="177"/>
    <n v="3"/>
    <n v="3"/>
    <n v="911"/>
    <n v="2733"/>
    <n v="1106.8500000000001"/>
    <s v="Electronics"/>
    <s v="Headphones"/>
    <n v="45886"/>
    <x v="7"/>
  </r>
  <r>
    <n v="178"/>
    <n v="47"/>
    <n v="3"/>
    <n v="6939"/>
    <n v="20817"/>
    <n v="7181.8499999999995"/>
    <s v="Toys"/>
    <s v="Puzzle"/>
    <n v="45889"/>
    <x v="7"/>
  </r>
  <r>
    <n v="178"/>
    <n v="10"/>
    <n v="4"/>
    <n v="1870"/>
    <n v="7480"/>
    <n v="3366"/>
    <s v="Electronics"/>
    <s v="Earbuds"/>
    <n v="45889"/>
    <x v="7"/>
  </r>
  <r>
    <n v="179"/>
    <n v="4"/>
    <n v="4"/>
    <n v="1048"/>
    <n v="4192"/>
    <n v="1634.88"/>
    <s v="Electronics"/>
    <s v="Smart Watch"/>
    <n v="45892"/>
    <x v="7"/>
  </r>
  <r>
    <n v="179"/>
    <n v="17"/>
    <n v="1"/>
    <n v="2829"/>
    <n v="2829"/>
    <n v="976"/>
    <s v="Fashion"/>
    <s v="Dress"/>
    <n v="45892"/>
    <x v="7"/>
  </r>
  <r>
    <n v="180"/>
    <n v="11"/>
    <n v="1"/>
    <n v="2007"/>
    <n v="2007"/>
    <n v="873.04"/>
    <s v="Fashion"/>
    <s v="T-Shirt"/>
    <n v="45895"/>
    <x v="7"/>
  </r>
  <r>
    <n v="180"/>
    <n v="24"/>
    <n v="2"/>
    <n v="3788"/>
    <n v="7576"/>
    <n v="2954.6400000000003"/>
    <s v="Home Appliances"/>
    <s v="Iron"/>
    <n v="45895"/>
    <x v="7"/>
  </r>
  <r>
    <n v="181"/>
    <n v="18"/>
    <n v="2"/>
    <n v="2966"/>
    <n v="5932"/>
    <n v="1957.56"/>
    <s v="Fashion"/>
    <s v="Backpack"/>
    <n v="45898"/>
    <x v="7"/>
  </r>
  <r>
    <n v="181"/>
    <n v="31"/>
    <n v="3"/>
    <n v="4747"/>
    <n v="14241"/>
    <n v="6194.82"/>
    <s v="Books"/>
    <s v="Book"/>
    <n v="45898"/>
    <x v="7"/>
  </r>
  <r>
    <n v="182"/>
    <n v="25"/>
    <n v="3"/>
    <n v="3925"/>
    <n v="11775"/>
    <n v="4415.6400000000003"/>
    <s v="Home Appliances"/>
    <s v="Vacuum Cleaner"/>
    <n v="45901"/>
    <x v="8"/>
  </r>
  <r>
    <n v="182"/>
    <n v="38"/>
    <n v="4"/>
    <n v="5706"/>
    <n v="22824"/>
    <n v="7531.92"/>
    <s v="Sports"/>
    <s v="Badminton Racket"/>
    <n v="45901"/>
    <x v="8"/>
  </r>
  <r>
    <n v="183"/>
    <n v="32"/>
    <n v="4"/>
    <n v="4884"/>
    <n v="19536"/>
    <n v="8205.1200000000008"/>
    <s v="Books"/>
    <s v="Notebook"/>
    <n v="45904"/>
    <x v="8"/>
  </r>
  <r>
    <n v="183"/>
    <n v="45"/>
    <n v="1"/>
    <n v="6665"/>
    <n v="6665"/>
    <n v="2499.38"/>
    <s v="Beauty"/>
    <s v="Sunscreen"/>
    <n v="45904"/>
    <x v="8"/>
  </r>
  <r>
    <n v="184"/>
    <n v="39"/>
    <n v="1"/>
    <n v="5843"/>
    <n v="5843"/>
    <n v="1840.54"/>
    <s v="Sports"/>
    <s v="Yoga Mat"/>
    <n v="45907"/>
    <x v="8"/>
  </r>
  <r>
    <n v="184"/>
    <n v="2"/>
    <n v="2"/>
    <n v="774"/>
    <n v="1548"/>
    <n v="650.16"/>
    <s v="Electronics"/>
    <s v="Mobile"/>
    <n v="45907"/>
    <x v="8"/>
  </r>
  <r>
    <n v="185"/>
    <n v="46"/>
    <n v="2"/>
    <n v="6802"/>
    <n v="13604"/>
    <n v="4897.4400000000005"/>
    <s v="Toys"/>
    <s v="Toys Car"/>
    <n v="45910"/>
    <x v="8"/>
  </r>
  <r>
    <n v="185"/>
    <n v="9"/>
    <n v="3"/>
    <n v="1733"/>
    <n v="5199"/>
    <n v="1637.6700000000003"/>
    <s v="Electronics"/>
    <s v="Power Bank"/>
    <n v="45910"/>
    <x v="8"/>
  </r>
  <r>
    <n v="186"/>
    <n v="3"/>
    <n v="3"/>
    <n v="911"/>
    <n v="2733"/>
    <n v="1106.8500000000001"/>
    <s v="Electronics"/>
    <s v="Headphones"/>
    <n v="45913"/>
    <x v="8"/>
  </r>
  <r>
    <n v="186"/>
    <n v="16"/>
    <n v="4"/>
    <n v="2692"/>
    <n v="10768"/>
    <n v="3876.4799999999996"/>
    <s v="Fashion"/>
    <s v="Saree"/>
    <n v="45913"/>
    <x v="8"/>
  </r>
  <r>
    <n v="187"/>
    <n v="10"/>
    <n v="4"/>
    <n v="1870"/>
    <n v="7480"/>
    <n v="3366"/>
    <s v="Electronics"/>
    <s v="Earbuds"/>
    <n v="45916"/>
    <x v="8"/>
  </r>
  <r>
    <n v="187"/>
    <n v="23"/>
    <n v="1"/>
    <n v="3651"/>
    <n v="3651"/>
    <n v="1478.65"/>
    <s v="Home Appliances"/>
    <s v="Fan"/>
    <n v="45916"/>
    <x v="8"/>
  </r>
  <r>
    <n v="188"/>
    <n v="17"/>
    <n v="1"/>
    <n v="2829"/>
    <n v="2829"/>
    <n v="976"/>
    <s v="Fashion"/>
    <s v="Dress"/>
    <n v="45919"/>
    <x v="8"/>
  </r>
  <r>
    <n v="188"/>
    <n v="30"/>
    <n v="2"/>
    <n v="4610"/>
    <n v="9220"/>
    <n v="4149"/>
    <s v="Furniture"/>
    <s v="Table"/>
    <n v="45919"/>
    <x v="8"/>
  </r>
  <r>
    <n v="189"/>
    <n v="24"/>
    <n v="2"/>
    <n v="3788"/>
    <n v="7576"/>
    <n v="2954.6400000000003"/>
    <s v="Home Appliances"/>
    <s v="Iron"/>
    <n v="45922"/>
    <x v="8"/>
  </r>
  <r>
    <n v="189"/>
    <n v="37"/>
    <n v="3"/>
    <n v="5569"/>
    <n v="16707"/>
    <n v="5763.9000000000005"/>
    <s v="Sports"/>
    <s v="Football"/>
    <n v="45922"/>
    <x v="8"/>
  </r>
  <r>
    <n v="190"/>
    <n v="31"/>
    <n v="3"/>
    <n v="4747"/>
    <n v="14241"/>
    <n v="6194.82"/>
    <s v="Books"/>
    <s v="Book"/>
    <n v="45925"/>
    <x v="8"/>
  </r>
  <r>
    <n v="190"/>
    <n v="44"/>
    <n v="4"/>
    <n v="6528"/>
    <n v="26112"/>
    <n v="10183.68"/>
    <s v="Beauty"/>
    <s v="Moisturizer"/>
    <n v="45925"/>
    <x v="8"/>
  </r>
  <r>
    <n v="191"/>
    <n v="38"/>
    <n v="4"/>
    <n v="5706"/>
    <n v="22824"/>
    <n v="7531.92"/>
    <s v="Sports"/>
    <s v="Badminton Racket"/>
    <n v="45928"/>
    <x v="8"/>
  </r>
  <r>
    <n v="191"/>
    <n v="1"/>
    <n v="1"/>
    <n v="637"/>
    <n v="637"/>
    <n v="277.08999999999997"/>
    <s v="Electronics"/>
    <s v="Laptop"/>
    <n v="45928"/>
    <x v="8"/>
  </r>
  <r>
    <n v="192"/>
    <n v="45"/>
    <n v="1"/>
    <n v="6665"/>
    <n v="6665"/>
    <n v="2499.38"/>
    <s v="Beauty"/>
    <s v="Sunscreen"/>
    <n v="45931"/>
    <x v="9"/>
  </r>
  <r>
    <n v="192"/>
    <n v="8"/>
    <n v="2"/>
    <n v="1596"/>
    <n v="3192"/>
    <n v="1053.3600000000001"/>
    <s v="Electronics"/>
    <s v="Tablet"/>
    <n v="45931"/>
    <x v="9"/>
  </r>
  <r>
    <n v="193"/>
    <n v="2"/>
    <n v="2"/>
    <n v="774"/>
    <n v="1548"/>
    <n v="650.16"/>
    <s v="Electronics"/>
    <s v="Mobile"/>
    <n v="45934"/>
    <x v="9"/>
  </r>
  <r>
    <n v="193"/>
    <n v="15"/>
    <n v="3"/>
    <n v="2555"/>
    <n v="7665"/>
    <n v="2874.3599999999997"/>
    <s v="Fashion"/>
    <s v="Shoes"/>
    <n v="45934"/>
    <x v="9"/>
  </r>
  <r>
    <n v="194"/>
    <n v="9"/>
    <n v="3"/>
    <n v="1733"/>
    <n v="5199"/>
    <n v="1637.6700000000003"/>
    <s v="Electronics"/>
    <s v="Power Bank"/>
    <n v="45937"/>
    <x v="9"/>
  </r>
  <r>
    <n v="194"/>
    <n v="22"/>
    <n v="4"/>
    <n v="3514"/>
    <n v="14056"/>
    <n v="5903.52"/>
    <s v="Home Appliances"/>
    <s v="Microwave"/>
    <n v="45937"/>
    <x v="9"/>
  </r>
  <r>
    <n v="195"/>
    <n v="16"/>
    <n v="4"/>
    <n v="2692"/>
    <n v="10768"/>
    <n v="3876.4799999999996"/>
    <s v="Fashion"/>
    <s v="Saree"/>
    <n v="45940"/>
    <x v="9"/>
  </r>
  <r>
    <n v="195"/>
    <n v="29"/>
    <n v="1"/>
    <n v="4473"/>
    <n v="4473"/>
    <n v="1408.9899999999998"/>
    <s v="Furniture"/>
    <s v="Chair"/>
    <n v="45940"/>
    <x v="9"/>
  </r>
  <r>
    <n v="196"/>
    <n v="23"/>
    <n v="1"/>
    <n v="3651"/>
    <n v="3651"/>
    <n v="1478.65"/>
    <s v="Home Appliances"/>
    <s v="Fan"/>
    <n v="45943"/>
    <x v="9"/>
  </r>
  <r>
    <n v="196"/>
    <n v="36"/>
    <n v="2"/>
    <n v="5432"/>
    <n v="10864"/>
    <n v="3911.04"/>
    <s v="Sports"/>
    <s v="Cricket Bat"/>
    <n v="45943"/>
    <x v="9"/>
  </r>
  <r>
    <n v="197"/>
    <n v="30"/>
    <n v="2"/>
    <n v="4610"/>
    <n v="9220"/>
    <n v="4149"/>
    <s v="Furniture"/>
    <s v="Table"/>
    <n v="45946"/>
    <x v="9"/>
  </r>
  <r>
    <n v="197"/>
    <n v="43"/>
    <n v="3"/>
    <n v="6391"/>
    <n v="19173"/>
    <n v="7765.0499999999993"/>
    <s v="Beauty"/>
    <s v="Perfume"/>
    <n v="45946"/>
    <x v="9"/>
  </r>
  <r>
    <n v="198"/>
    <n v="37"/>
    <n v="3"/>
    <n v="5569"/>
    <n v="16707"/>
    <n v="5763.9000000000005"/>
    <s v="Sports"/>
    <s v="Football"/>
    <n v="45949"/>
    <x v="9"/>
  </r>
  <r>
    <n v="198"/>
    <n v="50"/>
    <n v="4"/>
    <n v="7350"/>
    <n v="29400"/>
    <n v="13230"/>
    <s v="Toys"/>
    <s v="Building Blocks"/>
    <n v="45949"/>
    <x v="9"/>
  </r>
  <r>
    <n v="199"/>
    <n v="44"/>
    <n v="4"/>
    <n v="6528"/>
    <n v="26112"/>
    <n v="10183.68"/>
    <s v="Beauty"/>
    <s v="Moisturizer"/>
    <n v="45952"/>
    <x v="9"/>
  </r>
  <r>
    <n v="199"/>
    <n v="7"/>
    <n v="1"/>
    <n v="1459"/>
    <n v="1459"/>
    <n v="503.35"/>
    <s v="Electronics"/>
    <s v="Monitor"/>
    <n v="45952"/>
    <x v="9"/>
  </r>
  <r>
    <n v="200"/>
    <n v="1"/>
    <n v="1"/>
    <n v="637"/>
    <n v="637"/>
    <n v="277.08999999999997"/>
    <s v="Electronics"/>
    <s v="Laptop"/>
    <n v="45955"/>
    <x v="9"/>
  </r>
  <r>
    <n v="200"/>
    <n v="14"/>
    <n v="2"/>
    <n v="2418"/>
    <n v="4836"/>
    <n v="1886.04"/>
    <s v="Fashion"/>
    <s v="Jacket"/>
    <n v="45955"/>
    <x v="9"/>
  </r>
  <r>
    <n v="201"/>
    <n v="8"/>
    <n v="2"/>
    <n v="1596"/>
    <n v="3192"/>
    <n v="1053.3600000000001"/>
    <s v="Electronics"/>
    <s v="Tablet"/>
    <n v="45958"/>
    <x v="9"/>
  </r>
  <r>
    <n v="201"/>
    <n v="21"/>
    <n v="3"/>
    <n v="3377"/>
    <n v="10131"/>
    <n v="4406.97"/>
    <s v="Home Appliances"/>
    <s v="Mixer"/>
    <n v="45958"/>
    <x v="9"/>
  </r>
  <r>
    <n v="202"/>
    <n v="15"/>
    <n v="3"/>
    <n v="2555"/>
    <n v="7665"/>
    <n v="2874.3599999999997"/>
    <s v="Fashion"/>
    <s v="Shoes"/>
    <n v="45961"/>
    <x v="9"/>
  </r>
  <r>
    <n v="202"/>
    <n v="28"/>
    <n v="4"/>
    <n v="4336"/>
    <n v="17344"/>
    <n v="5723.52"/>
    <s v="Home &amp; Kitchen"/>
    <s v="Bottle"/>
    <n v="45961"/>
    <x v="9"/>
  </r>
  <r>
    <n v="203"/>
    <n v="22"/>
    <n v="4"/>
    <n v="3514"/>
    <n v="14056"/>
    <n v="5903.52"/>
    <s v="Home Appliances"/>
    <s v="Microwave"/>
    <n v="45964"/>
    <x v="10"/>
  </r>
  <r>
    <n v="203"/>
    <n v="35"/>
    <n v="1"/>
    <n v="5295"/>
    <n v="5295"/>
    <n v="1985.62"/>
    <s v="Books"/>
    <s v="Novel"/>
    <n v="45964"/>
    <x v="10"/>
  </r>
  <r>
    <n v="204"/>
    <n v="29"/>
    <n v="1"/>
    <n v="4473"/>
    <n v="4473"/>
    <n v="1408.9899999999998"/>
    <s v="Furniture"/>
    <s v="Chair"/>
    <n v="45967"/>
    <x v="10"/>
  </r>
  <r>
    <n v="204"/>
    <n v="42"/>
    <n v="2"/>
    <n v="6254"/>
    <n v="12508"/>
    <n v="5253.36"/>
    <s v="Beauty"/>
    <s v="Shampoo"/>
    <n v="45967"/>
    <x v="10"/>
  </r>
  <r>
    <n v="205"/>
    <n v="36"/>
    <n v="2"/>
    <n v="5432"/>
    <n v="10864"/>
    <n v="3911.04"/>
    <s v="Sports"/>
    <s v="Cricket Bat"/>
    <n v="45970"/>
    <x v="10"/>
  </r>
  <r>
    <n v="205"/>
    <n v="49"/>
    <n v="3"/>
    <n v="7213"/>
    <n v="21639"/>
    <n v="6816.27"/>
    <s v="Toys"/>
    <s v="Remote Car"/>
    <n v="45970"/>
    <x v="10"/>
  </r>
  <r>
    <n v="206"/>
    <n v="43"/>
    <n v="3"/>
    <n v="6391"/>
    <n v="19173"/>
    <n v="7765.0499999999993"/>
    <s v="Beauty"/>
    <s v="Perfume"/>
    <n v="45973"/>
    <x v="10"/>
  </r>
  <r>
    <n v="206"/>
    <n v="6"/>
    <n v="4"/>
    <n v="1322"/>
    <n v="5288"/>
    <n v="1903.6799999999998"/>
    <s v="Electronics"/>
    <s v="Mouse"/>
    <n v="45973"/>
    <x v="10"/>
  </r>
  <r>
    <n v="207"/>
    <n v="50"/>
    <n v="4"/>
    <n v="7350"/>
    <n v="29400"/>
    <n v="13230"/>
    <s v="Toys"/>
    <s v="Building Blocks"/>
    <n v="45976"/>
    <x v="10"/>
  </r>
  <r>
    <n v="207"/>
    <n v="13"/>
    <n v="1"/>
    <n v="2281"/>
    <n v="2281"/>
    <n v="923.8"/>
    <s v="Fashion"/>
    <s v="Shirt"/>
    <n v="45976"/>
    <x v="10"/>
  </r>
  <r>
    <n v="208"/>
    <n v="7"/>
    <n v="1"/>
    <n v="1459"/>
    <n v="1459"/>
    <n v="503.35"/>
    <s v="Electronics"/>
    <s v="Monitor"/>
    <n v="45979"/>
    <x v="10"/>
  </r>
  <r>
    <n v="208"/>
    <n v="20"/>
    <n v="2"/>
    <n v="3240"/>
    <n v="6480"/>
    <n v="2916"/>
    <s v="Fashion"/>
    <s v="Belt"/>
    <n v="45979"/>
    <x v="10"/>
  </r>
  <r>
    <n v="209"/>
    <n v="14"/>
    <n v="2"/>
    <n v="2418"/>
    <n v="4836"/>
    <n v="1886.04"/>
    <s v="Fashion"/>
    <s v="Jacket"/>
    <n v="45982"/>
    <x v="10"/>
  </r>
  <r>
    <n v="209"/>
    <n v="27"/>
    <n v="3"/>
    <n v="4199"/>
    <n v="12597"/>
    <n v="4345.9500000000007"/>
    <s v="Home &amp; Kitchen"/>
    <s v="Cookware Set"/>
    <n v="45982"/>
    <x v="10"/>
  </r>
  <r>
    <n v="210"/>
    <n v="21"/>
    <n v="3"/>
    <n v="3377"/>
    <n v="10131"/>
    <n v="4406.97"/>
    <s v="Home Appliances"/>
    <s v="Mixer"/>
    <n v="45985"/>
    <x v="10"/>
  </r>
  <r>
    <n v="210"/>
    <n v="34"/>
    <n v="4"/>
    <n v="5158"/>
    <n v="20632"/>
    <n v="8046.48"/>
    <s v="Books"/>
    <s v="Cookbook"/>
    <n v="45985"/>
    <x v="10"/>
  </r>
  <r>
    <n v="211"/>
    <n v="28"/>
    <n v="4"/>
    <n v="4336"/>
    <n v="17344"/>
    <n v="5723.52"/>
    <s v="Home &amp; Kitchen"/>
    <s v="Bottle"/>
    <n v="45988"/>
    <x v="10"/>
  </r>
  <r>
    <n v="211"/>
    <n v="41"/>
    <n v="1"/>
    <n v="6117"/>
    <n v="6117"/>
    <n v="2660.89"/>
    <s v="Beauty"/>
    <s v="Face Wash"/>
    <n v="45988"/>
    <x v="10"/>
  </r>
  <r>
    <n v="212"/>
    <n v="35"/>
    <n v="1"/>
    <n v="5295"/>
    <n v="5295"/>
    <n v="1985.62"/>
    <s v="Books"/>
    <s v="Novel"/>
    <n v="45991"/>
    <x v="10"/>
  </r>
  <r>
    <n v="212"/>
    <n v="48"/>
    <n v="2"/>
    <n v="7076"/>
    <n v="14152"/>
    <n v="4670.16"/>
    <s v="Toys"/>
    <s v="Board Game"/>
    <n v="45991"/>
    <x v="10"/>
  </r>
  <r>
    <n v="213"/>
    <n v="42"/>
    <n v="2"/>
    <n v="6254"/>
    <n v="12508"/>
    <n v="5253.36"/>
    <s v="Beauty"/>
    <s v="Shampoo"/>
    <n v="45994"/>
    <x v="11"/>
  </r>
  <r>
    <n v="213"/>
    <n v="5"/>
    <n v="3"/>
    <n v="1185"/>
    <n v="3555"/>
    <n v="1333.1399999999999"/>
    <s v="Electronics"/>
    <s v="Keyboard"/>
    <n v="45994"/>
    <x v="11"/>
  </r>
  <r>
    <n v="214"/>
    <n v="49"/>
    <n v="3"/>
    <n v="7213"/>
    <n v="21639"/>
    <n v="6816.27"/>
    <s v="Toys"/>
    <s v="Remote Car"/>
    <n v="45997"/>
    <x v="11"/>
  </r>
  <r>
    <n v="214"/>
    <n v="12"/>
    <n v="4"/>
    <n v="2144"/>
    <n v="8576"/>
    <n v="3601.92"/>
    <s v="Fashion"/>
    <s v="Jeans"/>
    <n v="45997"/>
    <x v="11"/>
  </r>
  <r>
    <n v="215"/>
    <n v="6"/>
    <n v="4"/>
    <n v="1322"/>
    <n v="5288"/>
    <n v="1903.6799999999998"/>
    <s v="Electronics"/>
    <s v="Mouse"/>
    <n v="46000"/>
    <x v="11"/>
  </r>
  <r>
    <n v="215"/>
    <n v="19"/>
    <n v="1"/>
    <n v="3103"/>
    <n v="3103"/>
    <n v="977.44"/>
    <s v="Fashion"/>
    <s v="Wallet"/>
    <n v="46000"/>
    <x v="11"/>
  </r>
  <r>
    <n v="216"/>
    <n v="13"/>
    <n v="1"/>
    <n v="2281"/>
    <n v="2281"/>
    <n v="923.8"/>
    <s v="Fashion"/>
    <s v="Shirt"/>
    <n v="46003"/>
    <x v="11"/>
  </r>
  <r>
    <n v="216"/>
    <n v="26"/>
    <n v="2"/>
    <n v="4062"/>
    <n v="8124"/>
    <n v="2924.6400000000003"/>
    <s v="Home &amp; Kitchen"/>
    <s v="Bedsheet"/>
    <n v="46003"/>
    <x v="11"/>
  </r>
  <r>
    <n v="217"/>
    <n v="20"/>
    <n v="2"/>
    <n v="3240"/>
    <n v="6480"/>
    <n v="2916"/>
    <s v="Fashion"/>
    <s v="Belt"/>
    <n v="46006"/>
    <x v="11"/>
  </r>
  <r>
    <n v="217"/>
    <n v="33"/>
    <n v="3"/>
    <n v="5021"/>
    <n v="15063"/>
    <n v="6100.5"/>
    <s v="Books"/>
    <s v="Pen Set"/>
    <n v="46006"/>
    <x v="11"/>
  </r>
  <r>
    <n v="218"/>
    <n v="27"/>
    <n v="3"/>
    <n v="4199"/>
    <n v="12597"/>
    <n v="4345.9500000000007"/>
    <s v="Home &amp; Kitchen"/>
    <s v="Cookware Set"/>
    <n v="46009"/>
    <x v="11"/>
  </r>
  <r>
    <n v="218"/>
    <n v="40"/>
    <n v="4"/>
    <n v="5980"/>
    <n v="23920"/>
    <n v="10764"/>
    <s v="Sports"/>
    <s v="Dumbbells"/>
    <n v="46009"/>
    <x v="11"/>
  </r>
  <r>
    <n v="219"/>
    <n v="34"/>
    <n v="4"/>
    <n v="5158"/>
    <n v="20632"/>
    <n v="8046.48"/>
    <s v="Books"/>
    <s v="Cookbook"/>
    <n v="46012"/>
    <x v="11"/>
  </r>
  <r>
    <n v="219"/>
    <n v="47"/>
    <n v="1"/>
    <n v="6939"/>
    <n v="6939"/>
    <n v="2393.9499999999998"/>
    <s v="Toys"/>
    <s v="Puzzle"/>
    <n v="46012"/>
    <x v="11"/>
  </r>
  <r>
    <n v="220"/>
    <n v="41"/>
    <n v="1"/>
    <n v="6117"/>
    <n v="6117"/>
    <n v="2660.89"/>
    <s v="Beauty"/>
    <s v="Face Wash"/>
    <n v="46015"/>
    <x v="11"/>
  </r>
  <r>
    <n v="220"/>
    <n v="4"/>
    <n v="2"/>
    <n v="1048"/>
    <n v="2096"/>
    <n v="817.44"/>
    <s v="Electronics"/>
    <s v="Smart Watch"/>
    <n v="46015"/>
    <x v="11"/>
  </r>
  <r>
    <n v="221"/>
    <n v="48"/>
    <n v="2"/>
    <n v="7076"/>
    <n v="14152"/>
    <n v="4670.16"/>
    <s v="Toys"/>
    <s v="Board Game"/>
    <n v="46018"/>
    <x v="11"/>
  </r>
  <r>
    <n v="221"/>
    <n v="11"/>
    <n v="3"/>
    <n v="2007"/>
    <n v="6021"/>
    <n v="2619.12"/>
    <s v="Fashion"/>
    <s v="T-Shirt"/>
    <n v="46018"/>
    <x v="11"/>
  </r>
  <r>
    <n v="222"/>
    <n v="5"/>
    <n v="3"/>
    <n v="1185"/>
    <n v="3555"/>
    <n v="1333.1399999999999"/>
    <s v="Electronics"/>
    <s v="Keyboard"/>
    <n v="46021"/>
    <x v="11"/>
  </r>
  <r>
    <n v="222"/>
    <n v="18"/>
    <n v="4"/>
    <n v="2966"/>
    <n v="11864"/>
    <n v="3915.12"/>
    <s v="Fashion"/>
    <s v="Backpack"/>
    <n v="46021"/>
    <x v="11"/>
  </r>
  <r>
    <n v="223"/>
    <n v="12"/>
    <n v="4"/>
    <n v="2144"/>
    <n v="8576"/>
    <n v="3601.92"/>
    <s v="Fashion"/>
    <s v="Jeans"/>
    <n v="45659"/>
    <x v="0"/>
  </r>
  <r>
    <n v="223"/>
    <n v="25"/>
    <n v="1"/>
    <n v="3925"/>
    <n v="3925"/>
    <n v="1471.88"/>
    <s v="Home Appliances"/>
    <s v="Vacuum Cleaner"/>
    <n v="45659"/>
    <x v="0"/>
  </r>
  <r>
    <n v="224"/>
    <n v="19"/>
    <n v="1"/>
    <n v="3103"/>
    <n v="3103"/>
    <n v="977.44"/>
    <s v="Fashion"/>
    <s v="Wallet"/>
    <n v="45662"/>
    <x v="0"/>
  </r>
  <r>
    <n v="224"/>
    <n v="32"/>
    <n v="2"/>
    <n v="4884"/>
    <n v="9768"/>
    <n v="4102.5600000000004"/>
    <s v="Books"/>
    <s v="Notebook"/>
    <n v="45662"/>
    <x v="0"/>
  </r>
  <r>
    <n v="225"/>
    <n v="26"/>
    <n v="2"/>
    <n v="4062"/>
    <n v="8124"/>
    <n v="2924.6400000000003"/>
    <s v="Home &amp; Kitchen"/>
    <s v="Bedsheet"/>
    <n v="45665"/>
    <x v="0"/>
  </r>
  <r>
    <n v="225"/>
    <n v="39"/>
    <n v="3"/>
    <n v="5843"/>
    <n v="17529"/>
    <n v="5521.62"/>
    <s v="Sports"/>
    <s v="Yoga Mat"/>
    <n v="45665"/>
    <x v="0"/>
  </r>
  <r>
    <n v="226"/>
    <n v="33"/>
    <n v="3"/>
    <n v="5021"/>
    <n v="15063"/>
    <n v="6100.5"/>
    <s v="Books"/>
    <s v="Pen Set"/>
    <n v="45668"/>
    <x v="0"/>
  </r>
  <r>
    <n v="226"/>
    <n v="46"/>
    <n v="4"/>
    <n v="6802"/>
    <n v="27208"/>
    <n v="9794.880000000001"/>
    <s v="Toys"/>
    <s v="Toys Car"/>
    <n v="45668"/>
    <x v="0"/>
  </r>
  <r>
    <n v="227"/>
    <n v="40"/>
    <n v="4"/>
    <n v="5980"/>
    <n v="23920"/>
    <n v="10764"/>
    <s v="Sports"/>
    <s v="Dumbbells"/>
    <n v="45671"/>
    <x v="0"/>
  </r>
  <r>
    <n v="227"/>
    <n v="3"/>
    <n v="1"/>
    <n v="911"/>
    <n v="911"/>
    <n v="368.95000000000005"/>
    <s v="Electronics"/>
    <s v="Headphones"/>
    <n v="45671"/>
    <x v="0"/>
  </r>
  <r>
    <n v="228"/>
    <n v="47"/>
    <n v="1"/>
    <n v="6939"/>
    <n v="6939"/>
    <n v="2393.9499999999998"/>
    <s v="Toys"/>
    <s v="Puzzle"/>
    <n v="45674"/>
    <x v="0"/>
  </r>
  <r>
    <n v="228"/>
    <n v="10"/>
    <n v="2"/>
    <n v="1870"/>
    <n v="3740"/>
    <n v="1683"/>
    <s v="Electronics"/>
    <s v="Earbuds"/>
    <n v="45674"/>
    <x v="0"/>
  </r>
  <r>
    <n v="229"/>
    <n v="4"/>
    <n v="2"/>
    <n v="1048"/>
    <n v="2096"/>
    <n v="817.44"/>
    <s v="Electronics"/>
    <s v="Smart Watch"/>
    <n v="45677"/>
    <x v="0"/>
  </r>
  <r>
    <n v="229"/>
    <n v="17"/>
    <n v="3"/>
    <n v="2829"/>
    <n v="8487"/>
    <n v="2928"/>
    <s v="Fashion"/>
    <s v="Dress"/>
    <n v="45677"/>
    <x v="0"/>
  </r>
  <r>
    <n v="230"/>
    <n v="11"/>
    <n v="3"/>
    <n v="2007"/>
    <n v="6021"/>
    <n v="2619.12"/>
    <s v="Fashion"/>
    <s v="T-Shirt"/>
    <n v="45680"/>
    <x v="0"/>
  </r>
  <r>
    <n v="230"/>
    <n v="24"/>
    <n v="4"/>
    <n v="3788"/>
    <n v="15152"/>
    <n v="5909.2800000000007"/>
    <s v="Home Appliances"/>
    <s v="Iron"/>
    <n v="45680"/>
    <x v="0"/>
  </r>
  <r>
    <n v="231"/>
    <n v="18"/>
    <n v="4"/>
    <n v="2966"/>
    <n v="11864"/>
    <n v="3915.12"/>
    <s v="Fashion"/>
    <s v="Backpack"/>
    <n v="45683"/>
    <x v="0"/>
  </r>
  <r>
    <n v="231"/>
    <n v="31"/>
    <n v="1"/>
    <n v="4747"/>
    <n v="4747"/>
    <n v="2064.94"/>
    <s v="Books"/>
    <s v="Book"/>
    <n v="45683"/>
    <x v="0"/>
  </r>
  <r>
    <n v="232"/>
    <n v="25"/>
    <n v="1"/>
    <n v="3925"/>
    <n v="3925"/>
    <n v="1471.88"/>
    <s v="Home Appliances"/>
    <s v="Vacuum Cleaner"/>
    <n v="45686"/>
    <x v="0"/>
  </r>
  <r>
    <n v="232"/>
    <n v="38"/>
    <n v="2"/>
    <n v="5706"/>
    <n v="11412"/>
    <n v="3765.96"/>
    <s v="Sports"/>
    <s v="Badminton Racket"/>
    <n v="45686"/>
    <x v="0"/>
  </r>
  <r>
    <n v="233"/>
    <n v="32"/>
    <n v="2"/>
    <n v="4884"/>
    <n v="9768"/>
    <n v="4102.5600000000004"/>
    <s v="Books"/>
    <s v="Notebook"/>
    <n v="45689"/>
    <x v="1"/>
  </r>
  <r>
    <n v="233"/>
    <n v="45"/>
    <n v="3"/>
    <n v="6665"/>
    <n v="19995"/>
    <n v="7498.14"/>
    <s v="Beauty"/>
    <s v="Sunscreen"/>
    <n v="45689"/>
    <x v="1"/>
  </r>
  <r>
    <n v="234"/>
    <n v="39"/>
    <n v="3"/>
    <n v="5843"/>
    <n v="17529"/>
    <n v="5521.62"/>
    <s v="Sports"/>
    <s v="Yoga Mat"/>
    <n v="45692"/>
    <x v="1"/>
  </r>
  <r>
    <n v="234"/>
    <n v="2"/>
    <n v="4"/>
    <n v="774"/>
    <n v="3096"/>
    <n v="1300.32"/>
    <s v="Electronics"/>
    <s v="Mobile"/>
    <n v="45692"/>
    <x v="1"/>
  </r>
  <r>
    <n v="235"/>
    <n v="46"/>
    <n v="4"/>
    <n v="6802"/>
    <n v="27208"/>
    <n v="9794.880000000001"/>
    <s v="Toys"/>
    <s v="Toys Car"/>
    <n v="45695"/>
    <x v="1"/>
  </r>
  <r>
    <n v="235"/>
    <n v="9"/>
    <n v="1"/>
    <n v="1733"/>
    <n v="1733"/>
    <n v="545.8900000000001"/>
    <s v="Electronics"/>
    <s v="Power Bank"/>
    <n v="45695"/>
    <x v="1"/>
  </r>
  <r>
    <n v="236"/>
    <n v="3"/>
    <n v="1"/>
    <n v="911"/>
    <n v="911"/>
    <n v="368.95000000000005"/>
    <s v="Electronics"/>
    <s v="Headphones"/>
    <n v="45698"/>
    <x v="1"/>
  </r>
  <r>
    <n v="236"/>
    <n v="16"/>
    <n v="2"/>
    <n v="2692"/>
    <n v="5384"/>
    <n v="1938.2399999999998"/>
    <s v="Fashion"/>
    <s v="Saree"/>
    <n v="45698"/>
    <x v="1"/>
  </r>
  <r>
    <n v="237"/>
    <n v="10"/>
    <n v="2"/>
    <n v="1870"/>
    <n v="3740"/>
    <n v="1683"/>
    <s v="Electronics"/>
    <s v="Earbuds"/>
    <n v="45701"/>
    <x v="1"/>
  </r>
  <r>
    <n v="237"/>
    <n v="23"/>
    <n v="3"/>
    <n v="3651"/>
    <n v="10953"/>
    <n v="4435.9500000000007"/>
    <s v="Home Appliances"/>
    <s v="Fan"/>
    <n v="45701"/>
    <x v="1"/>
  </r>
  <r>
    <n v="238"/>
    <n v="17"/>
    <n v="3"/>
    <n v="2829"/>
    <n v="8487"/>
    <n v="2928"/>
    <s v="Fashion"/>
    <s v="Dress"/>
    <n v="45704"/>
    <x v="1"/>
  </r>
  <r>
    <n v="238"/>
    <n v="30"/>
    <n v="4"/>
    <n v="4610"/>
    <n v="18440"/>
    <n v="8298"/>
    <s v="Furniture"/>
    <s v="Table"/>
    <n v="45704"/>
    <x v="1"/>
  </r>
  <r>
    <n v="239"/>
    <n v="24"/>
    <n v="4"/>
    <n v="3788"/>
    <n v="15152"/>
    <n v="5909.2800000000007"/>
    <s v="Home Appliances"/>
    <s v="Iron"/>
    <n v="45707"/>
    <x v="1"/>
  </r>
  <r>
    <n v="239"/>
    <n v="37"/>
    <n v="1"/>
    <n v="5569"/>
    <n v="5569"/>
    <n v="1921.3000000000002"/>
    <s v="Sports"/>
    <s v="Football"/>
    <n v="45707"/>
    <x v="1"/>
  </r>
  <r>
    <n v="240"/>
    <n v="31"/>
    <n v="1"/>
    <n v="4747"/>
    <n v="4747"/>
    <n v="2064.94"/>
    <s v="Books"/>
    <s v="Book"/>
    <n v="45710"/>
    <x v="1"/>
  </r>
  <r>
    <n v="240"/>
    <n v="44"/>
    <n v="2"/>
    <n v="6528"/>
    <n v="13056"/>
    <n v="5091.84"/>
    <s v="Beauty"/>
    <s v="Moisturizer"/>
    <n v="45710"/>
    <x v="1"/>
  </r>
  <r>
    <n v="241"/>
    <n v="38"/>
    <n v="2"/>
    <n v="5706"/>
    <n v="11412"/>
    <n v="3765.96"/>
    <s v="Sports"/>
    <s v="Badminton Racket"/>
    <n v="45713"/>
    <x v="1"/>
  </r>
  <r>
    <n v="241"/>
    <n v="1"/>
    <n v="3"/>
    <n v="637"/>
    <n v="1911"/>
    <n v="831.27"/>
    <s v="Electronics"/>
    <s v="Laptop"/>
    <n v="45713"/>
    <x v="1"/>
  </r>
  <r>
    <n v="242"/>
    <n v="45"/>
    <n v="3"/>
    <n v="6665"/>
    <n v="19995"/>
    <n v="7498.14"/>
    <s v="Beauty"/>
    <s v="Sunscreen"/>
    <n v="45716"/>
    <x v="1"/>
  </r>
  <r>
    <n v="242"/>
    <n v="8"/>
    <n v="4"/>
    <n v="1596"/>
    <n v="6384"/>
    <n v="2106.7200000000003"/>
    <s v="Electronics"/>
    <s v="Tablet"/>
    <n v="45716"/>
    <x v="1"/>
  </r>
  <r>
    <n v="243"/>
    <n v="2"/>
    <n v="4"/>
    <n v="774"/>
    <n v="3096"/>
    <n v="1300.32"/>
    <s v="Electronics"/>
    <s v="Mobile"/>
    <n v="45719"/>
    <x v="2"/>
  </r>
  <r>
    <n v="243"/>
    <n v="15"/>
    <n v="1"/>
    <n v="2555"/>
    <n v="2555"/>
    <n v="958.11999999999989"/>
    <s v="Fashion"/>
    <s v="Shoes"/>
    <n v="45719"/>
    <x v="2"/>
  </r>
  <r>
    <n v="244"/>
    <n v="9"/>
    <n v="1"/>
    <n v="1733"/>
    <n v="1733"/>
    <n v="545.8900000000001"/>
    <s v="Electronics"/>
    <s v="Power Bank"/>
    <n v="45722"/>
    <x v="2"/>
  </r>
  <r>
    <n v="244"/>
    <n v="22"/>
    <n v="2"/>
    <n v="3514"/>
    <n v="7028"/>
    <n v="2951.76"/>
    <s v="Home Appliances"/>
    <s v="Microwave"/>
    <n v="45722"/>
    <x v="2"/>
  </r>
  <r>
    <n v="245"/>
    <n v="16"/>
    <n v="2"/>
    <n v="2692"/>
    <n v="5384"/>
    <n v="1938.2399999999998"/>
    <s v="Fashion"/>
    <s v="Saree"/>
    <n v="45725"/>
    <x v="2"/>
  </r>
  <r>
    <n v="245"/>
    <n v="29"/>
    <n v="3"/>
    <n v="4473"/>
    <n v="13419"/>
    <n v="4226.9699999999993"/>
    <s v="Furniture"/>
    <s v="Chair"/>
    <n v="45725"/>
    <x v="2"/>
  </r>
  <r>
    <n v="246"/>
    <n v="23"/>
    <n v="3"/>
    <n v="3651"/>
    <n v="10953"/>
    <n v="4435.9500000000007"/>
    <s v="Home Appliances"/>
    <s v="Fan"/>
    <n v="45728"/>
    <x v="2"/>
  </r>
  <r>
    <n v="246"/>
    <n v="36"/>
    <n v="4"/>
    <n v="5432"/>
    <n v="21728"/>
    <n v="7822.08"/>
    <s v="Sports"/>
    <s v="Cricket Bat"/>
    <n v="45728"/>
    <x v="2"/>
  </r>
  <r>
    <n v="247"/>
    <n v="30"/>
    <n v="4"/>
    <n v="4610"/>
    <n v="18440"/>
    <n v="8298"/>
    <s v="Furniture"/>
    <s v="Table"/>
    <n v="45731"/>
    <x v="2"/>
  </r>
  <r>
    <n v="247"/>
    <n v="43"/>
    <n v="1"/>
    <n v="6391"/>
    <n v="6391"/>
    <n v="2588.35"/>
    <s v="Beauty"/>
    <s v="Perfume"/>
    <n v="45731"/>
    <x v="2"/>
  </r>
  <r>
    <n v="248"/>
    <n v="37"/>
    <n v="1"/>
    <n v="5569"/>
    <n v="5569"/>
    <n v="1921.3000000000002"/>
    <s v="Sports"/>
    <s v="Football"/>
    <n v="45734"/>
    <x v="2"/>
  </r>
  <r>
    <n v="248"/>
    <n v="50"/>
    <n v="2"/>
    <n v="7350"/>
    <n v="14700"/>
    <n v="6615"/>
    <s v="Toys"/>
    <s v="Building Blocks"/>
    <n v="45734"/>
    <x v="2"/>
  </r>
  <r>
    <n v="249"/>
    <n v="44"/>
    <n v="2"/>
    <n v="6528"/>
    <n v="13056"/>
    <n v="5091.84"/>
    <s v="Beauty"/>
    <s v="Moisturizer"/>
    <n v="45737"/>
    <x v="2"/>
  </r>
  <r>
    <n v="249"/>
    <n v="7"/>
    <n v="3"/>
    <n v="1459"/>
    <n v="4377"/>
    <n v="1510.0500000000002"/>
    <s v="Electronics"/>
    <s v="Monitor"/>
    <n v="45737"/>
    <x v="2"/>
  </r>
  <r>
    <n v="250"/>
    <n v="1"/>
    <n v="3"/>
    <n v="637"/>
    <n v="1911"/>
    <n v="831.27"/>
    <s v="Electronics"/>
    <s v="Laptop"/>
    <n v="45740"/>
    <x v="2"/>
  </r>
  <r>
    <n v="250"/>
    <n v="14"/>
    <n v="4"/>
    <n v="2418"/>
    <n v="9672"/>
    <n v="3772.08"/>
    <s v="Fashion"/>
    <s v="Jacket"/>
    <n v="45740"/>
    <x v="2"/>
  </r>
  <r>
    <n v="251"/>
    <n v="8"/>
    <n v="4"/>
    <n v="1596"/>
    <n v="6384"/>
    <n v="2106.7200000000003"/>
    <s v="Electronics"/>
    <s v="Tablet"/>
    <n v="45743"/>
    <x v="2"/>
  </r>
  <r>
    <n v="251"/>
    <n v="21"/>
    <n v="1"/>
    <n v="3377"/>
    <n v="3377"/>
    <n v="1468.99"/>
    <s v="Home Appliances"/>
    <s v="Mixer"/>
    <n v="45743"/>
    <x v="2"/>
  </r>
  <r>
    <n v="252"/>
    <n v="15"/>
    <n v="1"/>
    <n v="2555"/>
    <n v="2555"/>
    <n v="958.11999999999989"/>
    <s v="Fashion"/>
    <s v="Shoes"/>
    <n v="45746"/>
    <x v="2"/>
  </r>
  <r>
    <n v="252"/>
    <n v="28"/>
    <n v="2"/>
    <n v="4336"/>
    <n v="8672"/>
    <n v="2861.76"/>
    <s v="Home &amp; Kitchen"/>
    <s v="Bottle"/>
    <n v="45746"/>
    <x v="2"/>
  </r>
  <r>
    <n v="253"/>
    <n v="22"/>
    <n v="2"/>
    <n v="3514"/>
    <n v="7028"/>
    <n v="2951.76"/>
    <s v="Home Appliances"/>
    <s v="Microwave"/>
    <n v="45749"/>
    <x v="3"/>
  </r>
  <r>
    <n v="253"/>
    <n v="35"/>
    <n v="3"/>
    <n v="5295"/>
    <n v="15885"/>
    <n v="5956.86"/>
    <s v="Books"/>
    <s v="Novel"/>
    <n v="45749"/>
    <x v="3"/>
  </r>
  <r>
    <n v="254"/>
    <n v="29"/>
    <n v="3"/>
    <n v="4473"/>
    <n v="13419"/>
    <n v="4226.9699999999993"/>
    <s v="Furniture"/>
    <s v="Chair"/>
    <n v="45752"/>
    <x v="3"/>
  </r>
  <r>
    <n v="254"/>
    <n v="42"/>
    <n v="4"/>
    <n v="6254"/>
    <n v="25016"/>
    <n v="10506.72"/>
    <s v="Beauty"/>
    <s v="Shampoo"/>
    <n v="45752"/>
    <x v="3"/>
  </r>
  <r>
    <n v="255"/>
    <n v="36"/>
    <n v="4"/>
    <n v="5432"/>
    <n v="21728"/>
    <n v="7822.08"/>
    <s v="Sports"/>
    <s v="Cricket Bat"/>
    <n v="45755"/>
    <x v="3"/>
  </r>
  <r>
    <n v="255"/>
    <n v="49"/>
    <n v="1"/>
    <n v="7213"/>
    <n v="7213"/>
    <n v="2272.09"/>
    <s v="Toys"/>
    <s v="Remote Car"/>
    <n v="45755"/>
    <x v="3"/>
  </r>
  <r>
    <n v="256"/>
    <n v="43"/>
    <n v="1"/>
    <n v="6391"/>
    <n v="6391"/>
    <n v="2588.35"/>
    <s v="Beauty"/>
    <s v="Perfume"/>
    <n v="45758"/>
    <x v="3"/>
  </r>
  <r>
    <n v="256"/>
    <n v="6"/>
    <n v="2"/>
    <n v="1322"/>
    <n v="2644"/>
    <n v="951.83999999999992"/>
    <s v="Electronics"/>
    <s v="Mouse"/>
    <n v="45758"/>
    <x v="3"/>
  </r>
  <r>
    <n v="257"/>
    <n v="50"/>
    <n v="2"/>
    <n v="7350"/>
    <n v="14700"/>
    <n v="6615"/>
    <s v="Toys"/>
    <s v="Building Blocks"/>
    <n v="45761"/>
    <x v="3"/>
  </r>
  <r>
    <n v="257"/>
    <n v="13"/>
    <n v="3"/>
    <n v="2281"/>
    <n v="6843"/>
    <n v="2771.3999999999996"/>
    <s v="Fashion"/>
    <s v="Shirt"/>
    <n v="45761"/>
    <x v="3"/>
  </r>
  <r>
    <n v="258"/>
    <n v="7"/>
    <n v="3"/>
    <n v="1459"/>
    <n v="4377"/>
    <n v="1510.0500000000002"/>
    <s v="Electronics"/>
    <s v="Monitor"/>
    <n v="45764"/>
    <x v="3"/>
  </r>
  <r>
    <n v="258"/>
    <n v="20"/>
    <n v="4"/>
    <n v="3240"/>
    <n v="12960"/>
    <n v="5832"/>
    <s v="Fashion"/>
    <s v="Belt"/>
    <n v="45764"/>
    <x v="3"/>
  </r>
  <r>
    <n v="259"/>
    <n v="14"/>
    <n v="4"/>
    <n v="2418"/>
    <n v="9672"/>
    <n v="3772.08"/>
    <s v="Fashion"/>
    <s v="Jacket"/>
    <n v="45767"/>
    <x v="3"/>
  </r>
  <r>
    <n v="259"/>
    <n v="27"/>
    <n v="1"/>
    <n v="4199"/>
    <n v="4199"/>
    <n v="1448.65"/>
    <s v="Home &amp; Kitchen"/>
    <s v="Cookware Set"/>
    <n v="45767"/>
    <x v="3"/>
  </r>
  <r>
    <n v="260"/>
    <n v="21"/>
    <n v="1"/>
    <n v="3377"/>
    <n v="3377"/>
    <n v="1468.99"/>
    <s v="Home Appliances"/>
    <s v="Mixer"/>
    <n v="45770"/>
    <x v="3"/>
  </r>
  <r>
    <n v="260"/>
    <n v="34"/>
    <n v="2"/>
    <n v="5158"/>
    <n v="10316"/>
    <n v="4023.24"/>
    <s v="Books"/>
    <s v="Cookbook"/>
    <n v="45770"/>
    <x v="3"/>
  </r>
  <r>
    <n v="261"/>
    <n v="28"/>
    <n v="2"/>
    <n v="4336"/>
    <n v="8672"/>
    <n v="2861.76"/>
    <s v="Home &amp; Kitchen"/>
    <s v="Bottle"/>
    <n v="45773"/>
    <x v="3"/>
  </r>
  <r>
    <n v="261"/>
    <n v="41"/>
    <n v="3"/>
    <n v="6117"/>
    <n v="18351"/>
    <n v="7982.67"/>
    <s v="Beauty"/>
    <s v="Face Wash"/>
    <n v="45773"/>
    <x v="3"/>
  </r>
  <r>
    <n v="262"/>
    <n v="35"/>
    <n v="3"/>
    <n v="5295"/>
    <n v="15885"/>
    <n v="5956.86"/>
    <s v="Books"/>
    <s v="Novel"/>
    <n v="45776"/>
    <x v="3"/>
  </r>
  <r>
    <n v="262"/>
    <n v="48"/>
    <n v="4"/>
    <n v="7076"/>
    <n v="28304"/>
    <n v="9340.32"/>
    <s v="Toys"/>
    <s v="Board Game"/>
    <n v="45776"/>
    <x v="3"/>
  </r>
  <r>
    <n v="263"/>
    <n v="42"/>
    <n v="4"/>
    <n v="6254"/>
    <n v="25016"/>
    <n v="10506.72"/>
    <s v="Beauty"/>
    <s v="Shampoo"/>
    <n v="45779"/>
    <x v="4"/>
  </r>
  <r>
    <n v="263"/>
    <n v="5"/>
    <n v="1"/>
    <n v="1185"/>
    <n v="1185"/>
    <n v="444.38"/>
    <s v="Electronics"/>
    <s v="Keyboard"/>
    <n v="45779"/>
    <x v="4"/>
  </r>
  <r>
    <n v="264"/>
    <n v="49"/>
    <n v="1"/>
    <n v="7213"/>
    <n v="7213"/>
    <n v="2272.09"/>
    <s v="Toys"/>
    <s v="Remote Car"/>
    <n v="45782"/>
    <x v="4"/>
  </r>
  <r>
    <n v="264"/>
    <n v="12"/>
    <n v="2"/>
    <n v="2144"/>
    <n v="4288"/>
    <n v="1800.96"/>
    <s v="Fashion"/>
    <s v="Jeans"/>
    <n v="45782"/>
    <x v="4"/>
  </r>
  <r>
    <n v="265"/>
    <n v="6"/>
    <n v="2"/>
    <n v="1322"/>
    <n v="2644"/>
    <n v="951.83999999999992"/>
    <s v="Electronics"/>
    <s v="Mouse"/>
    <n v="45785"/>
    <x v="4"/>
  </r>
  <r>
    <n v="265"/>
    <n v="19"/>
    <n v="3"/>
    <n v="3103"/>
    <n v="9309"/>
    <n v="2932.32"/>
    <s v="Fashion"/>
    <s v="Wallet"/>
    <n v="45785"/>
    <x v="4"/>
  </r>
  <r>
    <n v="266"/>
    <n v="13"/>
    <n v="3"/>
    <n v="2281"/>
    <n v="6843"/>
    <n v="2771.3999999999996"/>
    <s v="Fashion"/>
    <s v="Shirt"/>
    <n v="45788"/>
    <x v="4"/>
  </r>
  <r>
    <n v="266"/>
    <n v="26"/>
    <n v="4"/>
    <n v="4062"/>
    <n v="16248"/>
    <n v="5849.2800000000007"/>
    <s v="Home &amp; Kitchen"/>
    <s v="Bedsheet"/>
    <n v="45788"/>
    <x v="4"/>
  </r>
  <r>
    <n v="267"/>
    <n v="20"/>
    <n v="4"/>
    <n v="3240"/>
    <n v="12960"/>
    <n v="5832"/>
    <s v="Fashion"/>
    <s v="Belt"/>
    <n v="45791"/>
    <x v="4"/>
  </r>
  <r>
    <n v="267"/>
    <n v="33"/>
    <n v="1"/>
    <n v="5021"/>
    <n v="5021"/>
    <n v="2033.5"/>
    <s v="Books"/>
    <s v="Pen Set"/>
    <n v="45791"/>
    <x v="4"/>
  </r>
  <r>
    <n v="268"/>
    <n v="27"/>
    <n v="1"/>
    <n v="4199"/>
    <n v="4199"/>
    <n v="1448.65"/>
    <s v="Home &amp; Kitchen"/>
    <s v="Cookware Set"/>
    <n v="45794"/>
    <x v="4"/>
  </r>
  <r>
    <n v="268"/>
    <n v="40"/>
    <n v="2"/>
    <n v="5980"/>
    <n v="11960"/>
    <n v="5382"/>
    <s v="Sports"/>
    <s v="Dumbbells"/>
    <n v="45794"/>
    <x v="4"/>
  </r>
  <r>
    <n v="269"/>
    <n v="34"/>
    <n v="2"/>
    <n v="5158"/>
    <n v="10316"/>
    <n v="4023.24"/>
    <s v="Books"/>
    <s v="Cookbook"/>
    <n v="45797"/>
    <x v="4"/>
  </r>
  <r>
    <n v="269"/>
    <n v="47"/>
    <n v="3"/>
    <n v="6939"/>
    <n v="20817"/>
    <n v="7181.8499999999995"/>
    <s v="Toys"/>
    <s v="Puzzle"/>
    <n v="45797"/>
    <x v="4"/>
  </r>
  <r>
    <n v="270"/>
    <n v="41"/>
    <n v="3"/>
    <n v="6117"/>
    <n v="18351"/>
    <n v="7982.67"/>
    <s v="Beauty"/>
    <s v="Face Wash"/>
    <n v="45800"/>
    <x v="4"/>
  </r>
  <r>
    <n v="270"/>
    <n v="4"/>
    <n v="4"/>
    <n v="1048"/>
    <n v="4192"/>
    <n v="1634.88"/>
    <s v="Electronics"/>
    <s v="Smart Watch"/>
    <n v="45800"/>
    <x v="4"/>
  </r>
  <r>
    <n v="271"/>
    <n v="48"/>
    <n v="4"/>
    <n v="7076"/>
    <n v="28304"/>
    <n v="9340.32"/>
    <s v="Toys"/>
    <s v="Board Game"/>
    <n v="45803"/>
    <x v="4"/>
  </r>
  <r>
    <n v="271"/>
    <n v="11"/>
    <n v="1"/>
    <n v="2007"/>
    <n v="2007"/>
    <n v="873.04"/>
    <s v="Fashion"/>
    <s v="T-Shirt"/>
    <n v="45803"/>
    <x v="4"/>
  </r>
  <r>
    <n v="272"/>
    <n v="5"/>
    <n v="1"/>
    <n v="1185"/>
    <n v="1185"/>
    <n v="444.38"/>
    <s v="Electronics"/>
    <s v="Keyboard"/>
    <n v="45806"/>
    <x v="4"/>
  </r>
  <r>
    <n v="272"/>
    <n v="18"/>
    <n v="2"/>
    <n v="2966"/>
    <n v="5932"/>
    <n v="1957.56"/>
    <s v="Fashion"/>
    <s v="Backpack"/>
    <n v="45806"/>
    <x v="4"/>
  </r>
  <r>
    <n v="273"/>
    <n v="12"/>
    <n v="2"/>
    <n v="2144"/>
    <n v="4288"/>
    <n v="1800.96"/>
    <s v="Fashion"/>
    <s v="Jeans"/>
    <n v="45809"/>
    <x v="5"/>
  </r>
  <r>
    <n v="273"/>
    <n v="25"/>
    <n v="3"/>
    <n v="3925"/>
    <n v="11775"/>
    <n v="4415.6400000000003"/>
    <s v="Home Appliances"/>
    <s v="Vacuum Cleaner"/>
    <n v="45809"/>
    <x v="5"/>
  </r>
  <r>
    <n v="274"/>
    <n v="19"/>
    <n v="3"/>
    <n v="3103"/>
    <n v="9309"/>
    <n v="2932.32"/>
    <s v="Fashion"/>
    <s v="Wallet"/>
    <n v="45812"/>
    <x v="5"/>
  </r>
  <r>
    <n v="274"/>
    <n v="32"/>
    <n v="4"/>
    <n v="4884"/>
    <n v="19536"/>
    <n v="8205.1200000000008"/>
    <s v="Books"/>
    <s v="Notebook"/>
    <n v="45812"/>
    <x v="5"/>
  </r>
  <r>
    <n v="275"/>
    <n v="26"/>
    <n v="4"/>
    <n v="4062"/>
    <n v="16248"/>
    <n v="5849.2800000000007"/>
    <s v="Home &amp; Kitchen"/>
    <s v="Bedsheet"/>
    <n v="45815"/>
    <x v="5"/>
  </r>
  <r>
    <n v="275"/>
    <n v="39"/>
    <n v="1"/>
    <n v="5843"/>
    <n v="5843"/>
    <n v="1840.54"/>
    <s v="Sports"/>
    <s v="Yoga Mat"/>
    <n v="45815"/>
    <x v="5"/>
  </r>
  <r>
    <n v="276"/>
    <n v="33"/>
    <n v="1"/>
    <n v="5021"/>
    <n v="5021"/>
    <n v="2033.5"/>
    <s v="Books"/>
    <s v="Pen Set"/>
    <n v="45818"/>
    <x v="5"/>
  </r>
  <r>
    <n v="276"/>
    <n v="46"/>
    <n v="2"/>
    <n v="6802"/>
    <n v="13604"/>
    <n v="4897.4400000000005"/>
    <s v="Toys"/>
    <s v="Toys Car"/>
    <n v="45818"/>
    <x v="5"/>
  </r>
  <r>
    <n v="277"/>
    <n v="40"/>
    <n v="2"/>
    <n v="5980"/>
    <n v="11960"/>
    <n v="5382"/>
    <s v="Sports"/>
    <s v="Dumbbells"/>
    <n v="45821"/>
    <x v="5"/>
  </r>
  <r>
    <n v="277"/>
    <n v="3"/>
    <n v="3"/>
    <n v="911"/>
    <n v="2733"/>
    <n v="1106.8500000000001"/>
    <s v="Electronics"/>
    <s v="Headphones"/>
    <n v="45821"/>
    <x v="5"/>
  </r>
  <r>
    <n v="278"/>
    <n v="47"/>
    <n v="3"/>
    <n v="6939"/>
    <n v="20817"/>
    <n v="7181.8499999999995"/>
    <s v="Toys"/>
    <s v="Puzzle"/>
    <n v="45824"/>
    <x v="5"/>
  </r>
  <r>
    <n v="278"/>
    <n v="10"/>
    <n v="4"/>
    <n v="1870"/>
    <n v="7480"/>
    <n v="3366"/>
    <s v="Electronics"/>
    <s v="Earbuds"/>
    <n v="45824"/>
    <x v="5"/>
  </r>
  <r>
    <n v="279"/>
    <n v="4"/>
    <n v="4"/>
    <n v="1048"/>
    <n v="4192"/>
    <n v="1634.88"/>
    <s v="Electronics"/>
    <s v="Smart Watch"/>
    <n v="45827"/>
    <x v="5"/>
  </r>
  <r>
    <n v="279"/>
    <n v="17"/>
    <n v="1"/>
    <n v="2829"/>
    <n v="2829"/>
    <n v="976"/>
    <s v="Fashion"/>
    <s v="Dress"/>
    <n v="45827"/>
    <x v="5"/>
  </r>
  <r>
    <n v="280"/>
    <n v="11"/>
    <n v="1"/>
    <n v="2007"/>
    <n v="2007"/>
    <n v="873.04"/>
    <s v="Fashion"/>
    <s v="T-Shirt"/>
    <n v="45830"/>
    <x v="5"/>
  </r>
  <r>
    <n v="280"/>
    <n v="24"/>
    <n v="2"/>
    <n v="3788"/>
    <n v="7576"/>
    <n v="2954.6400000000003"/>
    <s v="Home Appliances"/>
    <s v="Iron"/>
    <n v="45830"/>
    <x v="5"/>
  </r>
  <r>
    <n v="281"/>
    <n v="18"/>
    <n v="2"/>
    <n v="2966"/>
    <n v="5932"/>
    <n v="1957.56"/>
    <s v="Fashion"/>
    <s v="Backpack"/>
    <n v="45833"/>
    <x v="5"/>
  </r>
  <r>
    <n v="281"/>
    <n v="31"/>
    <n v="3"/>
    <n v="4747"/>
    <n v="14241"/>
    <n v="6194.82"/>
    <s v="Books"/>
    <s v="Book"/>
    <n v="45833"/>
    <x v="5"/>
  </r>
  <r>
    <n v="282"/>
    <n v="25"/>
    <n v="3"/>
    <n v="3925"/>
    <n v="11775"/>
    <n v="4415.6400000000003"/>
    <s v="Home Appliances"/>
    <s v="Vacuum Cleaner"/>
    <n v="45836"/>
    <x v="5"/>
  </r>
  <r>
    <n v="282"/>
    <n v="38"/>
    <n v="4"/>
    <n v="5706"/>
    <n v="22824"/>
    <n v="7531.92"/>
    <s v="Sports"/>
    <s v="Badminton Racket"/>
    <n v="45836"/>
    <x v="5"/>
  </r>
  <r>
    <n v="283"/>
    <n v="32"/>
    <n v="4"/>
    <n v="4884"/>
    <n v="19536"/>
    <n v="8205.1200000000008"/>
    <s v="Books"/>
    <s v="Notebook"/>
    <n v="45839"/>
    <x v="6"/>
  </r>
  <r>
    <n v="283"/>
    <n v="45"/>
    <n v="1"/>
    <n v="6665"/>
    <n v="6665"/>
    <n v="2499.38"/>
    <s v="Beauty"/>
    <s v="Sunscreen"/>
    <n v="45839"/>
    <x v="6"/>
  </r>
  <r>
    <n v="284"/>
    <n v="39"/>
    <n v="1"/>
    <n v="5843"/>
    <n v="5843"/>
    <n v="1840.54"/>
    <s v="Sports"/>
    <s v="Yoga Mat"/>
    <n v="45842"/>
    <x v="6"/>
  </r>
  <r>
    <n v="284"/>
    <n v="2"/>
    <n v="2"/>
    <n v="774"/>
    <n v="1548"/>
    <n v="650.16"/>
    <s v="Electronics"/>
    <s v="Mobile"/>
    <n v="45842"/>
    <x v="6"/>
  </r>
  <r>
    <n v="285"/>
    <n v="46"/>
    <n v="2"/>
    <n v="6802"/>
    <n v="13604"/>
    <n v="4897.4400000000005"/>
    <s v="Toys"/>
    <s v="Toys Car"/>
    <n v="45845"/>
    <x v="6"/>
  </r>
  <r>
    <n v="285"/>
    <n v="9"/>
    <n v="3"/>
    <n v="1733"/>
    <n v="5199"/>
    <n v="1637.6700000000003"/>
    <s v="Electronics"/>
    <s v="Power Bank"/>
    <n v="45845"/>
    <x v="6"/>
  </r>
  <r>
    <n v="286"/>
    <n v="3"/>
    <n v="3"/>
    <n v="911"/>
    <n v="2733"/>
    <n v="1106.8500000000001"/>
    <s v="Electronics"/>
    <s v="Headphones"/>
    <n v="45848"/>
    <x v="6"/>
  </r>
  <r>
    <n v="286"/>
    <n v="16"/>
    <n v="4"/>
    <n v="2692"/>
    <n v="10768"/>
    <n v="3876.4799999999996"/>
    <s v="Fashion"/>
    <s v="Saree"/>
    <n v="45848"/>
    <x v="6"/>
  </r>
  <r>
    <n v="287"/>
    <n v="10"/>
    <n v="4"/>
    <n v="1870"/>
    <n v="7480"/>
    <n v="3366"/>
    <s v="Electronics"/>
    <s v="Earbuds"/>
    <n v="45851"/>
    <x v="6"/>
  </r>
  <r>
    <n v="287"/>
    <n v="23"/>
    <n v="1"/>
    <n v="3651"/>
    <n v="3651"/>
    <n v="1478.65"/>
    <s v="Home Appliances"/>
    <s v="Fan"/>
    <n v="45851"/>
    <x v="6"/>
  </r>
  <r>
    <n v="288"/>
    <n v="17"/>
    <n v="1"/>
    <n v="2829"/>
    <n v="2829"/>
    <n v="976"/>
    <s v="Fashion"/>
    <s v="Dress"/>
    <n v="45854"/>
    <x v="6"/>
  </r>
  <r>
    <n v="288"/>
    <n v="30"/>
    <n v="2"/>
    <n v="4610"/>
    <n v="9220"/>
    <n v="4149"/>
    <s v="Furniture"/>
    <s v="Table"/>
    <n v="45854"/>
    <x v="6"/>
  </r>
  <r>
    <n v="289"/>
    <n v="24"/>
    <n v="2"/>
    <n v="3788"/>
    <n v="7576"/>
    <n v="2954.6400000000003"/>
    <s v="Home Appliances"/>
    <s v="Iron"/>
    <n v="45857"/>
    <x v="6"/>
  </r>
  <r>
    <n v="289"/>
    <n v="37"/>
    <n v="3"/>
    <n v="5569"/>
    <n v="16707"/>
    <n v="5763.9000000000005"/>
    <s v="Sports"/>
    <s v="Football"/>
    <n v="45857"/>
    <x v="6"/>
  </r>
  <r>
    <n v="290"/>
    <n v="31"/>
    <n v="3"/>
    <n v="4747"/>
    <n v="14241"/>
    <n v="6194.82"/>
    <s v="Books"/>
    <s v="Book"/>
    <n v="45860"/>
    <x v="6"/>
  </r>
  <r>
    <n v="290"/>
    <n v="44"/>
    <n v="4"/>
    <n v="6528"/>
    <n v="26112"/>
    <n v="10183.68"/>
    <s v="Beauty"/>
    <s v="Moisturizer"/>
    <n v="45860"/>
    <x v="6"/>
  </r>
  <r>
    <n v="291"/>
    <n v="38"/>
    <n v="4"/>
    <n v="5706"/>
    <n v="22824"/>
    <n v="7531.92"/>
    <s v="Sports"/>
    <s v="Badminton Racket"/>
    <n v="45863"/>
    <x v="6"/>
  </r>
  <r>
    <n v="291"/>
    <n v="1"/>
    <n v="1"/>
    <n v="637"/>
    <n v="637"/>
    <n v="277.08999999999997"/>
    <s v="Electronics"/>
    <s v="Laptop"/>
    <n v="45863"/>
    <x v="6"/>
  </r>
  <r>
    <n v="292"/>
    <n v="45"/>
    <n v="1"/>
    <n v="6665"/>
    <n v="6665"/>
    <n v="2499.38"/>
    <s v="Beauty"/>
    <s v="Sunscreen"/>
    <n v="45866"/>
    <x v="6"/>
  </r>
  <r>
    <n v="292"/>
    <n v="8"/>
    <n v="2"/>
    <n v="1596"/>
    <n v="3192"/>
    <n v="1053.3600000000001"/>
    <s v="Electronics"/>
    <s v="Tablet"/>
    <n v="45866"/>
    <x v="6"/>
  </r>
  <r>
    <n v="293"/>
    <n v="2"/>
    <n v="2"/>
    <n v="774"/>
    <n v="1548"/>
    <n v="650.16"/>
    <s v="Electronics"/>
    <s v="Mobile"/>
    <n v="45869"/>
    <x v="6"/>
  </r>
  <r>
    <n v="293"/>
    <n v="15"/>
    <n v="3"/>
    <n v="2555"/>
    <n v="7665"/>
    <n v="2874.3599999999997"/>
    <s v="Fashion"/>
    <s v="Shoes"/>
    <n v="45869"/>
    <x v="6"/>
  </r>
  <r>
    <n v="294"/>
    <n v="9"/>
    <n v="3"/>
    <n v="1733"/>
    <n v="5199"/>
    <n v="1637.6700000000003"/>
    <s v="Electronics"/>
    <s v="Power Bank"/>
    <n v="45872"/>
    <x v="7"/>
  </r>
  <r>
    <n v="294"/>
    <n v="22"/>
    <n v="4"/>
    <n v="3514"/>
    <n v="14056"/>
    <n v="5903.52"/>
    <s v="Home Appliances"/>
    <s v="Microwave"/>
    <n v="45872"/>
    <x v="7"/>
  </r>
  <r>
    <n v="295"/>
    <n v="16"/>
    <n v="4"/>
    <n v="2692"/>
    <n v="10768"/>
    <n v="3876.4799999999996"/>
    <s v="Fashion"/>
    <s v="Saree"/>
    <n v="45875"/>
    <x v="7"/>
  </r>
  <r>
    <n v="295"/>
    <n v="29"/>
    <n v="1"/>
    <n v="4473"/>
    <n v="4473"/>
    <n v="1408.9899999999998"/>
    <s v="Furniture"/>
    <s v="Chair"/>
    <n v="45875"/>
    <x v="7"/>
  </r>
  <r>
    <n v="296"/>
    <n v="23"/>
    <n v="1"/>
    <n v="3651"/>
    <n v="3651"/>
    <n v="1478.65"/>
    <s v="Home Appliances"/>
    <s v="Fan"/>
    <n v="45878"/>
    <x v="7"/>
  </r>
  <r>
    <n v="296"/>
    <n v="36"/>
    <n v="2"/>
    <n v="5432"/>
    <n v="10864"/>
    <n v="3911.04"/>
    <s v="Sports"/>
    <s v="Cricket Bat"/>
    <n v="45878"/>
    <x v="7"/>
  </r>
  <r>
    <n v="297"/>
    <n v="30"/>
    <n v="2"/>
    <n v="4610"/>
    <n v="9220"/>
    <n v="4149"/>
    <s v="Furniture"/>
    <s v="Table"/>
    <n v="45881"/>
    <x v="7"/>
  </r>
  <r>
    <n v="297"/>
    <n v="43"/>
    <n v="3"/>
    <n v="6391"/>
    <n v="19173"/>
    <n v="7765.0499999999993"/>
    <s v="Beauty"/>
    <s v="Perfume"/>
    <n v="45881"/>
    <x v="7"/>
  </r>
  <r>
    <n v="298"/>
    <n v="37"/>
    <n v="3"/>
    <n v="5569"/>
    <n v="16707"/>
    <n v="5763.9000000000005"/>
    <s v="Sports"/>
    <s v="Football"/>
    <n v="45884"/>
    <x v="7"/>
  </r>
  <r>
    <n v="298"/>
    <n v="50"/>
    <n v="4"/>
    <n v="7350"/>
    <n v="29400"/>
    <n v="13230"/>
    <s v="Toys"/>
    <s v="Building Blocks"/>
    <n v="45884"/>
    <x v="7"/>
  </r>
  <r>
    <n v="299"/>
    <n v="44"/>
    <n v="4"/>
    <n v="6528"/>
    <n v="26112"/>
    <n v="10183.68"/>
    <s v="Beauty"/>
    <s v="Moisturizer"/>
    <n v="45887"/>
    <x v="7"/>
  </r>
  <r>
    <n v="299"/>
    <n v="7"/>
    <n v="1"/>
    <n v="1459"/>
    <n v="1459"/>
    <n v="503.35"/>
    <s v="Electronics"/>
    <s v="Monitor"/>
    <n v="45887"/>
    <x v="7"/>
  </r>
  <r>
    <n v="300"/>
    <n v="1"/>
    <n v="1"/>
    <n v="637"/>
    <n v="637"/>
    <n v="277.08999999999997"/>
    <s v="Electronics"/>
    <s v="Laptop"/>
    <n v="45890"/>
    <x v="7"/>
  </r>
  <r>
    <n v="300"/>
    <n v="14"/>
    <n v="2"/>
    <n v="2418"/>
    <n v="4836"/>
    <n v="1886.04"/>
    <s v="Fashion"/>
    <s v="Jacket"/>
    <n v="45890"/>
    <x v="7"/>
  </r>
  <r>
    <n v="301"/>
    <n v="8"/>
    <n v="2"/>
    <n v="1596"/>
    <n v="3192"/>
    <n v="1053.3600000000001"/>
    <s v="Electronics"/>
    <s v="Tablet"/>
    <n v="45893"/>
    <x v="7"/>
  </r>
  <r>
    <n v="301"/>
    <n v="21"/>
    <n v="3"/>
    <n v="3377"/>
    <n v="10131"/>
    <n v="4406.97"/>
    <s v="Home Appliances"/>
    <s v="Mixer"/>
    <n v="45893"/>
    <x v="7"/>
  </r>
  <r>
    <n v="302"/>
    <n v="15"/>
    <n v="3"/>
    <n v="2555"/>
    <n v="7665"/>
    <n v="2874.3599999999997"/>
    <s v="Fashion"/>
    <s v="Shoes"/>
    <n v="45896"/>
    <x v="7"/>
  </r>
  <r>
    <n v="302"/>
    <n v="28"/>
    <n v="4"/>
    <n v="4336"/>
    <n v="17344"/>
    <n v="5723.52"/>
    <s v="Home &amp; Kitchen"/>
    <s v="Bottle"/>
    <n v="45896"/>
    <x v="7"/>
  </r>
  <r>
    <n v="303"/>
    <n v="22"/>
    <n v="4"/>
    <n v="3514"/>
    <n v="14056"/>
    <n v="5903.52"/>
    <s v="Home Appliances"/>
    <s v="Microwave"/>
    <n v="45899"/>
    <x v="7"/>
  </r>
  <r>
    <n v="303"/>
    <n v="35"/>
    <n v="1"/>
    <n v="5295"/>
    <n v="5295"/>
    <n v="1985.62"/>
    <s v="Books"/>
    <s v="Novel"/>
    <n v="45899"/>
    <x v="7"/>
  </r>
  <r>
    <n v="304"/>
    <n v="29"/>
    <n v="1"/>
    <n v="4473"/>
    <n v="4473"/>
    <n v="1408.9899999999998"/>
    <s v="Furniture"/>
    <s v="Chair"/>
    <n v="45902"/>
    <x v="8"/>
  </r>
  <r>
    <n v="304"/>
    <n v="42"/>
    <n v="2"/>
    <n v="6254"/>
    <n v="12508"/>
    <n v="5253.36"/>
    <s v="Beauty"/>
    <s v="Shampoo"/>
    <n v="45902"/>
    <x v="8"/>
  </r>
  <r>
    <n v="305"/>
    <n v="36"/>
    <n v="2"/>
    <n v="5432"/>
    <n v="10864"/>
    <n v="3911.04"/>
    <s v="Sports"/>
    <s v="Cricket Bat"/>
    <n v="45905"/>
    <x v="8"/>
  </r>
  <r>
    <n v="305"/>
    <n v="49"/>
    <n v="3"/>
    <n v="7213"/>
    <n v="21639"/>
    <n v="6816.27"/>
    <s v="Toys"/>
    <s v="Remote Car"/>
    <n v="45905"/>
    <x v="8"/>
  </r>
  <r>
    <n v="306"/>
    <n v="43"/>
    <n v="3"/>
    <n v="6391"/>
    <n v="19173"/>
    <n v="7765.0499999999993"/>
    <s v="Beauty"/>
    <s v="Perfume"/>
    <n v="45908"/>
    <x v="8"/>
  </r>
  <r>
    <n v="306"/>
    <n v="6"/>
    <n v="4"/>
    <n v="1322"/>
    <n v="5288"/>
    <n v="1903.6799999999998"/>
    <s v="Electronics"/>
    <s v="Mouse"/>
    <n v="45908"/>
    <x v="8"/>
  </r>
  <r>
    <n v="307"/>
    <n v="50"/>
    <n v="4"/>
    <n v="7350"/>
    <n v="29400"/>
    <n v="13230"/>
    <s v="Toys"/>
    <s v="Building Blocks"/>
    <n v="45911"/>
    <x v="8"/>
  </r>
  <r>
    <n v="307"/>
    <n v="13"/>
    <n v="1"/>
    <n v="2281"/>
    <n v="2281"/>
    <n v="923.8"/>
    <s v="Fashion"/>
    <s v="Shirt"/>
    <n v="45911"/>
    <x v="8"/>
  </r>
  <r>
    <n v="308"/>
    <n v="7"/>
    <n v="1"/>
    <n v="1459"/>
    <n v="1459"/>
    <n v="503.35"/>
    <s v="Electronics"/>
    <s v="Monitor"/>
    <n v="45914"/>
    <x v="8"/>
  </r>
  <r>
    <n v="308"/>
    <n v="20"/>
    <n v="2"/>
    <n v="3240"/>
    <n v="6480"/>
    <n v="2916"/>
    <s v="Fashion"/>
    <s v="Belt"/>
    <n v="45914"/>
    <x v="8"/>
  </r>
  <r>
    <n v="309"/>
    <n v="14"/>
    <n v="2"/>
    <n v="2418"/>
    <n v="4836"/>
    <n v="1886.04"/>
    <s v="Fashion"/>
    <s v="Jacket"/>
    <n v="45917"/>
    <x v="8"/>
  </r>
  <r>
    <n v="309"/>
    <n v="27"/>
    <n v="3"/>
    <n v="4199"/>
    <n v="12597"/>
    <n v="4345.9500000000007"/>
    <s v="Home &amp; Kitchen"/>
    <s v="Cookware Set"/>
    <n v="45917"/>
    <x v="8"/>
  </r>
  <r>
    <n v="310"/>
    <n v="21"/>
    <n v="3"/>
    <n v="3377"/>
    <n v="10131"/>
    <n v="4406.97"/>
    <s v="Home Appliances"/>
    <s v="Mixer"/>
    <n v="45920"/>
    <x v="8"/>
  </r>
  <r>
    <n v="310"/>
    <n v="34"/>
    <n v="4"/>
    <n v="5158"/>
    <n v="20632"/>
    <n v="8046.48"/>
    <s v="Books"/>
    <s v="Cookbook"/>
    <n v="45920"/>
    <x v="8"/>
  </r>
  <r>
    <n v="311"/>
    <n v="28"/>
    <n v="4"/>
    <n v="4336"/>
    <n v="17344"/>
    <n v="5723.52"/>
    <s v="Home &amp; Kitchen"/>
    <s v="Bottle"/>
    <n v="45923"/>
    <x v="8"/>
  </r>
  <r>
    <n v="311"/>
    <n v="41"/>
    <n v="1"/>
    <n v="6117"/>
    <n v="6117"/>
    <n v="2660.89"/>
    <s v="Beauty"/>
    <s v="Face Wash"/>
    <n v="45923"/>
    <x v="8"/>
  </r>
  <r>
    <n v="312"/>
    <n v="35"/>
    <n v="1"/>
    <n v="5295"/>
    <n v="5295"/>
    <n v="1985.62"/>
    <s v="Books"/>
    <s v="Novel"/>
    <n v="45926"/>
    <x v="8"/>
  </r>
  <r>
    <n v="312"/>
    <n v="48"/>
    <n v="2"/>
    <n v="7076"/>
    <n v="14152"/>
    <n v="4670.16"/>
    <s v="Toys"/>
    <s v="Board Game"/>
    <n v="45926"/>
    <x v="8"/>
  </r>
  <r>
    <n v="313"/>
    <n v="42"/>
    <n v="2"/>
    <n v="6254"/>
    <n v="12508"/>
    <n v="5253.36"/>
    <s v="Beauty"/>
    <s v="Shampoo"/>
    <n v="45929"/>
    <x v="8"/>
  </r>
  <r>
    <n v="313"/>
    <n v="5"/>
    <n v="3"/>
    <n v="1185"/>
    <n v="3555"/>
    <n v="1333.1399999999999"/>
    <s v="Electronics"/>
    <s v="Keyboard"/>
    <n v="45929"/>
    <x v="8"/>
  </r>
  <r>
    <n v="314"/>
    <n v="49"/>
    <n v="3"/>
    <n v="7213"/>
    <n v="21639"/>
    <n v="6816.27"/>
    <s v="Toys"/>
    <s v="Remote Car"/>
    <n v="45932"/>
    <x v="9"/>
  </r>
  <r>
    <n v="314"/>
    <n v="12"/>
    <n v="4"/>
    <n v="2144"/>
    <n v="8576"/>
    <n v="3601.92"/>
    <s v="Fashion"/>
    <s v="Jeans"/>
    <n v="45932"/>
    <x v="9"/>
  </r>
  <r>
    <n v="315"/>
    <n v="6"/>
    <n v="4"/>
    <n v="1322"/>
    <n v="5288"/>
    <n v="1903.6799999999998"/>
    <s v="Electronics"/>
    <s v="Mouse"/>
    <n v="45935"/>
    <x v="9"/>
  </r>
  <r>
    <n v="315"/>
    <n v="19"/>
    <n v="1"/>
    <n v="3103"/>
    <n v="3103"/>
    <n v="977.44"/>
    <s v="Fashion"/>
    <s v="Wallet"/>
    <n v="45935"/>
    <x v="9"/>
  </r>
  <r>
    <n v="316"/>
    <n v="13"/>
    <n v="1"/>
    <n v="2281"/>
    <n v="2281"/>
    <n v="923.8"/>
    <s v="Fashion"/>
    <s v="Shirt"/>
    <n v="45938"/>
    <x v="9"/>
  </r>
  <r>
    <n v="316"/>
    <n v="26"/>
    <n v="2"/>
    <n v="4062"/>
    <n v="8124"/>
    <n v="2924.6400000000003"/>
    <s v="Home &amp; Kitchen"/>
    <s v="Bedsheet"/>
    <n v="45938"/>
    <x v="9"/>
  </r>
  <r>
    <n v="317"/>
    <n v="20"/>
    <n v="2"/>
    <n v="3240"/>
    <n v="6480"/>
    <n v="2916"/>
    <s v="Fashion"/>
    <s v="Belt"/>
    <n v="45941"/>
    <x v="9"/>
  </r>
  <r>
    <n v="317"/>
    <n v="33"/>
    <n v="3"/>
    <n v="5021"/>
    <n v="15063"/>
    <n v="6100.5"/>
    <s v="Books"/>
    <s v="Pen Set"/>
    <n v="45941"/>
    <x v="9"/>
  </r>
  <r>
    <n v="318"/>
    <n v="27"/>
    <n v="3"/>
    <n v="4199"/>
    <n v="12597"/>
    <n v="4345.9500000000007"/>
    <s v="Home &amp; Kitchen"/>
    <s v="Cookware Set"/>
    <n v="45944"/>
    <x v="9"/>
  </r>
  <r>
    <n v="318"/>
    <n v="40"/>
    <n v="4"/>
    <n v="5980"/>
    <n v="23920"/>
    <n v="10764"/>
    <s v="Sports"/>
    <s v="Dumbbells"/>
    <n v="45944"/>
    <x v="9"/>
  </r>
  <r>
    <n v="319"/>
    <n v="34"/>
    <n v="4"/>
    <n v="5158"/>
    <n v="20632"/>
    <n v="8046.48"/>
    <s v="Books"/>
    <s v="Cookbook"/>
    <n v="45947"/>
    <x v="9"/>
  </r>
  <r>
    <n v="319"/>
    <n v="47"/>
    <n v="1"/>
    <n v="6939"/>
    <n v="6939"/>
    <n v="2393.9499999999998"/>
    <s v="Toys"/>
    <s v="Puzzle"/>
    <n v="45947"/>
    <x v="9"/>
  </r>
  <r>
    <n v="320"/>
    <n v="41"/>
    <n v="1"/>
    <n v="6117"/>
    <n v="6117"/>
    <n v="2660.89"/>
    <s v="Beauty"/>
    <s v="Face Wash"/>
    <n v="45950"/>
    <x v="9"/>
  </r>
  <r>
    <n v="320"/>
    <n v="4"/>
    <n v="2"/>
    <n v="1048"/>
    <n v="2096"/>
    <n v="817.44"/>
    <s v="Electronics"/>
    <s v="Smart Watch"/>
    <n v="45950"/>
    <x v="9"/>
  </r>
  <r>
    <n v="321"/>
    <n v="48"/>
    <n v="2"/>
    <n v="7076"/>
    <n v="14152"/>
    <n v="4670.16"/>
    <s v="Toys"/>
    <s v="Board Game"/>
    <n v="45953"/>
    <x v="9"/>
  </r>
  <r>
    <n v="321"/>
    <n v="11"/>
    <n v="3"/>
    <n v="2007"/>
    <n v="6021"/>
    <n v="2619.12"/>
    <s v="Fashion"/>
    <s v="T-Shirt"/>
    <n v="45953"/>
    <x v="9"/>
  </r>
  <r>
    <n v="322"/>
    <n v="5"/>
    <n v="3"/>
    <n v="1185"/>
    <n v="3555"/>
    <n v="1333.1399999999999"/>
    <s v="Electronics"/>
    <s v="Keyboard"/>
    <n v="45956"/>
    <x v="9"/>
  </r>
  <r>
    <n v="322"/>
    <n v="18"/>
    <n v="4"/>
    <n v="2966"/>
    <n v="11864"/>
    <n v="3915.12"/>
    <s v="Fashion"/>
    <s v="Backpack"/>
    <n v="45956"/>
    <x v="9"/>
  </r>
  <r>
    <n v="323"/>
    <n v="12"/>
    <n v="4"/>
    <n v="2144"/>
    <n v="8576"/>
    <n v="3601.92"/>
    <s v="Fashion"/>
    <s v="Jeans"/>
    <n v="45959"/>
    <x v="9"/>
  </r>
  <r>
    <n v="323"/>
    <n v="25"/>
    <n v="1"/>
    <n v="3925"/>
    <n v="3925"/>
    <n v="1471.88"/>
    <s v="Home Appliances"/>
    <s v="Vacuum Cleaner"/>
    <n v="45959"/>
    <x v="9"/>
  </r>
  <r>
    <n v="324"/>
    <n v="19"/>
    <n v="1"/>
    <n v="3103"/>
    <n v="3103"/>
    <n v="977.44"/>
    <s v="Fashion"/>
    <s v="Wallet"/>
    <n v="45962"/>
    <x v="10"/>
  </r>
  <r>
    <n v="324"/>
    <n v="32"/>
    <n v="2"/>
    <n v="4884"/>
    <n v="9768"/>
    <n v="4102.5600000000004"/>
    <s v="Books"/>
    <s v="Notebook"/>
    <n v="45962"/>
    <x v="10"/>
  </r>
  <r>
    <n v="325"/>
    <n v="26"/>
    <n v="2"/>
    <n v="4062"/>
    <n v="8124"/>
    <n v="2924.6400000000003"/>
    <s v="Home &amp; Kitchen"/>
    <s v="Bedsheet"/>
    <n v="45965"/>
    <x v="10"/>
  </r>
  <r>
    <n v="325"/>
    <n v="39"/>
    <n v="3"/>
    <n v="5843"/>
    <n v="17529"/>
    <n v="5521.62"/>
    <s v="Sports"/>
    <s v="Yoga Mat"/>
    <n v="45965"/>
    <x v="10"/>
  </r>
  <r>
    <n v="326"/>
    <n v="33"/>
    <n v="3"/>
    <n v="5021"/>
    <n v="15063"/>
    <n v="6100.5"/>
    <s v="Books"/>
    <s v="Pen Set"/>
    <n v="45968"/>
    <x v="10"/>
  </r>
  <r>
    <n v="326"/>
    <n v="46"/>
    <n v="4"/>
    <n v="6802"/>
    <n v="27208"/>
    <n v="9794.880000000001"/>
    <s v="Toys"/>
    <s v="Toys Car"/>
    <n v="45968"/>
    <x v="10"/>
  </r>
  <r>
    <n v="327"/>
    <n v="40"/>
    <n v="4"/>
    <n v="5980"/>
    <n v="23920"/>
    <n v="10764"/>
    <s v="Sports"/>
    <s v="Dumbbells"/>
    <n v="45971"/>
    <x v="10"/>
  </r>
  <r>
    <n v="327"/>
    <n v="3"/>
    <n v="1"/>
    <n v="911"/>
    <n v="911"/>
    <n v="368.95000000000005"/>
    <s v="Electronics"/>
    <s v="Headphones"/>
    <n v="45971"/>
    <x v="10"/>
  </r>
  <r>
    <n v="328"/>
    <n v="47"/>
    <n v="1"/>
    <n v="6939"/>
    <n v="6939"/>
    <n v="2393.9499999999998"/>
    <s v="Toys"/>
    <s v="Puzzle"/>
    <n v="45974"/>
    <x v="10"/>
  </r>
  <r>
    <n v="328"/>
    <n v="10"/>
    <n v="2"/>
    <n v="1870"/>
    <n v="3740"/>
    <n v="1683"/>
    <s v="Electronics"/>
    <s v="Earbuds"/>
    <n v="45974"/>
    <x v="10"/>
  </r>
  <r>
    <n v="329"/>
    <n v="4"/>
    <n v="2"/>
    <n v="1048"/>
    <n v="2096"/>
    <n v="817.44"/>
    <s v="Electronics"/>
    <s v="Smart Watch"/>
    <n v="45977"/>
    <x v="10"/>
  </r>
  <r>
    <n v="329"/>
    <n v="17"/>
    <n v="3"/>
    <n v="2829"/>
    <n v="8487"/>
    <n v="2928"/>
    <s v="Fashion"/>
    <s v="Dress"/>
    <n v="45977"/>
    <x v="10"/>
  </r>
  <r>
    <n v="330"/>
    <n v="11"/>
    <n v="3"/>
    <n v="2007"/>
    <n v="6021"/>
    <n v="2619.12"/>
    <s v="Fashion"/>
    <s v="T-Shirt"/>
    <n v="45980"/>
    <x v="10"/>
  </r>
  <r>
    <n v="330"/>
    <n v="24"/>
    <n v="4"/>
    <n v="3788"/>
    <n v="15152"/>
    <n v="5909.2800000000007"/>
    <s v="Home Appliances"/>
    <s v="Iron"/>
    <n v="45980"/>
    <x v="10"/>
  </r>
  <r>
    <n v="331"/>
    <n v="18"/>
    <n v="4"/>
    <n v="2966"/>
    <n v="11864"/>
    <n v="3915.12"/>
    <s v="Fashion"/>
    <s v="Backpack"/>
    <n v="45983"/>
    <x v="10"/>
  </r>
  <r>
    <n v="331"/>
    <n v="31"/>
    <n v="1"/>
    <n v="4747"/>
    <n v="4747"/>
    <n v="2064.94"/>
    <s v="Books"/>
    <s v="Book"/>
    <n v="45983"/>
    <x v="10"/>
  </r>
  <r>
    <n v="332"/>
    <n v="25"/>
    <n v="1"/>
    <n v="3925"/>
    <n v="3925"/>
    <n v="1471.88"/>
    <s v="Home Appliances"/>
    <s v="Vacuum Cleaner"/>
    <n v="45986"/>
    <x v="10"/>
  </r>
  <r>
    <n v="332"/>
    <n v="38"/>
    <n v="2"/>
    <n v="5706"/>
    <n v="11412"/>
    <n v="3765.96"/>
    <s v="Sports"/>
    <s v="Badminton Racket"/>
    <n v="45986"/>
    <x v="10"/>
  </r>
  <r>
    <n v="333"/>
    <n v="32"/>
    <n v="2"/>
    <n v="4884"/>
    <n v="9768"/>
    <n v="4102.5600000000004"/>
    <s v="Books"/>
    <s v="Notebook"/>
    <n v="45989"/>
    <x v="10"/>
  </r>
  <r>
    <n v="333"/>
    <n v="45"/>
    <n v="3"/>
    <n v="6665"/>
    <n v="19995"/>
    <n v="7498.14"/>
    <s v="Beauty"/>
    <s v="Sunscreen"/>
    <n v="45989"/>
    <x v="10"/>
  </r>
  <r>
    <n v="334"/>
    <n v="39"/>
    <n v="3"/>
    <n v="5843"/>
    <n v="17529"/>
    <n v="5521.62"/>
    <s v="Sports"/>
    <s v="Yoga Mat"/>
    <n v="45992"/>
    <x v="11"/>
  </r>
  <r>
    <n v="334"/>
    <n v="2"/>
    <n v="4"/>
    <n v="774"/>
    <n v="3096"/>
    <n v="1300.32"/>
    <s v="Electronics"/>
    <s v="Mobile"/>
    <n v="45992"/>
    <x v="11"/>
  </r>
  <r>
    <n v="335"/>
    <n v="46"/>
    <n v="4"/>
    <n v="6802"/>
    <n v="27208"/>
    <n v="9794.880000000001"/>
    <s v="Toys"/>
    <s v="Toys Car"/>
    <n v="45995"/>
    <x v="11"/>
  </r>
  <r>
    <n v="335"/>
    <n v="9"/>
    <n v="1"/>
    <n v="1733"/>
    <n v="1733"/>
    <n v="545.8900000000001"/>
    <s v="Electronics"/>
    <s v="Power Bank"/>
    <n v="45995"/>
    <x v="11"/>
  </r>
  <r>
    <n v="336"/>
    <n v="3"/>
    <n v="1"/>
    <n v="911"/>
    <n v="911"/>
    <n v="368.95000000000005"/>
    <s v="Electronics"/>
    <s v="Headphones"/>
    <n v="45998"/>
    <x v="11"/>
  </r>
  <r>
    <n v="336"/>
    <n v="16"/>
    <n v="2"/>
    <n v="2692"/>
    <n v="5384"/>
    <n v="1938.2399999999998"/>
    <s v="Fashion"/>
    <s v="Saree"/>
    <n v="45998"/>
    <x v="11"/>
  </r>
  <r>
    <n v="337"/>
    <n v="10"/>
    <n v="2"/>
    <n v="1870"/>
    <n v="3740"/>
    <n v="1683"/>
    <s v="Electronics"/>
    <s v="Earbuds"/>
    <n v="46001"/>
    <x v="11"/>
  </r>
  <r>
    <n v="337"/>
    <n v="23"/>
    <n v="3"/>
    <n v="3651"/>
    <n v="10953"/>
    <n v="4435.9500000000007"/>
    <s v="Home Appliances"/>
    <s v="Fan"/>
    <n v="46001"/>
    <x v="11"/>
  </r>
  <r>
    <n v="338"/>
    <n v="17"/>
    <n v="3"/>
    <n v="2829"/>
    <n v="8487"/>
    <n v="2928"/>
    <s v="Fashion"/>
    <s v="Dress"/>
    <n v="46004"/>
    <x v="11"/>
  </r>
  <r>
    <n v="338"/>
    <n v="30"/>
    <n v="4"/>
    <n v="4610"/>
    <n v="18440"/>
    <n v="8298"/>
    <s v="Furniture"/>
    <s v="Table"/>
    <n v="46004"/>
    <x v="11"/>
  </r>
  <r>
    <n v="339"/>
    <n v="24"/>
    <n v="4"/>
    <n v="3788"/>
    <n v="15152"/>
    <n v="5909.2800000000007"/>
    <s v="Home Appliances"/>
    <s v="Iron"/>
    <n v="46007"/>
    <x v="11"/>
  </r>
  <r>
    <n v="339"/>
    <n v="37"/>
    <n v="1"/>
    <n v="5569"/>
    <n v="5569"/>
    <n v="1921.3000000000002"/>
    <s v="Sports"/>
    <s v="Football"/>
    <n v="46007"/>
    <x v="11"/>
  </r>
  <r>
    <n v="340"/>
    <n v="31"/>
    <n v="1"/>
    <n v="4747"/>
    <n v="4747"/>
    <n v="2064.94"/>
    <s v="Books"/>
    <s v="Book"/>
    <n v="46010"/>
    <x v="11"/>
  </r>
  <r>
    <n v="340"/>
    <n v="44"/>
    <n v="2"/>
    <n v="6528"/>
    <n v="13056"/>
    <n v="5091.84"/>
    <s v="Beauty"/>
    <s v="Moisturizer"/>
    <n v="46010"/>
    <x v="11"/>
  </r>
  <r>
    <n v="341"/>
    <n v="38"/>
    <n v="2"/>
    <n v="5706"/>
    <n v="11412"/>
    <n v="3765.96"/>
    <s v="Sports"/>
    <s v="Badminton Racket"/>
    <n v="46013"/>
    <x v="11"/>
  </r>
  <r>
    <n v="341"/>
    <n v="1"/>
    <n v="3"/>
    <n v="637"/>
    <n v="1911"/>
    <n v="831.27"/>
    <s v="Electronics"/>
    <s v="Laptop"/>
    <n v="46013"/>
    <x v="11"/>
  </r>
  <r>
    <n v="342"/>
    <n v="45"/>
    <n v="3"/>
    <n v="6665"/>
    <n v="19995"/>
    <n v="7498.14"/>
    <s v="Beauty"/>
    <s v="Sunscreen"/>
    <n v="46016"/>
    <x v="11"/>
  </r>
  <r>
    <n v="342"/>
    <n v="8"/>
    <n v="4"/>
    <n v="1596"/>
    <n v="6384"/>
    <n v="2106.7200000000003"/>
    <s v="Electronics"/>
    <s v="Tablet"/>
    <n v="46016"/>
    <x v="11"/>
  </r>
  <r>
    <n v="343"/>
    <n v="2"/>
    <n v="4"/>
    <n v="774"/>
    <n v="3096"/>
    <n v="1300.32"/>
    <s v="Electronics"/>
    <s v="Mobile"/>
    <n v="46019"/>
    <x v="11"/>
  </r>
  <r>
    <n v="343"/>
    <n v="15"/>
    <n v="1"/>
    <n v="2555"/>
    <n v="2555"/>
    <n v="958.11999999999989"/>
    <s v="Fashion"/>
    <s v="Shoes"/>
    <n v="46019"/>
    <x v="11"/>
  </r>
  <r>
    <n v="344"/>
    <n v="9"/>
    <n v="1"/>
    <n v="1733"/>
    <n v="1733"/>
    <n v="545.8900000000001"/>
    <s v="Electronics"/>
    <s v="Power Bank"/>
    <n v="46022"/>
    <x v="11"/>
  </r>
  <r>
    <n v="344"/>
    <n v="22"/>
    <n v="2"/>
    <n v="3514"/>
    <n v="7028"/>
    <n v="2951.76"/>
    <s v="Home Appliances"/>
    <s v="Microwave"/>
    <n v="46022"/>
    <x v="11"/>
  </r>
  <r>
    <n v="345"/>
    <n v="16"/>
    <n v="2"/>
    <n v="2692"/>
    <n v="5384"/>
    <n v="1938.2399999999998"/>
    <s v="Fashion"/>
    <s v="Saree"/>
    <n v="45660"/>
    <x v="0"/>
  </r>
  <r>
    <n v="345"/>
    <n v="29"/>
    <n v="3"/>
    <n v="4473"/>
    <n v="13419"/>
    <n v="4226.9699999999993"/>
    <s v="Furniture"/>
    <s v="Chair"/>
    <n v="45660"/>
    <x v="0"/>
  </r>
  <r>
    <n v="346"/>
    <n v="23"/>
    <n v="3"/>
    <n v="3651"/>
    <n v="10953"/>
    <n v="4435.9500000000007"/>
    <s v="Home Appliances"/>
    <s v="Fan"/>
    <n v="45663"/>
    <x v="0"/>
  </r>
  <r>
    <n v="346"/>
    <n v="36"/>
    <n v="4"/>
    <n v="5432"/>
    <n v="21728"/>
    <n v="7822.08"/>
    <s v="Sports"/>
    <s v="Cricket Bat"/>
    <n v="45663"/>
    <x v="0"/>
  </r>
  <r>
    <n v="347"/>
    <n v="30"/>
    <n v="4"/>
    <n v="4610"/>
    <n v="18440"/>
    <n v="8298"/>
    <s v="Furniture"/>
    <s v="Table"/>
    <n v="45666"/>
    <x v="0"/>
  </r>
  <r>
    <n v="347"/>
    <n v="43"/>
    <n v="1"/>
    <n v="6391"/>
    <n v="6391"/>
    <n v="2588.35"/>
    <s v="Beauty"/>
    <s v="Perfume"/>
    <n v="45666"/>
    <x v="0"/>
  </r>
  <r>
    <n v="348"/>
    <n v="37"/>
    <n v="1"/>
    <n v="5569"/>
    <n v="5569"/>
    <n v="1921.3000000000002"/>
    <s v="Sports"/>
    <s v="Football"/>
    <n v="45669"/>
    <x v="0"/>
  </r>
  <r>
    <n v="348"/>
    <n v="50"/>
    <n v="2"/>
    <n v="7350"/>
    <n v="14700"/>
    <n v="6615"/>
    <s v="Toys"/>
    <s v="Building Blocks"/>
    <n v="45669"/>
    <x v="0"/>
  </r>
  <r>
    <n v="349"/>
    <n v="44"/>
    <n v="2"/>
    <n v="6528"/>
    <n v="13056"/>
    <n v="5091.84"/>
    <s v="Beauty"/>
    <s v="Moisturizer"/>
    <n v="45672"/>
    <x v="0"/>
  </r>
  <r>
    <n v="349"/>
    <n v="7"/>
    <n v="3"/>
    <n v="1459"/>
    <n v="4377"/>
    <n v="1510.0500000000002"/>
    <s v="Electronics"/>
    <s v="Monitor"/>
    <n v="45672"/>
    <x v="0"/>
  </r>
  <r>
    <n v="350"/>
    <n v="1"/>
    <n v="3"/>
    <n v="637"/>
    <n v="1911"/>
    <n v="831.27"/>
    <s v="Electronics"/>
    <s v="Laptop"/>
    <n v="45675"/>
    <x v="0"/>
  </r>
  <r>
    <n v="350"/>
    <n v="14"/>
    <n v="4"/>
    <n v="2418"/>
    <n v="9672"/>
    <n v="3772.08"/>
    <s v="Fashion"/>
    <s v="Jacket"/>
    <n v="45675"/>
    <x v="0"/>
  </r>
  <r>
    <n v="351"/>
    <n v="8"/>
    <n v="4"/>
    <n v="1596"/>
    <n v="6384"/>
    <n v="2106.7200000000003"/>
    <s v="Electronics"/>
    <s v="Tablet"/>
    <n v="45678"/>
    <x v="0"/>
  </r>
  <r>
    <n v="351"/>
    <n v="21"/>
    <n v="1"/>
    <n v="3377"/>
    <n v="3377"/>
    <n v="1468.99"/>
    <s v="Home Appliances"/>
    <s v="Mixer"/>
    <n v="45678"/>
    <x v="0"/>
  </r>
  <r>
    <n v="352"/>
    <n v="15"/>
    <n v="1"/>
    <n v="2555"/>
    <n v="2555"/>
    <n v="958.11999999999989"/>
    <s v="Fashion"/>
    <s v="Shoes"/>
    <n v="45681"/>
    <x v="0"/>
  </r>
  <r>
    <n v="352"/>
    <n v="28"/>
    <n v="2"/>
    <n v="4336"/>
    <n v="8672"/>
    <n v="2861.76"/>
    <s v="Home &amp; Kitchen"/>
    <s v="Bottle"/>
    <n v="45681"/>
    <x v="0"/>
  </r>
  <r>
    <n v="353"/>
    <n v="22"/>
    <n v="2"/>
    <n v="3514"/>
    <n v="7028"/>
    <n v="2951.76"/>
    <s v="Home Appliances"/>
    <s v="Microwave"/>
    <n v="45684"/>
    <x v="0"/>
  </r>
  <r>
    <n v="353"/>
    <n v="35"/>
    <n v="3"/>
    <n v="5295"/>
    <n v="15885"/>
    <n v="5956.86"/>
    <s v="Books"/>
    <s v="Novel"/>
    <n v="45684"/>
    <x v="0"/>
  </r>
  <r>
    <n v="354"/>
    <n v="29"/>
    <n v="3"/>
    <n v="4473"/>
    <n v="13419"/>
    <n v="4226.9699999999993"/>
    <s v="Furniture"/>
    <s v="Chair"/>
    <n v="45687"/>
    <x v="0"/>
  </r>
  <r>
    <n v="354"/>
    <n v="42"/>
    <n v="4"/>
    <n v="6254"/>
    <n v="25016"/>
    <n v="10506.72"/>
    <s v="Beauty"/>
    <s v="Shampoo"/>
    <n v="45687"/>
    <x v="0"/>
  </r>
  <r>
    <n v="355"/>
    <n v="36"/>
    <n v="4"/>
    <n v="5432"/>
    <n v="21728"/>
    <n v="7822.08"/>
    <s v="Sports"/>
    <s v="Cricket Bat"/>
    <n v="45690"/>
    <x v="1"/>
  </r>
  <r>
    <n v="355"/>
    <n v="49"/>
    <n v="1"/>
    <n v="7213"/>
    <n v="7213"/>
    <n v="2272.09"/>
    <s v="Toys"/>
    <s v="Remote Car"/>
    <n v="45690"/>
    <x v="1"/>
  </r>
  <r>
    <n v="356"/>
    <n v="43"/>
    <n v="1"/>
    <n v="6391"/>
    <n v="6391"/>
    <n v="2588.35"/>
    <s v="Beauty"/>
    <s v="Perfume"/>
    <n v="45693"/>
    <x v="1"/>
  </r>
  <r>
    <n v="356"/>
    <n v="6"/>
    <n v="2"/>
    <n v="1322"/>
    <n v="2644"/>
    <n v="951.83999999999992"/>
    <s v="Electronics"/>
    <s v="Mouse"/>
    <n v="45693"/>
    <x v="1"/>
  </r>
  <r>
    <n v="357"/>
    <n v="50"/>
    <n v="2"/>
    <n v="7350"/>
    <n v="14700"/>
    <n v="6615"/>
    <s v="Toys"/>
    <s v="Building Blocks"/>
    <n v="45696"/>
    <x v="1"/>
  </r>
  <r>
    <n v="357"/>
    <n v="13"/>
    <n v="3"/>
    <n v="2281"/>
    <n v="6843"/>
    <n v="2771.3999999999996"/>
    <s v="Fashion"/>
    <s v="Shirt"/>
    <n v="45696"/>
    <x v="1"/>
  </r>
  <r>
    <n v="358"/>
    <n v="7"/>
    <n v="3"/>
    <n v="1459"/>
    <n v="4377"/>
    <n v="1510.0500000000002"/>
    <s v="Electronics"/>
    <s v="Monitor"/>
    <n v="45699"/>
    <x v="1"/>
  </r>
  <r>
    <n v="358"/>
    <n v="20"/>
    <n v="4"/>
    <n v="3240"/>
    <n v="12960"/>
    <n v="5832"/>
    <s v="Fashion"/>
    <s v="Belt"/>
    <n v="45699"/>
    <x v="1"/>
  </r>
  <r>
    <n v="359"/>
    <n v="14"/>
    <n v="4"/>
    <n v="2418"/>
    <n v="9672"/>
    <n v="3772.08"/>
    <s v="Fashion"/>
    <s v="Jacket"/>
    <n v="45702"/>
    <x v="1"/>
  </r>
  <r>
    <n v="359"/>
    <n v="27"/>
    <n v="1"/>
    <n v="4199"/>
    <n v="4199"/>
    <n v="1448.65"/>
    <s v="Home &amp; Kitchen"/>
    <s v="Cookware Set"/>
    <n v="45702"/>
    <x v="1"/>
  </r>
  <r>
    <n v="360"/>
    <n v="21"/>
    <n v="1"/>
    <n v="3377"/>
    <n v="3377"/>
    <n v="1468.99"/>
    <s v="Home Appliances"/>
    <s v="Mixer"/>
    <n v="45705"/>
    <x v="1"/>
  </r>
  <r>
    <n v="360"/>
    <n v="34"/>
    <n v="2"/>
    <n v="5158"/>
    <n v="10316"/>
    <n v="4023.24"/>
    <s v="Books"/>
    <s v="Cookbook"/>
    <n v="45705"/>
    <x v="1"/>
  </r>
  <r>
    <n v="361"/>
    <n v="28"/>
    <n v="2"/>
    <n v="4336"/>
    <n v="8672"/>
    <n v="2861.76"/>
    <s v="Home &amp; Kitchen"/>
    <s v="Bottle"/>
    <n v="45708"/>
    <x v="1"/>
  </r>
  <r>
    <n v="361"/>
    <n v="41"/>
    <n v="3"/>
    <n v="6117"/>
    <n v="18351"/>
    <n v="7982.67"/>
    <s v="Beauty"/>
    <s v="Face Wash"/>
    <n v="45708"/>
    <x v="1"/>
  </r>
  <r>
    <n v="362"/>
    <n v="35"/>
    <n v="3"/>
    <n v="5295"/>
    <n v="15885"/>
    <n v="5956.86"/>
    <s v="Books"/>
    <s v="Novel"/>
    <n v="45711"/>
    <x v="1"/>
  </r>
  <r>
    <n v="362"/>
    <n v="48"/>
    <n v="4"/>
    <n v="7076"/>
    <n v="28304"/>
    <n v="9340.32"/>
    <s v="Toys"/>
    <s v="Board Game"/>
    <n v="45711"/>
    <x v="1"/>
  </r>
  <r>
    <n v="363"/>
    <n v="42"/>
    <n v="4"/>
    <n v="6254"/>
    <n v="25016"/>
    <n v="10506.72"/>
    <s v="Beauty"/>
    <s v="Shampoo"/>
    <n v="45714"/>
    <x v="1"/>
  </r>
  <r>
    <n v="363"/>
    <n v="5"/>
    <n v="1"/>
    <n v="1185"/>
    <n v="1185"/>
    <n v="444.38"/>
    <s v="Electronics"/>
    <s v="Keyboard"/>
    <n v="45714"/>
    <x v="1"/>
  </r>
  <r>
    <n v="364"/>
    <n v="49"/>
    <n v="1"/>
    <n v="7213"/>
    <n v="7213"/>
    <n v="2272.09"/>
    <s v="Toys"/>
    <s v="Remote Car"/>
    <n v="45717"/>
    <x v="2"/>
  </r>
  <r>
    <n v="364"/>
    <n v="12"/>
    <n v="2"/>
    <n v="2144"/>
    <n v="4288"/>
    <n v="1800.96"/>
    <s v="Fashion"/>
    <s v="Jeans"/>
    <n v="45717"/>
    <x v="2"/>
  </r>
  <r>
    <n v="365"/>
    <n v="6"/>
    <n v="2"/>
    <n v="1322"/>
    <n v="2644"/>
    <n v="951.83999999999992"/>
    <s v="Electronics"/>
    <s v="Mouse"/>
    <n v="45720"/>
    <x v="2"/>
  </r>
  <r>
    <n v="365"/>
    <n v="19"/>
    <n v="3"/>
    <n v="3103"/>
    <n v="9309"/>
    <n v="2932.32"/>
    <s v="Fashion"/>
    <s v="Wallet"/>
    <n v="45720"/>
    <x v="2"/>
  </r>
  <r>
    <n v="366"/>
    <n v="13"/>
    <n v="3"/>
    <n v="2281"/>
    <n v="6843"/>
    <n v="2771.3999999999996"/>
    <s v="Fashion"/>
    <s v="Shirt"/>
    <n v="45723"/>
    <x v="2"/>
  </r>
  <r>
    <n v="366"/>
    <n v="26"/>
    <n v="4"/>
    <n v="4062"/>
    <n v="16248"/>
    <n v="5849.2800000000007"/>
    <s v="Home &amp; Kitchen"/>
    <s v="Bedsheet"/>
    <n v="45723"/>
    <x v="2"/>
  </r>
  <r>
    <n v="367"/>
    <n v="20"/>
    <n v="4"/>
    <n v="3240"/>
    <n v="12960"/>
    <n v="5832"/>
    <s v="Fashion"/>
    <s v="Belt"/>
    <n v="45726"/>
    <x v="2"/>
  </r>
  <r>
    <n v="367"/>
    <n v="33"/>
    <n v="1"/>
    <n v="5021"/>
    <n v="5021"/>
    <n v="2033.5"/>
    <s v="Books"/>
    <s v="Pen Set"/>
    <n v="45726"/>
    <x v="2"/>
  </r>
  <r>
    <n v="368"/>
    <n v="27"/>
    <n v="1"/>
    <n v="4199"/>
    <n v="4199"/>
    <n v="1448.65"/>
    <s v="Home &amp; Kitchen"/>
    <s v="Cookware Set"/>
    <n v="45729"/>
    <x v="2"/>
  </r>
  <r>
    <n v="368"/>
    <n v="40"/>
    <n v="2"/>
    <n v="5980"/>
    <n v="11960"/>
    <n v="5382"/>
    <s v="Sports"/>
    <s v="Dumbbells"/>
    <n v="45729"/>
    <x v="2"/>
  </r>
  <r>
    <n v="369"/>
    <n v="34"/>
    <n v="2"/>
    <n v="5158"/>
    <n v="10316"/>
    <n v="4023.24"/>
    <s v="Books"/>
    <s v="Cookbook"/>
    <n v="45732"/>
    <x v="2"/>
  </r>
  <r>
    <n v="369"/>
    <n v="47"/>
    <n v="3"/>
    <n v="6939"/>
    <n v="20817"/>
    <n v="7181.8499999999995"/>
    <s v="Toys"/>
    <s v="Puzzle"/>
    <n v="45732"/>
    <x v="2"/>
  </r>
  <r>
    <n v="370"/>
    <n v="41"/>
    <n v="3"/>
    <n v="6117"/>
    <n v="18351"/>
    <n v="7982.67"/>
    <s v="Beauty"/>
    <s v="Face Wash"/>
    <n v="45735"/>
    <x v="2"/>
  </r>
  <r>
    <n v="370"/>
    <n v="4"/>
    <n v="4"/>
    <n v="1048"/>
    <n v="4192"/>
    <n v="1634.88"/>
    <s v="Electronics"/>
    <s v="Smart Watch"/>
    <n v="45735"/>
    <x v="2"/>
  </r>
  <r>
    <n v="371"/>
    <n v="48"/>
    <n v="4"/>
    <n v="7076"/>
    <n v="28304"/>
    <n v="9340.32"/>
    <s v="Toys"/>
    <s v="Board Game"/>
    <n v="45738"/>
    <x v="2"/>
  </r>
  <r>
    <n v="371"/>
    <n v="11"/>
    <n v="1"/>
    <n v="2007"/>
    <n v="2007"/>
    <n v="873.04"/>
    <s v="Fashion"/>
    <s v="T-Shirt"/>
    <n v="45738"/>
    <x v="2"/>
  </r>
  <r>
    <n v="372"/>
    <n v="5"/>
    <n v="1"/>
    <n v="1185"/>
    <n v="1185"/>
    <n v="444.38"/>
    <s v="Electronics"/>
    <s v="Keyboard"/>
    <n v="45741"/>
    <x v="2"/>
  </r>
  <r>
    <n v="372"/>
    <n v="18"/>
    <n v="2"/>
    <n v="2966"/>
    <n v="5932"/>
    <n v="1957.56"/>
    <s v="Fashion"/>
    <s v="Backpack"/>
    <n v="45741"/>
    <x v="2"/>
  </r>
  <r>
    <n v="373"/>
    <n v="12"/>
    <n v="2"/>
    <n v="2144"/>
    <n v="4288"/>
    <n v="1800.96"/>
    <s v="Fashion"/>
    <s v="Jeans"/>
    <n v="45744"/>
    <x v="2"/>
  </r>
  <r>
    <n v="373"/>
    <n v="25"/>
    <n v="3"/>
    <n v="3925"/>
    <n v="11775"/>
    <n v="4415.6400000000003"/>
    <s v="Home Appliances"/>
    <s v="Vacuum Cleaner"/>
    <n v="45744"/>
    <x v="2"/>
  </r>
  <r>
    <n v="374"/>
    <n v="19"/>
    <n v="3"/>
    <n v="3103"/>
    <n v="9309"/>
    <n v="2932.32"/>
    <s v="Fashion"/>
    <s v="Wallet"/>
    <n v="45747"/>
    <x v="2"/>
  </r>
  <r>
    <n v="374"/>
    <n v="32"/>
    <n v="4"/>
    <n v="4884"/>
    <n v="19536"/>
    <n v="8205.1200000000008"/>
    <s v="Books"/>
    <s v="Notebook"/>
    <n v="45747"/>
    <x v="2"/>
  </r>
  <r>
    <n v="375"/>
    <n v="26"/>
    <n v="4"/>
    <n v="4062"/>
    <n v="16248"/>
    <n v="5849.2800000000007"/>
    <s v="Home &amp; Kitchen"/>
    <s v="Bedsheet"/>
    <n v="45750"/>
    <x v="3"/>
  </r>
  <r>
    <n v="375"/>
    <n v="39"/>
    <n v="1"/>
    <n v="5843"/>
    <n v="5843"/>
    <n v="1840.54"/>
    <s v="Sports"/>
    <s v="Yoga Mat"/>
    <n v="45750"/>
    <x v="3"/>
  </r>
  <r>
    <n v="376"/>
    <n v="33"/>
    <n v="1"/>
    <n v="5021"/>
    <n v="5021"/>
    <n v="2033.5"/>
    <s v="Books"/>
    <s v="Pen Set"/>
    <n v="45753"/>
    <x v="3"/>
  </r>
  <r>
    <n v="376"/>
    <n v="46"/>
    <n v="2"/>
    <n v="6802"/>
    <n v="13604"/>
    <n v="4897.4400000000005"/>
    <s v="Toys"/>
    <s v="Toys Car"/>
    <n v="45753"/>
    <x v="3"/>
  </r>
  <r>
    <n v="377"/>
    <n v="40"/>
    <n v="2"/>
    <n v="5980"/>
    <n v="11960"/>
    <n v="5382"/>
    <s v="Sports"/>
    <s v="Dumbbells"/>
    <n v="45756"/>
    <x v="3"/>
  </r>
  <r>
    <n v="377"/>
    <n v="3"/>
    <n v="3"/>
    <n v="911"/>
    <n v="2733"/>
    <n v="1106.8500000000001"/>
    <s v="Electronics"/>
    <s v="Headphones"/>
    <n v="45756"/>
    <x v="3"/>
  </r>
  <r>
    <n v="378"/>
    <n v="47"/>
    <n v="3"/>
    <n v="6939"/>
    <n v="20817"/>
    <n v="7181.8499999999995"/>
    <s v="Toys"/>
    <s v="Puzzle"/>
    <n v="45759"/>
    <x v="3"/>
  </r>
  <r>
    <n v="378"/>
    <n v="10"/>
    <n v="4"/>
    <n v="1870"/>
    <n v="7480"/>
    <n v="3366"/>
    <s v="Electronics"/>
    <s v="Earbuds"/>
    <n v="45759"/>
    <x v="3"/>
  </r>
  <r>
    <n v="379"/>
    <n v="4"/>
    <n v="4"/>
    <n v="1048"/>
    <n v="4192"/>
    <n v="1634.88"/>
    <s v="Electronics"/>
    <s v="Smart Watch"/>
    <n v="45762"/>
    <x v="3"/>
  </r>
  <r>
    <n v="379"/>
    <n v="17"/>
    <n v="1"/>
    <n v="2829"/>
    <n v="2829"/>
    <n v="976"/>
    <s v="Fashion"/>
    <s v="Dress"/>
    <n v="45762"/>
    <x v="3"/>
  </r>
  <r>
    <n v="380"/>
    <n v="11"/>
    <n v="1"/>
    <n v="2007"/>
    <n v="2007"/>
    <n v="873.04"/>
    <s v="Fashion"/>
    <s v="T-Shirt"/>
    <n v="45765"/>
    <x v="3"/>
  </r>
  <r>
    <n v="380"/>
    <n v="24"/>
    <n v="2"/>
    <n v="3788"/>
    <n v="7576"/>
    <n v="2954.6400000000003"/>
    <s v="Home Appliances"/>
    <s v="Iron"/>
    <n v="45765"/>
    <x v="3"/>
  </r>
  <r>
    <n v="381"/>
    <n v="18"/>
    <n v="2"/>
    <n v="2966"/>
    <n v="5932"/>
    <n v="1957.56"/>
    <s v="Fashion"/>
    <s v="Backpack"/>
    <n v="45768"/>
    <x v="3"/>
  </r>
  <r>
    <n v="381"/>
    <n v="31"/>
    <n v="3"/>
    <n v="4747"/>
    <n v="14241"/>
    <n v="6194.82"/>
    <s v="Books"/>
    <s v="Book"/>
    <n v="45768"/>
    <x v="3"/>
  </r>
  <r>
    <n v="382"/>
    <n v="25"/>
    <n v="3"/>
    <n v="3925"/>
    <n v="11775"/>
    <n v="4415.6400000000003"/>
    <s v="Home Appliances"/>
    <s v="Vacuum Cleaner"/>
    <n v="45771"/>
    <x v="3"/>
  </r>
  <r>
    <n v="382"/>
    <n v="38"/>
    <n v="4"/>
    <n v="5706"/>
    <n v="22824"/>
    <n v="7531.92"/>
    <s v="Sports"/>
    <s v="Badminton Racket"/>
    <n v="45771"/>
    <x v="3"/>
  </r>
  <r>
    <n v="383"/>
    <n v="32"/>
    <n v="4"/>
    <n v="4884"/>
    <n v="19536"/>
    <n v="8205.1200000000008"/>
    <s v="Books"/>
    <s v="Notebook"/>
    <n v="45774"/>
    <x v="3"/>
  </r>
  <r>
    <n v="383"/>
    <n v="45"/>
    <n v="1"/>
    <n v="6665"/>
    <n v="6665"/>
    <n v="2499.38"/>
    <s v="Beauty"/>
    <s v="Sunscreen"/>
    <n v="45774"/>
    <x v="3"/>
  </r>
  <r>
    <n v="384"/>
    <n v="39"/>
    <n v="1"/>
    <n v="5843"/>
    <n v="5843"/>
    <n v="1840.54"/>
    <s v="Sports"/>
    <s v="Yoga Mat"/>
    <n v="45777"/>
    <x v="3"/>
  </r>
  <r>
    <n v="384"/>
    <n v="2"/>
    <n v="2"/>
    <n v="774"/>
    <n v="1548"/>
    <n v="650.16"/>
    <s v="Electronics"/>
    <s v="Mobile"/>
    <n v="45777"/>
    <x v="3"/>
  </r>
  <r>
    <n v="385"/>
    <n v="46"/>
    <n v="2"/>
    <n v="6802"/>
    <n v="13604"/>
    <n v="4897.4400000000005"/>
    <s v="Toys"/>
    <s v="Toys Car"/>
    <n v="45780"/>
    <x v="4"/>
  </r>
  <r>
    <n v="385"/>
    <n v="9"/>
    <n v="3"/>
    <n v="1733"/>
    <n v="5199"/>
    <n v="1637.6700000000003"/>
    <s v="Electronics"/>
    <s v="Power Bank"/>
    <n v="45780"/>
    <x v="4"/>
  </r>
  <r>
    <n v="386"/>
    <n v="3"/>
    <n v="3"/>
    <n v="911"/>
    <n v="2733"/>
    <n v="1106.8500000000001"/>
    <s v="Electronics"/>
    <s v="Headphones"/>
    <n v="45783"/>
    <x v="4"/>
  </r>
  <r>
    <n v="386"/>
    <n v="16"/>
    <n v="4"/>
    <n v="2692"/>
    <n v="10768"/>
    <n v="3876.4799999999996"/>
    <s v="Fashion"/>
    <s v="Saree"/>
    <n v="45783"/>
    <x v="4"/>
  </r>
  <r>
    <n v="387"/>
    <n v="10"/>
    <n v="4"/>
    <n v="1870"/>
    <n v="7480"/>
    <n v="3366"/>
    <s v="Electronics"/>
    <s v="Earbuds"/>
    <n v="45786"/>
    <x v="4"/>
  </r>
  <r>
    <n v="387"/>
    <n v="23"/>
    <n v="1"/>
    <n v="3651"/>
    <n v="3651"/>
    <n v="1478.65"/>
    <s v="Home Appliances"/>
    <s v="Fan"/>
    <n v="45786"/>
    <x v="4"/>
  </r>
  <r>
    <n v="388"/>
    <n v="17"/>
    <n v="1"/>
    <n v="2829"/>
    <n v="2829"/>
    <n v="976"/>
    <s v="Fashion"/>
    <s v="Dress"/>
    <n v="45789"/>
    <x v="4"/>
  </r>
  <r>
    <n v="388"/>
    <n v="30"/>
    <n v="2"/>
    <n v="4610"/>
    <n v="9220"/>
    <n v="4149"/>
    <s v="Furniture"/>
    <s v="Table"/>
    <n v="45789"/>
    <x v="4"/>
  </r>
  <r>
    <n v="389"/>
    <n v="24"/>
    <n v="2"/>
    <n v="3788"/>
    <n v="7576"/>
    <n v="2954.6400000000003"/>
    <s v="Home Appliances"/>
    <s v="Iron"/>
    <n v="45792"/>
    <x v="4"/>
  </r>
  <r>
    <n v="389"/>
    <n v="37"/>
    <n v="3"/>
    <n v="5569"/>
    <n v="16707"/>
    <n v="5763.9000000000005"/>
    <s v="Sports"/>
    <s v="Football"/>
    <n v="45792"/>
    <x v="4"/>
  </r>
  <r>
    <n v="390"/>
    <n v="31"/>
    <n v="3"/>
    <n v="4747"/>
    <n v="14241"/>
    <n v="6194.82"/>
    <s v="Books"/>
    <s v="Book"/>
    <n v="45795"/>
    <x v="4"/>
  </r>
  <r>
    <n v="390"/>
    <n v="44"/>
    <n v="4"/>
    <n v="6528"/>
    <n v="26112"/>
    <n v="10183.68"/>
    <s v="Beauty"/>
    <s v="Moisturizer"/>
    <n v="45795"/>
    <x v="4"/>
  </r>
  <r>
    <n v="391"/>
    <n v="38"/>
    <n v="4"/>
    <n v="5706"/>
    <n v="22824"/>
    <n v="7531.92"/>
    <s v="Sports"/>
    <s v="Badminton Racket"/>
    <n v="45798"/>
    <x v="4"/>
  </r>
  <r>
    <n v="391"/>
    <n v="1"/>
    <n v="1"/>
    <n v="637"/>
    <n v="637"/>
    <n v="277.08999999999997"/>
    <s v="Electronics"/>
    <s v="Laptop"/>
    <n v="45798"/>
    <x v="4"/>
  </r>
  <r>
    <n v="392"/>
    <n v="45"/>
    <n v="1"/>
    <n v="6665"/>
    <n v="6665"/>
    <n v="2499.38"/>
    <s v="Beauty"/>
    <s v="Sunscreen"/>
    <n v="45801"/>
    <x v="4"/>
  </r>
  <r>
    <n v="392"/>
    <n v="8"/>
    <n v="2"/>
    <n v="1596"/>
    <n v="3192"/>
    <n v="1053.3600000000001"/>
    <s v="Electronics"/>
    <s v="Tablet"/>
    <n v="45801"/>
    <x v="4"/>
  </r>
  <r>
    <n v="393"/>
    <n v="2"/>
    <n v="2"/>
    <n v="774"/>
    <n v="1548"/>
    <n v="650.16"/>
    <s v="Electronics"/>
    <s v="Mobile"/>
    <n v="45804"/>
    <x v="4"/>
  </r>
  <r>
    <n v="393"/>
    <n v="15"/>
    <n v="3"/>
    <n v="2555"/>
    <n v="7665"/>
    <n v="2874.3599999999997"/>
    <s v="Fashion"/>
    <s v="Shoes"/>
    <n v="45804"/>
    <x v="4"/>
  </r>
  <r>
    <n v="394"/>
    <n v="9"/>
    <n v="3"/>
    <n v="1733"/>
    <n v="5199"/>
    <n v="1637.6700000000003"/>
    <s v="Electronics"/>
    <s v="Power Bank"/>
    <n v="45807"/>
    <x v="4"/>
  </r>
  <r>
    <n v="394"/>
    <n v="22"/>
    <n v="4"/>
    <n v="3514"/>
    <n v="14056"/>
    <n v="5903.52"/>
    <s v="Home Appliances"/>
    <s v="Microwave"/>
    <n v="45807"/>
    <x v="4"/>
  </r>
  <r>
    <n v="395"/>
    <n v="16"/>
    <n v="4"/>
    <n v="2692"/>
    <n v="10768"/>
    <n v="3876.4799999999996"/>
    <s v="Fashion"/>
    <s v="Saree"/>
    <n v="45810"/>
    <x v="5"/>
  </r>
  <r>
    <n v="395"/>
    <n v="29"/>
    <n v="1"/>
    <n v="4473"/>
    <n v="4473"/>
    <n v="1408.9899999999998"/>
    <s v="Furniture"/>
    <s v="Chair"/>
    <n v="45810"/>
    <x v="5"/>
  </r>
  <r>
    <n v="396"/>
    <n v="23"/>
    <n v="1"/>
    <n v="3651"/>
    <n v="3651"/>
    <n v="1478.65"/>
    <s v="Home Appliances"/>
    <s v="Fan"/>
    <n v="45813"/>
    <x v="5"/>
  </r>
  <r>
    <n v="396"/>
    <n v="36"/>
    <n v="2"/>
    <n v="5432"/>
    <n v="10864"/>
    <n v="3911.04"/>
    <s v="Sports"/>
    <s v="Cricket Bat"/>
    <n v="45813"/>
    <x v="5"/>
  </r>
  <r>
    <n v="397"/>
    <n v="30"/>
    <n v="2"/>
    <n v="4610"/>
    <n v="9220"/>
    <n v="4149"/>
    <s v="Furniture"/>
    <s v="Table"/>
    <n v="45816"/>
    <x v="5"/>
  </r>
  <r>
    <n v="397"/>
    <n v="43"/>
    <n v="3"/>
    <n v="6391"/>
    <n v="19173"/>
    <n v="7765.0499999999993"/>
    <s v="Beauty"/>
    <s v="Perfume"/>
    <n v="45816"/>
    <x v="5"/>
  </r>
  <r>
    <n v="398"/>
    <n v="37"/>
    <n v="3"/>
    <n v="5569"/>
    <n v="16707"/>
    <n v="5763.9000000000005"/>
    <s v="Sports"/>
    <s v="Football"/>
    <n v="45819"/>
    <x v="5"/>
  </r>
  <r>
    <n v="398"/>
    <n v="50"/>
    <n v="4"/>
    <n v="7350"/>
    <n v="29400"/>
    <n v="13230"/>
    <s v="Toys"/>
    <s v="Building Blocks"/>
    <n v="45819"/>
    <x v="5"/>
  </r>
  <r>
    <n v="399"/>
    <n v="44"/>
    <n v="4"/>
    <n v="6528"/>
    <n v="26112"/>
    <n v="10183.68"/>
    <s v="Beauty"/>
    <s v="Moisturizer"/>
    <n v="45822"/>
    <x v="5"/>
  </r>
  <r>
    <n v="399"/>
    <n v="7"/>
    <n v="1"/>
    <n v="1459"/>
    <n v="1459"/>
    <n v="503.35"/>
    <s v="Electronics"/>
    <s v="Monitor"/>
    <n v="45822"/>
    <x v="5"/>
  </r>
  <r>
    <n v="400"/>
    <n v="1"/>
    <n v="1"/>
    <n v="637"/>
    <n v="637"/>
    <n v="277.08999999999997"/>
    <s v="Electronics"/>
    <s v="Laptop"/>
    <n v="45825"/>
    <x v="5"/>
  </r>
  <r>
    <n v="400"/>
    <n v="14"/>
    <n v="2"/>
    <n v="2418"/>
    <n v="4836"/>
    <n v="1886.04"/>
    <s v="Fashion"/>
    <s v="Jacket"/>
    <n v="45825"/>
    <x v="5"/>
  </r>
  <r>
    <n v="401"/>
    <n v="8"/>
    <n v="2"/>
    <n v="1596"/>
    <n v="3192"/>
    <n v="1053.3600000000001"/>
    <s v="Electronics"/>
    <s v="Tablet"/>
    <n v="45828"/>
    <x v="5"/>
  </r>
  <r>
    <n v="401"/>
    <n v="21"/>
    <n v="3"/>
    <n v="3377"/>
    <n v="10131"/>
    <n v="4406.97"/>
    <s v="Home Appliances"/>
    <s v="Mixer"/>
    <n v="45828"/>
    <x v="5"/>
  </r>
  <r>
    <n v="402"/>
    <n v="15"/>
    <n v="3"/>
    <n v="2555"/>
    <n v="7665"/>
    <n v="2874.3599999999997"/>
    <s v="Fashion"/>
    <s v="Shoes"/>
    <n v="45831"/>
    <x v="5"/>
  </r>
  <r>
    <n v="402"/>
    <n v="28"/>
    <n v="4"/>
    <n v="4336"/>
    <n v="17344"/>
    <n v="5723.52"/>
    <s v="Home &amp; Kitchen"/>
    <s v="Bottle"/>
    <n v="45831"/>
    <x v="5"/>
  </r>
  <r>
    <n v="403"/>
    <n v="22"/>
    <n v="4"/>
    <n v="3514"/>
    <n v="14056"/>
    <n v="5903.52"/>
    <s v="Home Appliances"/>
    <s v="Microwave"/>
    <n v="45834"/>
    <x v="5"/>
  </r>
  <r>
    <n v="403"/>
    <n v="35"/>
    <n v="1"/>
    <n v="5295"/>
    <n v="5295"/>
    <n v="1985.62"/>
    <s v="Books"/>
    <s v="Novel"/>
    <n v="45834"/>
    <x v="5"/>
  </r>
  <r>
    <n v="404"/>
    <n v="29"/>
    <n v="1"/>
    <n v="4473"/>
    <n v="4473"/>
    <n v="1408.9899999999998"/>
    <s v="Furniture"/>
    <s v="Chair"/>
    <n v="45837"/>
    <x v="5"/>
  </r>
  <r>
    <n v="404"/>
    <n v="42"/>
    <n v="2"/>
    <n v="6254"/>
    <n v="12508"/>
    <n v="5253.36"/>
    <s v="Beauty"/>
    <s v="Shampoo"/>
    <n v="45837"/>
    <x v="5"/>
  </r>
  <r>
    <n v="405"/>
    <n v="36"/>
    <n v="2"/>
    <n v="5432"/>
    <n v="10864"/>
    <n v="3911.04"/>
    <s v="Sports"/>
    <s v="Cricket Bat"/>
    <n v="45840"/>
    <x v="6"/>
  </r>
  <r>
    <n v="405"/>
    <n v="49"/>
    <n v="3"/>
    <n v="7213"/>
    <n v="21639"/>
    <n v="6816.27"/>
    <s v="Toys"/>
    <s v="Remote Car"/>
    <n v="45840"/>
    <x v="6"/>
  </r>
  <r>
    <n v="406"/>
    <n v="43"/>
    <n v="3"/>
    <n v="6391"/>
    <n v="19173"/>
    <n v="7765.0499999999993"/>
    <s v="Beauty"/>
    <s v="Perfume"/>
    <n v="45843"/>
    <x v="6"/>
  </r>
  <r>
    <n v="406"/>
    <n v="6"/>
    <n v="4"/>
    <n v="1322"/>
    <n v="5288"/>
    <n v="1903.6799999999998"/>
    <s v="Electronics"/>
    <s v="Mouse"/>
    <n v="45843"/>
    <x v="6"/>
  </r>
  <r>
    <n v="407"/>
    <n v="50"/>
    <n v="4"/>
    <n v="7350"/>
    <n v="29400"/>
    <n v="13230"/>
    <s v="Toys"/>
    <s v="Building Blocks"/>
    <n v="45846"/>
    <x v="6"/>
  </r>
  <r>
    <n v="407"/>
    <n v="13"/>
    <n v="1"/>
    <n v="2281"/>
    <n v="2281"/>
    <n v="923.8"/>
    <s v="Fashion"/>
    <s v="Shirt"/>
    <n v="45846"/>
    <x v="6"/>
  </r>
  <r>
    <n v="408"/>
    <n v="7"/>
    <n v="1"/>
    <n v="1459"/>
    <n v="1459"/>
    <n v="503.35"/>
    <s v="Electronics"/>
    <s v="Monitor"/>
    <n v="45849"/>
    <x v="6"/>
  </r>
  <r>
    <n v="408"/>
    <n v="20"/>
    <n v="2"/>
    <n v="3240"/>
    <n v="6480"/>
    <n v="2916"/>
    <s v="Fashion"/>
    <s v="Belt"/>
    <n v="45849"/>
    <x v="6"/>
  </r>
  <r>
    <n v="409"/>
    <n v="14"/>
    <n v="2"/>
    <n v="2418"/>
    <n v="4836"/>
    <n v="1886.04"/>
    <s v="Fashion"/>
    <s v="Jacket"/>
    <n v="45852"/>
    <x v="6"/>
  </r>
  <r>
    <n v="409"/>
    <n v="27"/>
    <n v="3"/>
    <n v="4199"/>
    <n v="12597"/>
    <n v="4345.9500000000007"/>
    <s v="Home &amp; Kitchen"/>
    <s v="Cookware Set"/>
    <n v="45852"/>
    <x v="6"/>
  </r>
  <r>
    <n v="410"/>
    <n v="21"/>
    <n v="3"/>
    <n v="3377"/>
    <n v="10131"/>
    <n v="4406.97"/>
    <s v="Home Appliances"/>
    <s v="Mixer"/>
    <n v="45855"/>
    <x v="6"/>
  </r>
  <r>
    <n v="410"/>
    <n v="34"/>
    <n v="4"/>
    <n v="5158"/>
    <n v="20632"/>
    <n v="8046.48"/>
    <s v="Books"/>
    <s v="Cookbook"/>
    <n v="45855"/>
    <x v="6"/>
  </r>
  <r>
    <n v="411"/>
    <n v="28"/>
    <n v="4"/>
    <n v="4336"/>
    <n v="17344"/>
    <n v="5723.52"/>
    <s v="Home &amp; Kitchen"/>
    <s v="Bottle"/>
    <n v="45858"/>
    <x v="6"/>
  </r>
  <r>
    <n v="411"/>
    <n v="41"/>
    <n v="1"/>
    <n v="6117"/>
    <n v="6117"/>
    <n v="2660.89"/>
    <s v="Beauty"/>
    <s v="Face Wash"/>
    <n v="45858"/>
    <x v="6"/>
  </r>
  <r>
    <n v="412"/>
    <n v="35"/>
    <n v="1"/>
    <n v="5295"/>
    <n v="5295"/>
    <n v="1985.62"/>
    <s v="Books"/>
    <s v="Novel"/>
    <n v="45861"/>
    <x v="6"/>
  </r>
  <r>
    <n v="412"/>
    <n v="48"/>
    <n v="2"/>
    <n v="7076"/>
    <n v="14152"/>
    <n v="4670.16"/>
    <s v="Toys"/>
    <s v="Board Game"/>
    <n v="45861"/>
    <x v="6"/>
  </r>
  <r>
    <n v="413"/>
    <n v="42"/>
    <n v="2"/>
    <n v="6254"/>
    <n v="12508"/>
    <n v="5253.36"/>
    <s v="Beauty"/>
    <s v="Shampoo"/>
    <n v="45864"/>
    <x v="6"/>
  </r>
  <r>
    <n v="413"/>
    <n v="5"/>
    <n v="3"/>
    <n v="1185"/>
    <n v="3555"/>
    <n v="1333.1399999999999"/>
    <s v="Electronics"/>
    <s v="Keyboard"/>
    <n v="45864"/>
    <x v="6"/>
  </r>
  <r>
    <n v="414"/>
    <n v="49"/>
    <n v="3"/>
    <n v="7213"/>
    <n v="21639"/>
    <n v="6816.27"/>
    <s v="Toys"/>
    <s v="Remote Car"/>
    <n v="45867"/>
    <x v="6"/>
  </r>
  <r>
    <n v="414"/>
    <n v="12"/>
    <n v="4"/>
    <n v="2144"/>
    <n v="8576"/>
    <n v="3601.92"/>
    <s v="Fashion"/>
    <s v="Jeans"/>
    <n v="45867"/>
    <x v="6"/>
  </r>
  <r>
    <n v="415"/>
    <n v="6"/>
    <n v="4"/>
    <n v="1322"/>
    <n v="5288"/>
    <n v="1903.6799999999998"/>
    <s v="Electronics"/>
    <s v="Mouse"/>
    <n v="45870"/>
    <x v="7"/>
  </r>
  <r>
    <n v="415"/>
    <n v="19"/>
    <n v="1"/>
    <n v="3103"/>
    <n v="3103"/>
    <n v="977.44"/>
    <s v="Fashion"/>
    <s v="Wallet"/>
    <n v="45870"/>
    <x v="7"/>
  </r>
  <r>
    <n v="416"/>
    <n v="13"/>
    <n v="1"/>
    <n v="2281"/>
    <n v="2281"/>
    <n v="923.8"/>
    <s v="Fashion"/>
    <s v="Shirt"/>
    <n v="45873"/>
    <x v="7"/>
  </r>
  <r>
    <n v="416"/>
    <n v="26"/>
    <n v="2"/>
    <n v="4062"/>
    <n v="8124"/>
    <n v="2924.6400000000003"/>
    <s v="Home &amp; Kitchen"/>
    <s v="Bedsheet"/>
    <n v="45873"/>
    <x v="7"/>
  </r>
  <r>
    <n v="417"/>
    <n v="20"/>
    <n v="2"/>
    <n v="3240"/>
    <n v="6480"/>
    <n v="2916"/>
    <s v="Fashion"/>
    <s v="Belt"/>
    <n v="45876"/>
    <x v="7"/>
  </r>
  <r>
    <n v="417"/>
    <n v="33"/>
    <n v="3"/>
    <n v="5021"/>
    <n v="15063"/>
    <n v="6100.5"/>
    <s v="Books"/>
    <s v="Pen Set"/>
    <n v="45876"/>
    <x v="7"/>
  </r>
  <r>
    <n v="418"/>
    <n v="27"/>
    <n v="3"/>
    <n v="4199"/>
    <n v="12597"/>
    <n v="4345.9500000000007"/>
    <s v="Home &amp; Kitchen"/>
    <s v="Cookware Set"/>
    <n v="45879"/>
    <x v="7"/>
  </r>
  <r>
    <n v="418"/>
    <n v="40"/>
    <n v="4"/>
    <n v="5980"/>
    <n v="23920"/>
    <n v="10764"/>
    <s v="Sports"/>
    <s v="Dumbbells"/>
    <n v="45879"/>
    <x v="7"/>
  </r>
  <r>
    <n v="419"/>
    <n v="34"/>
    <n v="4"/>
    <n v="5158"/>
    <n v="20632"/>
    <n v="8046.48"/>
    <s v="Books"/>
    <s v="Cookbook"/>
    <n v="45882"/>
    <x v="7"/>
  </r>
  <r>
    <n v="419"/>
    <n v="47"/>
    <n v="1"/>
    <n v="6939"/>
    <n v="6939"/>
    <n v="2393.9499999999998"/>
    <s v="Toys"/>
    <s v="Puzzle"/>
    <n v="45882"/>
    <x v="7"/>
  </r>
  <r>
    <n v="420"/>
    <n v="41"/>
    <n v="1"/>
    <n v="6117"/>
    <n v="6117"/>
    <n v="2660.89"/>
    <s v="Beauty"/>
    <s v="Face Wash"/>
    <n v="45885"/>
    <x v="7"/>
  </r>
  <r>
    <n v="420"/>
    <n v="4"/>
    <n v="2"/>
    <n v="1048"/>
    <n v="2096"/>
    <n v="817.44"/>
    <s v="Electronics"/>
    <s v="Smart Watch"/>
    <n v="45885"/>
    <x v="7"/>
  </r>
  <r>
    <n v="421"/>
    <n v="48"/>
    <n v="2"/>
    <n v="7076"/>
    <n v="14152"/>
    <n v="4670.16"/>
    <s v="Toys"/>
    <s v="Board Game"/>
    <n v="45888"/>
    <x v="7"/>
  </r>
  <r>
    <n v="421"/>
    <n v="11"/>
    <n v="3"/>
    <n v="2007"/>
    <n v="6021"/>
    <n v="2619.12"/>
    <s v="Fashion"/>
    <s v="T-Shirt"/>
    <n v="45888"/>
    <x v="7"/>
  </r>
  <r>
    <n v="422"/>
    <n v="5"/>
    <n v="3"/>
    <n v="1185"/>
    <n v="3555"/>
    <n v="1333.1399999999999"/>
    <s v="Electronics"/>
    <s v="Keyboard"/>
    <n v="45891"/>
    <x v="7"/>
  </r>
  <r>
    <n v="422"/>
    <n v="18"/>
    <n v="4"/>
    <n v="2966"/>
    <n v="11864"/>
    <n v="3915.12"/>
    <s v="Fashion"/>
    <s v="Backpack"/>
    <n v="45891"/>
    <x v="7"/>
  </r>
  <r>
    <n v="423"/>
    <n v="12"/>
    <n v="4"/>
    <n v="2144"/>
    <n v="8576"/>
    <n v="3601.92"/>
    <s v="Fashion"/>
    <s v="Jeans"/>
    <n v="45894"/>
    <x v="7"/>
  </r>
  <r>
    <n v="423"/>
    <n v="25"/>
    <n v="1"/>
    <n v="3925"/>
    <n v="3925"/>
    <n v="1471.88"/>
    <s v="Home Appliances"/>
    <s v="Vacuum Cleaner"/>
    <n v="45894"/>
    <x v="7"/>
  </r>
  <r>
    <n v="424"/>
    <n v="19"/>
    <n v="1"/>
    <n v="3103"/>
    <n v="3103"/>
    <n v="977.44"/>
    <s v="Fashion"/>
    <s v="Wallet"/>
    <n v="45897"/>
    <x v="7"/>
  </r>
  <r>
    <n v="424"/>
    <n v="32"/>
    <n v="2"/>
    <n v="4884"/>
    <n v="9768"/>
    <n v="4102.5600000000004"/>
    <s v="Books"/>
    <s v="Notebook"/>
    <n v="45897"/>
    <x v="7"/>
  </r>
  <r>
    <n v="425"/>
    <n v="26"/>
    <n v="2"/>
    <n v="4062"/>
    <n v="8124"/>
    <n v="2924.6400000000003"/>
    <s v="Home &amp; Kitchen"/>
    <s v="Bedsheet"/>
    <n v="45900"/>
    <x v="7"/>
  </r>
  <r>
    <n v="425"/>
    <n v="39"/>
    <n v="3"/>
    <n v="5843"/>
    <n v="17529"/>
    <n v="5521.62"/>
    <s v="Sports"/>
    <s v="Yoga Mat"/>
    <n v="45900"/>
    <x v="7"/>
  </r>
  <r>
    <n v="426"/>
    <n v="33"/>
    <n v="3"/>
    <n v="5021"/>
    <n v="15063"/>
    <n v="6100.5"/>
    <s v="Books"/>
    <s v="Pen Set"/>
    <n v="45903"/>
    <x v="8"/>
  </r>
  <r>
    <n v="426"/>
    <n v="46"/>
    <n v="4"/>
    <n v="6802"/>
    <n v="27208"/>
    <n v="9794.880000000001"/>
    <s v="Toys"/>
    <s v="Toys Car"/>
    <n v="45903"/>
    <x v="8"/>
  </r>
  <r>
    <n v="427"/>
    <n v="40"/>
    <n v="4"/>
    <n v="5980"/>
    <n v="23920"/>
    <n v="10764"/>
    <s v="Sports"/>
    <s v="Dumbbells"/>
    <n v="45906"/>
    <x v="8"/>
  </r>
  <r>
    <n v="427"/>
    <n v="3"/>
    <n v="1"/>
    <n v="911"/>
    <n v="911"/>
    <n v="368.95000000000005"/>
    <s v="Electronics"/>
    <s v="Headphones"/>
    <n v="45906"/>
    <x v="8"/>
  </r>
  <r>
    <n v="428"/>
    <n v="47"/>
    <n v="1"/>
    <n v="6939"/>
    <n v="6939"/>
    <n v="2393.9499999999998"/>
    <s v="Toys"/>
    <s v="Puzzle"/>
    <n v="45909"/>
    <x v="8"/>
  </r>
  <r>
    <n v="428"/>
    <n v="10"/>
    <n v="2"/>
    <n v="1870"/>
    <n v="3740"/>
    <n v="1683"/>
    <s v="Electronics"/>
    <s v="Earbuds"/>
    <n v="45909"/>
    <x v="8"/>
  </r>
  <r>
    <n v="429"/>
    <n v="4"/>
    <n v="2"/>
    <n v="1048"/>
    <n v="2096"/>
    <n v="817.44"/>
    <s v="Electronics"/>
    <s v="Smart Watch"/>
    <n v="45912"/>
    <x v="8"/>
  </r>
  <r>
    <n v="429"/>
    <n v="17"/>
    <n v="3"/>
    <n v="2829"/>
    <n v="8487"/>
    <n v="2928"/>
    <s v="Fashion"/>
    <s v="Dress"/>
    <n v="45912"/>
    <x v="8"/>
  </r>
  <r>
    <n v="430"/>
    <n v="11"/>
    <n v="3"/>
    <n v="2007"/>
    <n v="6021"/>
    <n v="2619.12"/>
    <s v="Fashion"/>
    <s v="T-Shirt"/>
    <n v="45915"/>
    <x v="8"/>
  </r>
  <r>
    <n v="430"/>
    <n v="24"/>
    <n v="4"/>
    <n v="3788"/>
    <n v="15152"/>
    <n v="5909.2800000000007"/>
    <s v="Home Appliances"/>
    <s v="Iron"/>
    <n v="45915"/>
    <x v="8"/>
  </r>
  <r>
    <n v="431"/>
    <n v="18"/>
    <n v="4"/>
    <n v="2966"/>
    <n v="11864"/>
    <n v="3915.12"/>
    <s v="Fashion"/>
    <s v="Backpack"/>
    <n v="45918"/>
    <x v="8"/>
  </r>
  <r>
    <n v="431"/>
    <n v="31"/>
    <n v="1"/>
    <n v="4747"/>
    <n v="4747"/>
    <n v="2064.94"/>
    <s v="Books"/>
    <s v="Book"/>
    <n v="45918"/>
    <x v="8"/>
  </r>
  <r>
    <n v="432"/>
    <n v="25"/>
    <n v="1"/>
    <n v="3925"/>
    <n v="3925"/>
    <n v="1471.88"/>
    <s v="Home Appliances"/>
    <s v="Vacuum Cleaner"/>
    <n v="45921"/>
    <x v="8"/>
  </r>
  <r>
    <n v="432"/>
    <n v="38"/>
    <n v="2"/>
    <n v="5706"/>
    <n v="11412"/>
    <n v="3765.96"/>
    <s v="Sports"/>
    <s v="Badminton Racket"/>
    <n v="45921"/>
    <x v="8"/>
  </r>
  <r>
    <n v="433"/>
    <n v="32"/>
    <n v="2"/>
    <n v="4884"/>
    <n v="9768"/>
    <n v="4102.5600000000004"/>
    <s v="Books"/>
    <s v="Notebook"/>
    <n v="45924"/>
    <x v="8"/>
  </r>
  <r>
    <n v="433"/>
    <n v="45"/>
    <n v="3"/>
    <n v="6665"/>
    <n v="19995"/>
    <n v="7498.14"/>
    <s v="Beauty"/>
    <s v="Sunscreen"/>
    <n v="45924"/>
    <x v="8"/>
  </r>
  <r>
    <n v="434"/>
    <n v="39"/>
    <n v="3"/>
    <n v="5843"/>
    <n v="17529"/>
    <n v="5521.62"/>
    <s v="Sports"/>
    <s v="Yoga Mat"/>
    <n v="45927"/>
    <x v="8"/>
  </r>
  <r>
    <n v="434"/>
    <n v="2"/>
    <n v="4"/>
    <n v="774"/>
    <n v="3096"/>
    <n v="1300.32"/>
    <s v="Electronics"/>
    <s v="Mobile"/>
    <n v="45927"/>
    <x v="8"/>
  </r>
  <r>
    <n v="435"/>
    <n v="46"/>
    <n v="4"/>
    <n v="6802"/>
    <n v="27208"/>
    <n v="9794.880000000001"/>
    <s v="Toys"/>
    <s v="Toys Car"/>
    <n v="45930"/>
    <x v="8"/>
  </r>
  <r>
    <n v="435"/>
    <n v="9"/>
    <n v="1"/>
    <n v="1733"/>
    <n v="1733"/>
    <n v="545.8900000000001"/>
    <s v="Electronics"/>
    <s v="Power Bank"/>
    <n v="45930"/>
    <x v="8"/>
  </r>
  <r>
    <n v="436"/>
    <n v="3"/>
    <n v="1"/>
    <n v="911"/>
    <n v="911"/>
    <n v="368.95000000000005"/>
    <s v="Electronics"/>
    <s v="Headphones"/>
    <n v="45933"/>
    <x v="9"/>
  </r>
  <r>
    <n v="436"/>
    <n v="16"/>
    <n v="2"/>
    <n v="2692"/>
    <n v="5384"/>
    <n v="1938.2399999999998"/>
    <s v="Fashion"/>
    <s v="Saree"/>
    <n v="45933"/>
    <x v="9"/>
  </r>
  <r>
    <n v="437"/>
    <n v="10"/>
    <n v="2"/>
    <n v="1870"/>
    <n v="3740"/>
    <n v="1683"/>
    <s v="Electronics"/>
    <s v="Earbuds"/>
    <n v="45936"/>
    <x v="9"/>
  </r>
  <r>
    <n v="437"/>
    <n v="23"/>
    <n v="3"/>
    <n v="3651"/>
    <n v="10953"/>
    <n v="4435.9500000000007"/>
    <s v="Home Appliances"/>
    <s v="Fan"/>
    <n v="45936"/>
    <x v="9"/>
  </r>
  <r>
    <n v="438"/>
    <n v="17"/>
    <n v="3"/>
    <n v="2829"/>
    <n v="8487"/>
    <n v="2928"/>
    <s v="Fashion"/>
    <s v="Dress"/>
    <n v="45939"/>
    <x v="9"/>
  </r>
  <r>
    <n v="438"/>
    <n v="30"/>
    <n v="4"/>
    <n v="4610"/>
    <n v="18440"/>
    <n v="8298"/>
    <s v="Furniture"/>
    <s v="Table"/>
    <n v="45939"/>
    <x v="9"/>
  </r>
  <r>
    <n v="439"/>
    <n v="24"/>
    <n v="4"/>
    <n v="3788"/>
    <n v="15152"/>
    <n v="5909.2800000000007"/>
    <s v="Home Appliances"/>
    <s v="Iron"/>
    <n v="45942"/>
    <x v="9"/>
  </r>
  <r>
    <n v="439"/>
    <n v="37"/>
    <n v="1"/>
    <n v="5569"/>
    <n v="5569"/>
    <n v="1921.3000000000002"/>
    <s v="Sports"/>
    <s v="Football"/>
    <n v="45942"/>
    <x v="9"/>
  </r>
  <r>
    <n v="440"/>
    <n v="31"/>
    <n v="1"/>
    <n v="4747"/>
    <n v="4747"/>
    <n v="2064.94"/>
    <s v="Books"/>
    <s v="Book"/>
    <n v="45945"/>
    <x v="9"/>
  </r>
  <r>
    <n v="440"/>
    <n v="44"/>
    <n v="2"/>
    <n v="6528"/>
    <n v="13056"/>
    <n v="5091.84"/>
    <s v="Beauty"/>
    <s v="Moisturizer"/>
    <n v="45945"/>
    <x v="9"/>
  </r>
  <r>
    <n v="441"/>
    <n v="38"/>
    <n v="2"/>
    <n v="5706"/>
    <n v="11412"/>
    <n v="3765.96"/>
    <s v="Sports"/>
    <s v="Badminton Racket"/>
    <n v="45948"/>
    <x v="9"/>
  </r>
  <r>
    <n v="441"/>
    <n v="1"/>
    <n v="3"/>
    <n v="637"/>
    <n v="1911"/>
    <n v="831.27"/>
    <s v="Electronics"/>
    <s v="Laptop"/>
    <n v="45948"/>
    <x v="9"/>
  </r>
  <r>
    <n v="442"/>
    <n v="45"/>
    <n v="3"/>
    <n v="6665"/>
    <n v="19995"/>
    <n v="7498.14"/>
    <s v="Beauty"/>
    <s v="Sunscreen"/>
    <n v="45951"/>
    <x v="9"/>
  </r>
  <r>
    <n v="442"/>
    <n v="8"/>
    <n v="4"/>
    <n v="1596"/>
    <n v="6384"/>
    <n v="2106.7200000000003"/>
    <s v="Electronics"/>
    <s v="Tablet"/>
    <n v="45951"/>
    <x v="9"/>
  </r>
  <r>
    <n v="443"/>
    <n v="2"/>
    <n v="4"/>
    <n v="774"/>
    <n v="3096"/>
    <n v="1300.32"/>
    <s v="Electronics"/>
    <s v="Mobile"/>
    <n v="45954"/>
    <x v="9"/>
  </r>
  <r>
    <n v="443"/>
    <n v="15"/>
    <n v="1"/>
    <n v="2555"/>
    <n v="2555"/>
    <n v="958.11999999999989"/>
    <s v="Fashion"/>
    <s v="Shoes"/>
    <n v="45954"/>
    <x v="9"/>
  </r>
  <r>
    <n v="444"/>
    <n v="9"/>
    <n v="1"/>
    <n v="1733"/>
    <n v="1733"/>
    <n v="545.8900000000001"/>
    <s v="Electronics"/>
    <s v="Power Bank"/>
    <n v="45957"/>
    <x v="9"/>
  </r>
  <r>
    <n v="444"/>
    <n v="22"/>
    <n v="2"/>
    <n v="3514"/>
    <n v="7028"/>
    <n v="2951.76"/>
    <s v="Home Appliances"/>
    <s v="Microwave"/>
    <n v="45957"/>
    <x v="9"/>
  </r>
  <r>
    <n v="445"/>
    <n v="16"/>
    <n v="2"/>
    <n v="2692"/>
    <n v="5384"/>
    <n v="1938.2399999999998"/>
    <s v="Fashion"/>
    <s v="Saree"/>
    <n v="45960"/>
    <x v="9"/>
  </r>
  <r>
    <n v="445"/>
    <n v="29"/>
    <n v="3"/>
    <n v="4473"/>
    <n v="13419"/>
    <n v="4226.9699999999993"/>
    <s v="Furniture"/>
    <s v="Chair"/>
    <n v="45960"/>
    <x v="9"/>
  </r>
  <r>
    <n v="446"/>
    <n v="23"/>
    <n v="3"/>
    <n v="3651"/>
    <n v="10953"/>
    <n v="4435.9500000000007"/>
    <s v="Home Appliances"/>
    <s v="Fan"/>
    <n v="45963"/>
    <x v="10"/>
  </r>
  <r>
    <n v="446"/>
    <n v="36"/>
    <n v="4"/>
    <n v="5432"/>
    <n v="21728"/>
    <n v="7822.08"/>
    <s v="Sports"/>
    <s v="Cricket Bat"/>
    <n v="45963"/>
    <x v="10"/>
  </r>
  <r>
    <n v="447"/>
    <n v="30"/>
    <n v="4"/>
    <n v="4610"/>
    <n v="18440"/>
    <n v="8298"/>
    <s v="Furniture"/>
    <s v="Table"/>
    <n v="45966"/>
    <x v="10"/>
  </r>
  <r>
    <n v="447"/>
    <n v="43"/>
    <n v="1"/>
    <n v="6391"/>
    <n v="6391"/>
    <n v="2588.35"/>
    <s v="Beauty"/>
    <s v="Perfume"/>
    <n v="45966"/>
    <x v="10"/>
  </r>
  <r>
    <n v="448"/>
    <n v="37"/>
    <n v="1"/>
    <n v="5569"/>
    <n v="5569"/>
    <n v="1921.3000000000002"/>
    <s v="Sports"/>
    <s v="Football"/>
    <n v="45969"/>
    <x v="10"/>
  </r>
  <r>
    <n v="448"/>
    <n v="50"/>
    <n v="2"/>
    <n v="7350"/>
    <n v="14700"/>
    <n v="6615"/>
    <s v="Toys"/>
    <s v="Building Blocks"/>
    <n v="45969"/>
    <x v="10"/>
  </r>
  <r>
    <n v="449"/>
    <n v="44"/>
    <n v="2"/>
    <n v="6528"/>
    <n v="13056"/>
    <n v="5091.84"/>
    <s v="Beauty"/>
    <s v="Moisturizer"/>
    <n v="45972"/>
    <x v="10"/>
  </r>
  <r>
    <n v="449"/>
    <n v="7"/>
    <n v="3"/>
    <n v="1459"/>
    <n v="4377"/>
    <n v="1510.0500000000002"/>
    <s v="Electronics"/>
    <s v="Monitor"/>
    <n v="45972"/>
    <x v="10"/>
  </r>
  <r>
    <n v="450"/>
    <n v="1"/>
    <n v="3"/>
    <n v="637"/>
    <n v="1911"/>
    <n v="831.27"/>
    <s v="Electronics"/>
    <s v="Laptop"/>
    <n v="45975"/>
    <x v="10"/>
  </r>
  <r>
    <n v="450"/>
    <n v="14"/>
    <n v="4"/>
    <n v="2418"/>
    <n v="9672"/>
    <n v="3772.08"/>
    <s v="Fashion"/>
    <s v="Jacket"/>
    <n v="45975"/>
    <x v="10"/>
  </r>
  <r>
    <n v="451"/>
    <n v="8"/>
    <n v="4"/>
    <n v="1596"/>
    <n v="6384"/>
    <n v="2106.7200000000003"/>
    <s v="Electronics"/>
    <s v="Tablet"/>
    <n v="45978"/>
    <x v="10"/>
  </r>
  <r>
    <n v="451"/>
    <n v="21"/>
    <n v="1"/>
    <n v="3377"/>
    <n v="3377"/>
    <n v="1468.99"/>
    <s v="Home Appliances"/>
    <s v="Mixer"/>
    <n v="45978"/>
    <x v="10"/>
  </r>
  <r>
    <n v="452"/>
    <n v="15"/>
    <n v="1"/>
    <n v="2555"/>
    <n v="2555"/>
    <n v="958.11999999999989"/>
    <s v="Fashion"/>
    <s v="Shoes"/>
    <n v="45981"/>
    <x v="10"/>
  </r>
  <r>
    <n v="452"/>
    <n v="28"/>
    <n v="2"/>
    <n v="4336"/>
    <n v="8672"/>
    <n v="2861.76"/>
    <s v="Home &amp; Kitchen"/>
    <s v="Bottle"/>
    <n v="45981"/>
    <x v="10"/>
  </r>
  <r>
    <n v="453"/>
    <n v="22"/>
    <n v="2"/>
    <n v="3514"/>
    <n v="7028"/>
    <n v="2951.76"/>
    <s v="Home Appliances"/>
    <s v="Microwave"/>
    <n v="45984"/>
    <x v="10"/>
  </r>
  <r>
    <n v="453"/>
    <n v="35"/>
    <n v="3"/>
    <n v="5295"/>
    <n v="15885"/>
    <n v="5956.86"/>
    <s v="Books"/>
    <s v="Novel"/>
    <n v="45984"/>
    <x v="10"/>
  </r>
  <r>
    <n v="454"/>
    <n v="29"/>
    <n v="3"/>
    <n v="4473"/>
    <n v="13419"/>
    <n v="4226.9699999999993"/>
    <s v="Furniture"/>
    <s v="Chair"/>
    <n v="45987"/>
    <x v="10"/>
  </r>
  <r>
    <n v="454"/>
    <n v="42"/>
    <n v="4"/>
    <n v="6254"/>
    <n v="25016"/>
    <n v="10506.72"/>
    <s v="Beauty"/>
    <s v="Shampoo"/>
    <n v="45987"/>
    <x v="10"/>
  </r>
  <r>
    <n v="455"/>
    <n v="36"/>
    <n v="4"/>
    <n v="5432"/>
    <n v="21728"/>
    <n v="7822.08"/>
    <s v="Sports"/>
    <s v="Cricket Bat"/>
    <n v="45990"/>
    <x v="10"/>
  </r>
  <r>
    <n v="455"/>
    <n v="49"/>
    <n v="1"/>
    <n v="7213"/>
    <n v="7213"/>
    <n v="2272.09"/>
    <s v="Toys"/>
    <s v="Remote Car"/>
    <n v="45990"/>
    <x v="10"/>
  </r>
  <r>
    <n v="456"/>
    <n v="43"/>
    <n v="1"/>
    <n v="6391"/>
    <n v="6391"/>
    <n v="2588.35"/>
    <s v="Beauty"/>
    <s v="Perfume"/>
    <n v="45993"/>
    <x v="11"/>
  </r>
  <r>
    <n v="456"/>
    <n v="6"/>
    <n v="2"/>
    <n v="1322"/>
    <n v="2644"/>
    <n v="951.83999999999992"/>
    <s v="Electronics"/>
    <s v="Mouse"/>
    <n v="45993"/>
    <x v="11"/>
  </r>
  <r>
    <n v="457"/>
    <n v="50"/>
    <n v="2"/>
    <n v="7350"/>
    <n v="14700"/>
    <n v="6615"/>
    <s v="Toys"/>
    <s v="Building Blocks"/>
    <n v="45996"/>
    <x v="11"/>
  </r>
  <r>
    <n v="457"/>
    <n v="13"/>
    <n v="3"/>
    <n v="2281"/>
    <n v="6843"/>
    <n v="2771.3999999999996"/>
    <s v="Fashion"/>
    <s v="Shirt"/>
    <n v="45996"/>
    <x v="11"/>
  </r>
  <r>
    <n v="458"/>
    <n v="7"/>
    <n v="3"/>
    <n v="1459"/>
    <n v="4377"/>
    <n v="1510.0500000000002"/>
    <s v="Electronics"/>
    <s v="Monitor"/>
    <n v="45999"/>
    <x v="11"/>
  </r>
  <r>
    <n v="458"/>
    <n v="20"/>
    <n v="4"/>
    <n v="3240"/>
    <n v="12960"/>
    <n v="5832"/>
    <s v="Fashion"/>
    <s v="Belt"/>
    <n v="45999"/>
    <x v="11"/>
  </r>
  <r>
    <n v="459"/>
    <n v="14"/>
    <n v="4"/>
    <n v="2418"/>
    <n v="9672"/>
    <n v="3772.08"/>
    <s v="Fashion"/>
    <s v="Jacket"/>
    <n v="46002"/>
    <x v="11"/>
  </r>
  <r>
    <n v="459"/>
    <n v="27"/>
    <n v="1"/>
    <n v="4199"/>
    <n v="4199"/>
    <n v="1448.65"/>
    <s v="Home &amp; Kitchen"/>
    <s v="Cookware Set"/>
    <n v="46002"/>
    <x v="11"/>
  </r>
  <r>
    <n v="460"/>
    <n v="21"/>
    <n v="1"/>
    <n v="3377"/>
    <n v="3377"/>
    <n v="1468.99"/>
    <s v="Home Appliances"/>
    <s v="Mixer"/>
    <n v="46005"/>
    <x v="11"/>
  </r>
  <r>
    <n v="460"/>
    <n v="34"/>
    <n v="2"/>
    <n v="5158"/>
    <n v="10316"/>
    <n v="4023.24"/>
    <s v="Books"/>
    <s v="Cookbook"/>
    <n v="46005"/>
    <x v="11"/>
  </r>
  <r>
    <n v="461"/>
    <n v="28"/>
    <n v="2"/>
    <n v="4336"/>
    <n v="8672"/>
    <n v="2861.76"/>
    <s v="Home &amp; Kitchen"/>
    <s v="Bottle"/>
    <n v="46008"/>
    <x v="11"/>
  </r>
  <r>
    <n v="461"/>
    <n v="41"/>
    <n v="3"/>
    <n v="6117"/>
    <n v="18351"/>
    <n v="7982.67"/>
    <s v="Beauty"/>
    <s v="Face Wash"/>
    <n v="46008"/>
    <x v="11"/>
  </r>
  <r>
    <n v="462"/>
    <n v="35"/>
    <n v="3"/>
    <n v="5295"/>
    <n v="15885"/>
    <n v="5956.86"/>
    <s v="Books"/>
    <s v="Novel"/>
    <n v="46011"/>
    <x v="11"/>
  </r>
  <r>
    <n v="462"/>
    <n v="48"/>
    <n v="4"/>
    <n v="7076"/>
    <n v="28304"/>
    <n v="9340.32"/>
    <s v="Toys"/>
    <s v="Board Game"/>
    <n v="46011"/>
    <x v="11"/>
  </r>
  <r>
    <n v="463"/>
    <n v="42"/>
    <n v="4"/>
    <n v="6254"/>
    <n v="25016"/>
    <n v="10506.72"/>
    <s v="Beauty"/>
    <s v="Shampoo"/>
    <n v="46014"/>
    <x v="11"/>
  </r>
  <r>
    <n v="463"/>
    <n v="5"/>
    <n v="1"/>
    <n v="1185"/>
    <n v="1185"/>
    <n v="444.38"/>
    <s v="Electronics"/>
    <s v="Keyboard"/>
    <n v="46014"/>
    <x v="11"/>
  </r>
  <r>
    <n v="464"/>
    <n v="49"/>
    <n v="1"/>
    <n v="7213"/>
    <n v="7213"/>
    <n v="2272.09"/>
    <s v="Toys"/>
    <s v="Remote Car"/>
    <n v="46017"/>
    <x v="11"/>
  </r>
  <r>
    <n v="464"/>
    <n v="12"/>
    <n v="2"/>
    <n v="2144"/>
    <n v="4288"/>
    <n v="1800.96"/>
    <s v="Fashion"/>
    <s v="Jeans"/>
    <n v="46017"/>
    <x v="11"/>
  </r>
  <r>
    <n v="465"/>
    <n v="6"/>
    <n v="2"/>
    <n v="1322"/>
    <n v="2644"/>
    <n v="951.83999999999992"/>
    <s v="Electronics"/>
    <s v="Mouse"/>
    <n v="46020"/>
    <x v="11"/>
  </r>
  <r>
    <n v="465"/>
    <n v="19"/>
    <n v="3"/>
    <n v="3103"/>
    <n v="9309"/>
    <n v="2932.32"/>
    <s v="Fashion"/>
    <s v="Wallet"/>
    <n v="46020"/>
    <x v="11"/>
  </r>
  <r>
    <n v="466"/>
    <n v="13"/>
    <n v="3"/>
    <n v="2281"/>
    <n v="6843"/>
    <n v="2771.3999999999996"/>
    <s v="Fashion"/>
    <s v="Shirt"/>
    <n v="45658"/>
    <x v="0"/>
  </r>
  <r>
    <n v="466"/>
    <n v="26"/>
    <n v="4"/>
    <n v="4062"/>
    <n v="16248"/>
    <n v="5849.2800000000007"/>
    <s v="Home &amp; Kitchen"/>
    <s v="Bedsheet"/>
    <n v="45658"/>
    <x v="0"/>
  </r>
  <r>
    <n v="467"/>
    <n v="20"/>
    <n v="4"/>
    <n v="3240"/>
    <n v="12960"/>
    <n v="5832"/>
    <s v="Fashion"/>
    <s v="Belt"/>
    <n v="45661"/>
    <x v="0"/>
  </r>
  <r>
    <n v="467"/>
    <n v="33"/>
    <n v="1"/>
    <n v="5021"/>
    <n v="5021"/>
    <n v="2033.5"/>
    <s v="Books"/>
    <s v="Pen Set"/>
    <n v="45661"/>
    <x v="0"/>
  </r>
  <r>
    <n v="468"/>
    <n v="27"/>
    <n v="1"/>
    <n v="4199"/>
    <n v="4199"/>
    <n v="1448.65"/>
    <s v="Home &amp; Kitchen"/>
    <s v="Cookware Set"/>
    <n v="45664"/>
    <x v="0"/>
  </r>
  <r>
    <n v="468"/>
    <n v="40"/>
    <n v="2"/>
    <n v="5980"/>
    <n v="11960"/>
    <n v="5382"/>
    <s v="Sports"/>
    <s v="Dumbbells"/>
    <n v="45664"/>
    <x v="0"/>
  </r>
  <r>
    <n v="469"/>
    <n v="34"/>
    <n v="2"/>
    <n v="5158"/>
    <n v="10316"/>
    <n v="4023.24"/>
    <s v="Books"/>
    <s v="Cookbook"/>
    <n v="45667"/>
    <x v="0"/>
  </r>
  <r>
    <n v="469"/>
    <n v="47"/>
    <n v="3"/>
    <n v="6939"/>
    <n v="20817"/>
    <n v="7181.8499999999995"/>
    <s v="Toys"/>
    <s v="Puzzle"/>
    <n v="45667"/>
    <x v="0"/>
  </r>
  <r>
    <n v="470"/>
    <n v="41"/>
    <n v="3"/>
    <n v="6117"/>
    <n v="18351"/>
    <n v="7982.67"/>
    <s v="Beauty"/>
    <s v="Face Wash"/>
    <n v="45670"/>
    <x v="0"/>
  </r>
  <r>
    <n v="470"/>
    <n v="4"/>
    <n v="4"/>
    <n v="1048"/>
    <n v="4192"/>
    <n v="1634.88"/>
    <s v="Electronics"/>
    <s v="Smart Watch"/>
    <n v="45670"/>
    <x v="0"/>
  </r>
  <r>
    <n v="471"/>
    <n v="48"/>
    <n v="4"/>
    <n v="7076"/>
    <n v="28304"/>
    <n v="9340.32"/>
    <s v="Toys"/>
    <s v="Board Game"/>
    <n v="45673"/>
    <x v="0"/>
  </r>
  <r>
    <n v="471"/>
    <n v="11"/>
    <n v="1"/>
    <n v="2007"/>
    <n v="2007"/>
    <n v="873.04"/>
    <s v="Fashion"/>
    <s v="T-Shirt"/>
    <n v="45673"/>
    <x v="0"/>
  </r>
  <r>
    <n v="472"/>
    <n v="5"/>
    <n v="1"/>
    <n v="1185"/>
    <n v="1185"/>
    <n v="444.38"/>
    <s v="Electronics"/>
    <s v="Keyboard"/>
    <n v="45676"/>
    <x v="0"/>
  </r>
  <r>
    <n v="472"/>
    <n v="18"/>
    <n v="2"/>
    <n v="2966"/>
    <n v="5932"/>
    <n v="1957.56"/>
    <s v="Fashion"/>
    <s v="Backpack"/>
    <n v="45676"/>
    <x v="0"/>
  </r>
  <r>
    <n v="473"/>
    <n v="12"/>
    <n v="2"/>
    <n v="2144"/>
    <n v="4288"/>
    <n v="1800.96"/>
    <s v="Fashion"/>
    <s v="Jeans"/>
    <n v="45679"/>
    <x v="0"/>
  </r>
  <r>
    <n v="473"/>
    <n v="25"/>
    <n v="3"/>
    <n v="3925"/>
    <n v="11775"/>
    <n v="4415.6400000000003"/>
    <s v="Home Appliances"/>
    <s v="Vacuum Cleaner"/>
    <n v="45679"/>
    <x v="0"/>
  </r>
  <r>
    <n v="474"/>
    <n v="19"/>
    <n v="3"/>
    <n v="3103"/>
    <n v="9309"/>
    <n v="2932.32"/>
    <s v="Fashion"/>
    <s v="Wallet"/>
    <n v="45682"/>
    <x v="0"/>
  </r>
  <r>
    <n v="474"/>
    <n v="32"/>
    <n v="4"/>
    <n v="4884"/>
    <n v="19536"/>
    <n v="8205.1200000000008"/>
    <s v="Books"/>
    <s v="Notebook"/>
    <n v="45682"/>
    <x v="0"/>
  </r>
  <r>
    <n v="475"/>
    <n v="26"/>
    <n v="4"/>
    <n v="4062"/>
    <n v="16248"/>
    <n v="5849.2800000000007"/>
    <s v="Home &amp; Kitchen"/>
    <s v="Bedsheet"/>
    <n v="45685"/>
    <x v="0"/>
  </r>
  <r>
    <n v="475"/>
    <n v="39"/>
    <n v="1"/>
    <n v="5843"/>
    <n v="5843"/>
    <n v="1840.54"/>
    <s v="Sports"/>
    <s v="Yoga Mat"/>
    <n v="45685"/>
    <x v="0"/>
  </r>
  <r>
    <n v="476"/>
    <n v="33"/>
    <n v="1"/>
    <n v="5021"/>
    <n v="5021"/>
    <n v="2033.5"/>
    <s v="Books"/>
    <s v="Pen Set"/>
    <n v="45688"/>
    <x v="0"/>
  </r>
  <r>
    <n v="476"/>
    <n v="46"/>
    <n v="2"/>
    <n v="6802"/>
    <n v="13604"/>
    <n v="4897.4400000000005"/>
    <s v="Toys"/>
    <s v="Toys Car"/>
    <n v="45688"/>
    <x v="0"/>
  </r>
  <r>
    <n v="477"/>
    <n v="40"/>
    <n v="2"/>
    <n v="5980"/>
    <n v="11960"/>
    <n v="5382"/>
    <s v="Sports"/>
    <s v="Dumbbells"/>
    <n v="45691"/>
    <x v="1"/>
  </r>
  <r>
    <n v="477"/>
    <n v="3"/>
    <n v="3"/>
    <n v="911"/>
    <n v="2733"/>
    <n v="1106.8500000000001"/>
    <s v="Electronics"/>
    <s v="Headphones"/>
    <n v="45691"/>
    <x v="1"/>
  </r>
  <r>
    <n v="478"/>
    <n v="47"/>
    <n v="3"/>
    <n v="6939"/>
    <n v="20817"/>
    <n v="7181.8499999999995"/>
    <s v="Toys"/>
    <s v="Puzzle"/>
    <n v="45694"/>
    <x v="1"/>
  </r>
  <r>
    <n v="478"/>
    <n v="10"/>
    <n v="4"/>
    <n v="1870"/>
    <n v="7480"/>
    <n v="3366"/>
    <s v="Electronics"/>
    <s v="Earbuds"/>
    <n v="45694"/>
    <x v="1"/>
  </r>
  <r>
    <n v="479"/>
    <n v="4"/>
    <n v="4"/>
    <n v="1048"/>
    <n v="4192"/>
    <n v="1634.88"/>
    <s v="Electronics"/>
    <s v="Smart Watch"/>
    <n v="45697"/>
    <x v="1"/>
  </r>
  <r>
    <n v="479"/>
    <n v="17"/>
    <n v="1"/>
    <n v="2829"/>
    <n v="2829"/>
    <n v="976"/>
    <s v="Fashion"/>
    <s v="Dress"/>
    <n v="45697"/>
    <x v="1"/>
  </r>
  <r>
    <n v="480"/>
    <n v="11"/>
    <n v="1"/>
    <n v="2007"/>
    <n v="2007"/>
    <n v="873.04"/>
    <s v="Fashion"/>
    <s v="T-Shirt"/>
    <n v="45700"/>
    <x v="1"/>
  </r>
  <r>
    <n v="480"/>
    <n v="24"/>
    <n v="2"/>
    <n v="3788"/>
    <n v="7576"/>
    <n v="2954.6400000000003"/>
    <s v="Home Appliances"/>
    <s v="Iron"/>
    <n v="45700"/>
    <x v="1"/>
  </r>
  <r>
    <n v="481"/>
    <n v="18"/>
    <n v="2"/>
    <n v="2966"/>
    <n v="5932"/>
    <n v="1957.56"/>
    <s v="Fashion"/>
    <s v="Backpack"/>
    <n v="45703"/>
    <x v="1"/>
  </r>
  <r>
    <n v="481"/>
    <n v="31"/>
    <n v="3"/>
    <n v="4747"/>
    <n v="14241"/>
    <n v="6194.82"/>
    <s v="Books"/>
    <s v="Book"/>
    <n v="45703"/>
    <x v="1"/>
  </r>
  <r>
    <n v="482"/>
    <n v="25"/>
    <n v="3"/>
    <n v="3925"/>
    <n v="11775"/>
    <n v="4415.6400000000003"/>
    <s v="Home Appliances"/>
    <s v="Vacuum Cleaner"/>
    <n v="45706"/>
    <x v="1"/>
  </r>
  <r>
    <n v="482"/>
    <n v="38"/>
    <n v="4"/>
    <n v="5706"/>
    <n v="22824"/>
    <n v="7531.92"/>
    <s v="Sports"/>
    <s v="Badminton Racket"/>
    <n v="45706"/>
    <x v="1"/>
  </r>
  <r>
    <n v="483"/>
    <n v="32"/>
    <n v="4"/>
    <n v="4884"/>
    <n v="19536"/>
    <n v="8205.1200000000008"/>
    <s v="Books"/>
    <s v="Notebook"/>
    <n v="45709"/>
    <x v="1"/>
  </r>
  <r>
    <n v="483"/>
    <n v="45"/>
    <n v="1"/>
    <n v="6665"/>
    <n v="6665"/>
    <n v="2499.38"/>
    <s v="Beauty"/>
    <s v="Sunscreen"/>
    <n v="45709"/>
    <x v="1"/>
  </r>
  <r>
    <n v="484"/>
    <n v="39"/>
    <n v="1"/>
    <n v="5843"/>
    <n v="5843"/>
    <n v="1840.54"/>
    <s v="Sports"/>
    <s v="Yoga Mat"/>
    <n v="45712"/>
    <x v="1"/>
  </r>
  <r>
    <n v="484"/>
    <n v="2"/>
    <n v="2"/>
    <n v="774"/>
    <n v="1548"/>
    <n v="650.16"/>
    <s v="Electronics"/>
    <s v="Mobile"/>
    <n v="45712"/>
    <x v="1"/>
  </r>
  <r>
    <n v="485"/>
    <n v="46"/>
    <n v="2"/>
    <n v="6802"/>
    <n v="13604"/>
    <n v="4897.4400000000005"/>
    <s v="Toys"/>
    <s v="Toys Car"/>
    <n v="45715"/>
    <x v="1"/>
  </r>
  <r>
    <n v="485"/>
    <n v="9"/>
    <n v="3"/>
    <n v="1733"/>
    <n v="5199"/>
    <n v="1637.6700000000003"/>
    <s v="Electronics"/>
    <s v="Power Bank"/>
    <n v="45715"/>
    <x v="1"/>
  </r>
  <r>
    <n v="486"/>
    <n v="3"/>
    <n v="3"/>
    <n v="911"/>
    <n v="2733"/>
    <n v="1106.8500000000001"/>
    <s v="Electronics"/>
    <s v="Headphones"/>
    <n v="45718"/>
    <x v="2"/>
  </r>
  <r>
    <n v="486"/>
    <n v="16"/>
    <n v="4"/>
    <n v="2692"/>
    <n v="10768"/>
    <n v="3876.4799999999996"/>
    <s v="Fashion"/>
    <s v="Saree"/>
    <n v="45718"/>
    <x v="2"/>
  </r>
  <r>
    <n v="487"/>
    <n v="10"/>
    <n v="4"/>
    <n v="1870"/>
    <n v="7480"/>
    <n v="3366"/>
    <s v="Electronics"/>
    <s v="Earbuds"/>
    <n v="45721"/>
    <x v="2"/>
  </r>
  <r>
    <n v="487"/>
    <n v="23"/>
    <n v="1"/>
    <n v="3651"/>
    <n v="3651"/>
    <n v="1478.65"/>
    <s v="Home Appliances"/>
    <s v="Fan"/>
    <n v="45721"/>
    <x v="2"/>
  </r>
  <r>
    <n v="488"/>
    <n v="17"/>
    <n v="1"/>
    <n v="2829"/>
    <n v="2829"/>
    <n v="976"/>
    <s v="Fashion"/>
    <s v="Dress"/>
    <n v="45724"/>
    <x v="2"/>
  </r>
  <r>
    <n v="488"/>
    <n v="30"/>
    <n v="2"/>
    <n v="4610"/>
    <n v="9220"/>
    <n v="4149"/>
    <s v="Furniture"/>
    <s v="Table"/>
    <n v="45724"/>
    <x v="2"/>
  </r>
  <r>
    <n v="489"/>
    <n v="24"/>
    <n v="2"/>
    <n v="3788"/>
    <n v="7576"/>
    <n v="2954.6400000000003"/>
    <s v="Home Appliances"/>
    <s v="Iron"/>
    <n v="45727"/>
    <x v="2"/>
  </r>
  <r>
    <n v="489"/>
    <n v="37"/>
    <n v="3"/>
    <n v="5569"/>
    <n v="16707"/>
    <n v="5763.9000000000005"/>
    <s v="Sports"/>
    <s v="Football"/>
    <n v="45727"/>
    <x v="2"/>
  </r>
  <r>
    <n v="490"/>
    <n v="31"/>
    <n v="3"/>
    <n v="4747"/>
    <n v="14241"/>
    <n v="6194.82"/>
    <s v="Books"/>
    <s v="Book"/>
    <n v="45730"/>
    <x v="2"/>
  </r>
  <r>
    <n v="490"/>
    <n v="44"/>
    <n v="4"/>
    <n v="6528"/>
    <n v="26112"/>
    <n v="10183.68"/>
    <s v="Beauty"/>
    <s v="Moisturizer"/>
    <n v="45730"/>
    <x v="2"/>
  </r>
  <r>
    <n v="491"/>
    <n v="38"/>
    <n v="4"/>
    <n v="5706"/>
    <n v="22824"/>
    <n v="7531.92"/>
    <s v="Sports"/>
    <s v="Badminton Racket"/>
    <n v="45733"/>
    <x v="2"/>
  </r>
  <r>
    <n v="491"/>
    <n v="1"/>
    <n v="1"/>
    <n v="637"/>
    <n v="637"/>
    <n v="277.08999999999997"/>
    <s v="Electronics"/>
    <s v="Laptop"/>
    <n v="45733"/>
    <x v="2"/>
  </r>
  <r>
    <n v="492"/>
    <n v="45"/>
    <n v="1"/>
    <n v="6665"/>
    <n v="6665"/>
    <n v="2499.38"/>
    <s v="Beauty"/>
    <s v="Sunscreen"/>
    <n v="45736"/>
    <x v="2"/>
  </r>
  <r>
    <n v="492"/>
    <n v="8"/>
    <n v="2"/>
    <n v="1596"/>
    <n v="3192"/>
    <n v="1053.3600000000001"/>
    <s v="Electronics"/>
    <s v="Tablet"/>
    <n v="45736"/>
    <x v="2"/>
  </r>
  <r>
    <n v="493"/>
    <n v="2"/>
    <n v="2"/>
    <n v="774"/>
    <n v="1548"/>
    <n v="650.16"/>
    <s v="Electronics"/>
    <s v="Mobile"/>
    <n v="45739"/>
    <x v="2"/>
  </r>
  <r>
    <n v="493"/>
    <n v="15"/>
    <n v="3"/>
    <n v="2555"/>
    <n v="7665"/>
    <n v="2874.3599999999997"/>
    <s v="Fashion"/>
    <s v="Shoes"/>
    <n v="45739"/>
    <x v="2"/>
  </r>
  <r>
    <n v="494"/>
    <n v="9"/>
    <n v="3"/>
    <n v="1733"/>
    <n v="5199"/>
    <n v="1637.6700000000003"/>
    <s v="Electronics"/>
    <s v="Power Bank"/>
    <n v="45742"/>
    <x v="2"/>
  </r>
  <r>
    <n v="494"/>
    <n v="22"/>
    <n v="4"/>
    <n v="3514"/>
    <n v="14056"/>
    <n v="5903.52"/>
    <s v="Home Appliances"/>
    <s v="Microwave"/>
    <n v="45742"/>
    <x v="2"/>
  </r>
  <r>
    <n v="495"/>
    <n v="16"/>
    <n v="4"/>
    <n v="2692"/>
    <n v="10768"/>
    <n v="3876.4799999999996"/>
    <s v="Fashion"/>
    <s v="Saree"/>
    <n v="45745"/>
    <x v="2"/>
  </r>
  <r>
    <n v="495"/>
    <n v="29"/>
    <n v="1"/>
    <n v="4473"/>
    <n v="4473"/>
    <n v="1408.9899999999998"/>
    <s v="Furniture"/>
    <s v="Chair"/>
    <n v="45745"/>
    <x v="2"/>
  </r>
  <r>
    <n v="496"/>
    <n v="23"/>
    <n v="1"/>
    <n v="3651"/>
    <n v="3651"/>
    <n v="1478.65"/>
    <s v="Home Appliances"/>
    <s v="Fan"/>
    <n v="45748"/>
    <x v="3"/>
  </r>
  <r>
    <n v="496"/>
    <n v="36"/>
    <n v="2"/>
    <n v="5432"/>
    <n v="10864"/>
    <n v="3911.04"/>
    <s v="Sports"/>
    <s v="Cricket Bat"/>
    <n v="45748"/>
    <x v="3"/>
  </r>
  <r>
    <n v="497"/>
    <n v="30"/>
    <n v="2"/>
    <n v="4610"/>
    <n v="9220"/>
    <n v="4149"/>
    <s v="Furniture"/>
    <s v="Table"/>
    <n v="45751"/>
    <x v="3"/>
  </r>
  <r>
    <n v="497"/>
    <n v="43"/>
    <n v="3"/>
    <n v="6391"/>
    <n v="19173"/>
    <n v="7765.0499999999993"/>
    <s v="Beauty"/>
    <s v="Perfume"/>
    <n v="45751"/>
    <x v="3"/>
  </r>
  <r>
    <n v="498"/>
    <n v="37"/>
    <n v="3"/>
    <n v="5569"/>
    <n v="16707"/>
    <n v="5763.9000000000005"/>
    <s v="Sports"/>
    <s v="Football"/>
    <n v="45754"/>
    <x v="3"/>
  </r>
  <r>
    <n v="498"/>
    <n v="50"/>
    <n v="4"/>
    <n v="7350"/>
    <n v="29400"/>
    <n v="13230"/>
    <s v="Toys"/>
    <s v="Building Blocks"/>
    <n v="45754"/>
    <x v="3"/>
  </r>
  <r>
    <n v="499"/>
    <n v="44"/>
    <n v="4"/>
    <n v="6528"/>
    <n v="26112"/>
    <n v="10183.68"/>
    <s v="Beauty"/>
    <s v="Moisturizer"/>
    <n v="45757"/>
    <x v="3"/>
  </r>
  <r>
    <n v="499"/>
    <n v="7"/>
    <n v="1"/>
    <n v="1459"/>
    <n v="1459"/>
    <n v="503.35"/>
    <s v="Electronics"/>
    <s v="Monitor"/>
    <n v="45757"/>
    <x v="3"/>
  </r>
  <r>
    <n v="500"/>
    <n v="1"/>
    <n v="1"/>
    <n v="637"/>
    <n v="637"/>
    <n v="277.08999999999997"/>
    <s v="Electronics"/>
    <s v="Laptop"/>
    <n v="45760"/>
    <x v="3"/>
  </r>
  <r>
    <n v="500"/>
    <n v="14"/>
    <n v="2"/>
    <n v="2418"/>
    <n v="4836"/>
    <n v="1886.04"/>
    <s v="Fashion"/>
    <s v="Jacket"/>
    <n v="45760"/>
    <x v="3"/>
  </r>
  <r>
    <n v="501"/>
    <n v="8"/>
    <n v="2"/>
    <n v="1596"/>
    <n v="3192"/>
    <n v="1053.3600000000001"/>
    <s v="Electronics"/>
    <s v="Tablet"/>
    <n v="45763"/>
    <x v="3"/>
  </r>
  <r>
    <n v="501"/>
    <n v="21"/>
    <n v="3"/>
    <n v="3377"/>
    <n v="10131"/>
    <n v="4406.97"/>
    <s v="Home Appliances"/>
    <s v="Mixer"/>
    <n v="45763"/>
    <x v="3"/>
  </r>
  <r>
    <n v="502"/>
    <n v="15"/>
    <n v="3"/>
    <n v="2555"/>
    <n v="7665"/>
    <n v="2874.3599999999997"/>
    <s v="Fashion"/>
    <s v="Shoes"/>
    <n v="45766"/>
    <x v="3"/>
  </r>
  <r>
    <n v="502"/>
    <n v="28"/>
    <n v="4"/>
    <n v="4336"/>
    <n v="17344"/>
    <n v="5723.52"/>
    <s v="Home &amp; Kitchen"/>
    <s v="Bottle"/>
    <n v="45766"/>
    <x v="3"/>
  </r>
  <r>
    <n v="503"/>
    <n v="22"/>
    <n v="4"/>
    <n v="3514"/>
    <n v="14056"/>
    <n v="5903.52"/>
    <s v="Home Appliances"/>
    <s v="Microwave"/>
    <n v="45769"/>
    <x v="3"/>
  </r>
  <r>
    <n v="503"/>
    <n v="35"/>
    <n v="1"/>
    <n v="5295"/>
    <n v="5295"/>
    <n v="1985.62"/>
    <s v="Books"/>
    <s v="Novel"/>
    <n v="45769"/>
    <x v="3"/>
  </r>
  <r>
    <n v="504"/>
    <n v="29"/>
    <n v="1"/>
    <n v="4473"/>
    <n v="4473"/>
    <n v="1408.9899999999998"/>
    <s v="Furniture"/>
    <s v="Chair"/>
    <n v="45772"/>
    <x v="3"/>
  </r>
  <r>
    <n v="504"/>
    <n v="42"/>
    <n v="2"/>
    <n v="6254"/>
    <n v="12508"/>
    <n v="5253.36"/>
    <s v="Beauty"/>
    <s v="Shampoo"/>
    <n v="45772"/>
    <x v="3"/>
  </r>
  <r>
    <n v="505"/>
    <n v="36"/>
    <n v="2"/>
    <n v="5432"/>
    <n v="10864"/>
    <n v="3911.04"/>
    <s v="Sports"/>
    <s v="Cricket Bat"/>
    <n v="45775"/>
    <x v="3"/>
  </r>
  <r>
    <n v="505"/>
    <n v="49"/>
    <n v="3"/>
    <n v="7213"/>
    <n v="21639"/>
    <n v="6816.27"/>
    <s v="Toys"/>
    <s v="Remote Car"/>
    <n v="45775"/>
    <x v="3"/>
  </r>
  <r>
    <n v="506"/>
    <n v="43"/>
    <n v="3"/>
    <n v="6391"/>
    <n v="19173"/>
    <n v="7765.0499999999993"/>
    <s v="Beauty"/>
    <s v="Perfume"/>
    <n v="45778"/>
    <x v="4"/>
  </r>
  <r>
    <n v="506"/>
    <n v="6"/>
    <n v="4"/>
    <n v="1322"/>
    <n v="5288"/>
    <n v="1903.6799999999998"/>
    <s v="Electronics"/>
    <s v="Mouse"/>
    <n v="45778"/>
    <x v="4"/>
  </r>
  <r>
    <n v="507"/>
    <n v="50"/>
    <n v="4"/>
    <n v="7350"/>
    <n v="29400"/>
    <n v="13230"/>
    <s v="Toys"/>
    <s v="Building Blocks"/>
    <n v="45781"/>
    <x v="4"/>
  </r>
  <r>
    <n v="507"/>
    <n v="13"/>
    <n v="1"/>
    <n v="2281"/>
    <n v="2281"/>
    <n v="923.8"/>
    <s v="Fashion"/>
    <s v="Shirt"/>
    <n v="45781"/>
    <x v="4"/>
  </r>
  <r>
    <n v="508"/>
    <n v="7"/>
    <n v="1"/>
    <n v="1459"/>
    <n v="1459"/>
    <n v="503.35"/>
    <s v="Electronics"/>
    <s v="Monitor"/>
    <n v="45784"/>
    <x v="4"/>
  </r>
  <r>
    <n v="508"/>
    <n v="20"/>
    <n v="2"/>
    <n v="3240"/>
    <n v="6480"/>
    <n v="2916"/>
    <s v="Fashion"/>
    <s v="Belt"/>
    <n v="45784"/>
    <x v="4"/>
  </r>
  <r>
    <n v="509"/>
    <n v="14"/>
    <n v="2"/>
    <n v="2418"/>
    <n v="4836"/>
    <n v="1886.04"/>
    <s v="Fashion"/>
    <s v="Jacket"/>
    <n v="45787"/>
    <x v="4"/>
  </r>
  <r>
    <n v="509"/>
    <n v="27"/>
    <n v="3"/>
    <n v="4199"/>
    <n v="12597"/>
    <n v="4345.9500000000007"/>
    <s v="Home &amp; Kitchen"/>
    <s v="Cookware Set"/>
    <n v="45787"/>
    <x v="4"/>
  </r>
  <r>
    <n v="510"/>
    <n v="21"/>
    <n v="3"/>
    <n v="3377"/>
    <n v="10131"/>
    <n v="4406.97"/>
    <s v="Home Appliances"/>
    <s v="Mixer"/>
    <n v="45790"/>
    <x v="4"/>
  </r>
  <r>
    <n v="510"/>
    <n v="34"/>
    <n v="4"/>
    <n v="5158"/>
    <n v="20632"/>
    <n v="8046.48"/>
    <s v="Books"/>
    <s v="Cookbook"/>
    <n v="45790"/>
    <x v="4"/>
  </r>
  <r>
    <n v="511"/>
    <n v="28"/>
    <n v="4"/>
    <n v="4336"/>
    <n v="17344"/>
    <n v="5723.52"/>
    <s v="Home &amp; Kitchen"/>
    <s v="Bottle"/>
    <n v="45793"/>
    <x v="4"/>
  </r>
  <r>
    <n v="511"/>
    <n v="41"/>
    <n v="1"/>
    <n v="6117"/>
    <n v="6117"/>
    <n v="2660.89"/>
    <s v="Beauty"/>
    <s v="Face Wash"/>
    <n v="45793"/>
    <x v="4"/>
  </r>
  <r>
    <n v="512"/>
    <n v="35"/>
    <n v="1"/>
    <n v="5295"/>
    <n v="5295"/>
    <n v="1985.62"/>
    <s v="Books"/>
    <s v="Novel"/>
    <n v="45796"/>
    <x v="4"/>
  </r>
  <r>
    <n v="512"/>
    <n v="48"/>
    <n v="2"/>
    <n v="7076"/>
    <n v="14152"/>
    <n v="4670.16"/>
    <s v="Toys"/>
    <s v="Board Game"/>
    <n v="45796"/>
    <x v="4"/>
  </r>
  <r>
    <n v="513"/>
    <n v="42"/>
    <n v="2"/>
    <n v="6254"/>
    <n v="12508"/>
    <n v="5253.36"/>
    <s v="Beauty"/>
    <s v="Shampoo"/>
    <n v="45799"/>
    <x v="4"/>
  </r>
  <r>
    <n v="513"/>
    <n v="5"/>
    <n v="3"/>
    <n v="1185"/>
    <n v="3555"/>
    <n v="1333.1399999999999"/>
    <s v="Electronics"/>
    <s v="Keyboard"/>
    <n v="45799"/>
    <x v="4"/>
  </r>
  <r>
    <n v="514"/>
    <n v="49"/>
    <n v="3"/>
    <n v="7213"/>
    <n v="21639"/>
    <n v="6816.27"/>
    <s v="Toys"/>
    <s v="Remote Car"/>
    <n v="45802"/>
    <x v="4"/>
  </r>
  <r>
    <n v="514"/>
    <n v="12"/>
    <n v="4"/>
    <n v="2144"/>
    <n v="8576"/>
    <n v="3601.92"/>
    <s v="Fashion"/>
    <s v="Jeans"/>
    <n v="45802"/>
    <x v="4"/>
  </r>
  <r>
    <n v="515"/>
    <n v="6"/>
    <n v="4"/>
    <n v="1322"/>
    <n v="5288"/>
    <n v="1903.6799999999998"/>
    <s v="Electronics"/>
    <s v="Mouse"/>
    <n v="45805"/>
    <x v="4"/>
  </r>
  <r>
    <n v="515"/>
    <n v="19"/>
    <n v="1"/>
    <n v="3103"/>
    <n v="3103"/>
    <n v="977.44"/>
    <s v="Fashion"/>
    <s v="Wallet"/>
    <n v="45805"/>
    <x v="4"/>
  </r>
  <r>
    <n v="516"/>
    <n v="13"/>
    <n v="1"/>
    <n v="2281"/>
    <n v="2281"/>
    <n v="923.8"/>
    <s v="Fashion"/>
    <s v="Shirt"/>
    <n v="45808"/>
    <x v="4"/>
  </r>
  <r>
    <n v="516"/>
    <n v="26"/>
    <n v="2"/>
    <n v="4062"/>
    <n v="8124"/>
    <n v="2924.6400000000003"/>
    <s v="Home &amp; Kitchen"/>
    <s v="Bedsheet"/>
    <n v="45808"/>
    <x v="4"/>
  </r>
  <r>
    <n v="517"/>
    <n v="20"/>
    <n v="2"/>
    <n v="3240"/>
    <n v="6480"/>
    <n v="2916"/>
    <s v="Fashion"/>
    <s v="Belt"/>
    <n v="45811"/>
    <x v="5"/>
  </r>
  <r>
    <n v="517"/>
    <n v="33"/>
    <n v="3"/>
    <n v="5021"/>
    <n v="15063"/>
    <n v="6100.5"/>
    <s v="Books"/>
    <s v="Pen Set"/>
    <n v="45811"/>
    <x v="5"/>
  </r>
  <r>
    <n v="518"/>
    <n v="27"/>
    <n v="3"/>
    <n v="4199"/>
    <n v="12597"/>
    <n v="4345.9500000000007"/>
    <s v="Home &amp; Kitchen"/>
    <s v="Cookware Set"/>
    <n v="45814"/>
    <x v="5"/>
  </r>
  <r>
    <n v="518"/>
    <n v="40"/>
    <n v="4"/>
    <n v="5980"/>
    <n v="23920"/>
    <n v="10764"/>
    <s v="Sports"/>
    <s v="Dumbbells"/>
    <n v="45814"/>
    <x v="5"/>
  </r>
  <r>
    <n v="519"/>
    <n v="34"/>
    <n v="4"/>
    <n v="5158"/>
    <n v="20632"/>
    <n v="8046.48"/>
    <s v="Books"/>
    <s v="Cookbook"/>
    <n v="45817"/>
    <x v="5"/>
  </r>
  <r>
    <n v="519"/>
    <n v="47"/>
    <n v="1"/>
    <n v="6939"/>
    <n v="6939"/>
    <n v="2393.9499999999998"/>
    <s v="Toys"/>
    <s v="Puzzle"/>
    <n v="45817"/>
    <x v="5"/>
  </r>
  <r>
    <n v="520"/>
    <n v="41"/>
    <n v="1"/>
    <n v="6117"/>
    <n v="6117"/>
    <n v="2660.89"/>
    <s v="Beauty"/>
    <s v="Face Wash"/>
    <n v="45820"/>
    <x v="5"/>
  </r>
  <r>
    <n v="520"/>
    <n v="4"/>
    <n v="2"/>
    <n v="1048"/>
    <n v="2096"/>
    <n v="817.44"/>
    <s v="Electronics"/>
    <s v="Smart Watch"/>
    <n v="45820"/>
    <x v="5"/>
  </r>
  <r>
    <n v="521"/>
    <n v="48"/>
    <n v="2"/>
    <n v="7076"/>
    <n v="14152"/>
    <n v="4670.16"/>
    <s v="Toys"/>
    <s v="Board Game"/>
    <n v="45823"/>
    <x v="5"/>
  </r>
  <r>
    <n v="521"/>
    <n v="11"/>
    <n v="3"/>
    <n v="2007"/>
    <n v="6021"/>
    <n v="2619.12"/>
    <s v="Fashion"/>
    <s v="T-Shirt"/>
    <n v="45823"/>
    <x v="5"/>
  </r>
  <r>
    <n v="522"/>
    <n v="5"/>
    <n v="3"/>
    <n v="1185"/>
    <n v="3555"/>
    <n v="1333.1399999999999"/>
    <s v="Electronics"/>
    <s v="Keyboard"/>
    <n v="45826"/>
    <x v="5"/>
  </r>
  <r>
    <n v="522"/>
    <n v="18"/>
    <n v="4"/>
    <n v="2966"/>
    <n v="11864"/>
    <n v="3915.12"/>
    <s v="Fashion"/>
    <s v="Backpack"/>
    <n v="45826"/>
    <x v="5"/>
  </r>
  <r>
    <n v="523"/>
    <n v="12"/>
    <n v="4"/>
    <n v="2144"/>
    <n v="8576"/>
    <n v="3601.92"/>
    <s v="Fashion"/>
    <s v="Jeans"/>
    <n v="45829"/>
    <x v="5"/>
  </r>
  <r>
    <n v="523"/>
    <n v="25"/>
    <n v="1"/>
    <n v="3925"/>
    <n v="3925"/>
    <n v="1471.88"/>
    <s v="Home Appliances"/>
    <s v="Vacuum Cleaner"/>
    <n v="45829"/>
    <x v="5"/>
  </r>
  <r>
    <n v="524"/>
    <n v="19"/>
    <n v="1"/>
    <n v="3103"/>
    <n v="3103"/>
    <n v="977.44"/>
    <s v="Fashion"/>
    <s v="Wallet"/>
    <n v="45832"/>
    <x v="5"/>
  </r>
  <r>
    <n v="524"/>
    <n v="32"/>
    <n v="2"/>
    <n v="4884"/>
    <n v="9768"/>
    <n v="4102.5600000000004"/>
    <s v="Books"/>
    <s v="Notebook"/>
    <n v="45832"/>
    <x v="5"/>
  </r>
  <r>
    <n v="525"/>
    <n v="26"/>
    <n v="2"/>
    <n v="4062"/>
    <n v="8124"/>
    <n v="2924.6400000000003"/>
    <s v="Home &amp; Kitchen"/>
    <s v="Bedsheet"/>
    <n v="45835"/>
    <x v="5"/>
  </r>
  <r>
    <n v="525"/>
    <n v="39"/>
    <n v="3"/>
    <n v="5843"/>
    <n v="17529"/>
    <n v="5521.62"/>
    <s v="Sports"/>
    <s v="Yoga Mat"/>
    <n v="45835"/>
    <x v="5"/>
  </r>
  <r>
    <n v="526"/>
    <n v="33"/>
    <n v="3"/>
    <n v="5021"/>
    <n v="15063"/>
    <n v="6100.5"/>
    <s v="Books"/>
    <s v="Pen Set"/>
    <n v="45838"/>
    <x v="5"/>
  </r>
  <r>
    <n v="526"/>
    <n v="46"/>
    <n v="4"/>
    <n v="6802"/>
    <n v="27208"/>
    <n v="9794.880000000001"/>
    <s v="Toys"/>
    <s v="Toys Car"/>
    <n v="45838"/>
    <x v="5"/>
  </r>
  <r>
    <n v="527"/>
    <n v="40"/>
    <n v="4"/>
    <n v="5980"/>
    <n v="23920"/>
    <n v="10764"/>
    <s v="Sports"/>
    <s v="Dumbbells"/>
    <n v="45841"/>
    <x v="6"/>
  </r>
  <r>
    <n v="527"/>
    <n v="3"/>
    <n v="1"/>
    <n v="911"/>
    <n v="911"/>
    <n v="368.95000000000005"/>
    <s v="Electronics"/>
    <s v="Headphones"/>
    <n v="45841"/>
    <x v="6"/>
  </r>
  <r>
    <n v="528"/>
    <n v="47"/>
    <n v="1"/>
    <n v="6939"/>
    <n v="6939"/>
    <n v="2393.9499999999998"/>
    <s v="Toys"/>
    <s v="Puzzle"/>
    <n v="45844"/>
    <x v="6"/>
  </r>
  <r>
    <n v="528"/>
    <n v="10"/>
    <n v="2"/>
    <n v="1870"/>
    <n v="3740"/>
    <n v="1683"/>
    <s v="Electronics"/>
    <s v="Earbuds"/>
    <n v="45844"/>
    <x v="6"/>
  </r>
  <r>
    <n v="529"/>
    <n v="4"/>
    <n v="2"/>
    <n v="1048"/>
    <n v="2096"/>
    <n v="817.44"/>
    <s v="Electronics"/>
    <s v="Smart Watch"/>
    <n v="45847"/>
    <x v="6"/>
  </r>
  <r>
    <n v="529"/>
    <n v="17"/>
    <n v="3"/>
    <n v="2829"/>
    <n v="8487"/>
    <n v="2928"/>
    <s v="Fashion"/>
    <s v="Dress"/>
    <n v="45847"/>
    <x v="6"/>
  </r>
  <r>
    <n v="530"/>
    <n v="11"/>
    <n v="3"/>
    <n v="2007"/>
    <n v="6021"/>
    <n v="2619.12"/>
    <s v="Fashion"/>
    <s v="T-Shirt"/>
    <n v="45850"/>
    <x v="6"/>
  </r>
  <r>
    <n v="530"/>
    <n v="24"/>
    <n v="4"/>
    <n v="3788"/>
    <n v="15152"/>
    <n v="5909.2800000000007"/>
    <s v="Home Appliances"/>
    <s v="Iron"/>
    <n v="45850"/>
    <x v="6"/>
  </r>
  <r>
    <n v="531"/>
    <n v="18"/>
    <n v="4"/>
    <n v="2966"/>
    <n v="11864"/>
    <n v="3915.12"/>
    <s v="Fashion"/>
    <s v="Backpack"/>
    <n v="45853"/>
    <x v="6"/>
  </r>
  <r>
    <n v="531"/>
    <n v="31"/>
    <n v="1"/>
    <n v="4747"/>
    <n v="4747"/>
    <n v="2064.94"/>
    <s v="Books"/>
    <s v="Book"/>
    <n v="45853"/>
    <x v="6"/>
  </r>
  <r>
    <n v="532"/>
    <n v="25"/>
    <n v="1"/>
    <n v="3925"/>
    <n v="3925"/>
    <n v="1471.88"/>
    <s v="Home Appliances"/>
    <s v="Vacuum Cleaner"/>
    <n v="45856"/>
    <x v="6"/>
  </r>
  <r>
    <n v="532"/>
    <n v="38"/>
    <n v="2"/>
    <n v="5706"/>
    <n v="11412"/>
    <n v="3765.96"/>
    <s v="Sports"/>
    <s v="Badminton Racket"/>
    <n v="45856"/>
    <x v="6"/>
  </r>
  <r>
    <n v="533"/>
    <n v="32"/>
    <n v="2"/>
    <n v="4884"/>
    <n v="9768"/>
    <n v="4102.5600000000004"/>
    <s v="Books"/>
    <s v="Notebook"/>
    <n v="45859"/>
    <x v="6"/>
  </r>
  <r>
    <n v="533"/>
    <n v="45"/>
    <n v="3"/>
    <n v="6665"/>
    <n v="19995"/>
    <n v="7498.14"/>
    <s v="Beauty"/>
    <s v="Sunscreen"/>
    <n v="45859"/>
    <x v="6"/>
  </r>
  <r>
    <n v="534"/>
    <n v="39"/>
    <n v="3"/>
    <n v="5843"/>
    <n v="17529"/>
    <n v="5521.62"/>
    <s v="Sports"/>
    <s v="Yoga Mat"/>
    <n v="45862"/>
    <x v="6"/>
  </r>
  <r>
    <n v="534"/>
    <n v="2"/>
    <n v="4"/>
    <n v="774"/>
    <n v="3096"/>
    <n v="1300.32"/>
    <s v="Electronics"/>
    <s v="Mobile"/>
    <n v="45862"/>
    <x v="6"/>
  </r>
  <r>
    <n v="535"/>
    <n v="46"/>
    <n v="4"/>
    <n v="6802"/>
    <n v="27208"/>
    <n v="9794.880000000001"/>
    <s v="Toys"/>
    <s v="Toys Car"/>
    <n v="45865"/>
    <x v="6"/>
  </r>
  <r>
    <n v="535"/>
    <n v="9"/>
    <n v="1"/>
    <n v="1733"/>
    <n v="1733"/>
    <n v="545.8900000000001"/>
    <s v="Electronics"/>
    <s v="Power Bank"/>
    <n v="45865"/>
    <x v="6"/>
  </r>
  <r>
    <n v="536"/>
    <n v="3"/>
    <n v="1"/>
    <n v="911"/>
    <n v="911"/>
    <n v="368.95000000000005"/>
    <s v="Electronics"/>
    <s v="Headphones"/>
    <n v="45868"/>
    <x v="6"/>
  </r>
  <r>
    <n v="536"/>
    <n v="16"/>
    <n v="2"/>
    <n v="2692"/>
    <n v="5384"/>
    <n v="1938.2399999999998"/>
    <s v="Fashion"/>
    <s v="Saree"/>
    <n v="45868"/>
    <x v="6"/>
  </r>
  <r>
    <n v="537"/>
    <n v="10"/>
    <n v="2"/>
    <n v="1870"/>
    <n v="3740"/>
    <n v="1683"/>
    <s v="Electronics"/>
    <s v="Earbuds"/>
    <n v="45871"/>
    <x v="7"/>
  </r>
  <r>
    <n v="537"/>
    <n v="23"/>
    <n v="3"/>
    <n v="3651"/>
    <n v="10953"/>
    <n v="4435.9500000000007"/>
    <s v="Home Appliances"/>
    <s v="Fan"/>
    <n v="45871"/>
    <x v="7"/>
  </r>
  <r>
    <n v="538"/>
    <n v="17"/>
    <n v="3"/>
    <n v="2829"/>
    <n v="8487"/>
    <n v="2928"/>
    <s v="Fashion"/>
    <s v="Dress"/>
    <n v="45874"/>
    <x v="7"/>
  </r>
  <r>
    <n v="538"/>
    <n v="30"/>
    <n v="4"/>
    <n v="4610"/>
    <n v="18440"/>
    <n v="8298"/>
    <s v="Furniture"/>
    <s v="Table"/>
    <n v="45874"/>
    <x v="7"/>
  </r>
  <r>
    <n v="539"/>
    <n v="24"/>
    <n v="4"/>
    <n v="3788"/>
    <n v="15152"/>
    <n v="5909.2800000000007"/>
    <s v="Home Appliances"/>
    <s v="Iron"/>
    <n v="45877"/>
    <x v="7"/>
  </r>
  <r>
    <n v="539"/>
    <n v="37"/>
    <n v="1"/>
    <n v="5569"/>
    <n v="5569"/>
    <n v="1921.3000000000002"/>
    <s v="Sports"/>
    <s v="Football"/>
    <n v="45877"/>
    <x v="7"/>
  </r>
  <r>
    <n v="540"/>
    <n v="31"/>
    <n v="1"/>
    <n v="4747"/>
    <n v="4747"/>
    <n v="2064.94"/>
    <s v="Books"/>
    <s v="Book"/>
    <n v="45880"/>
    <x v="7"/>
  </r>
  <r>
    <n v="540"/>
    <n v="44"/>
    <n v="2"/>
    <n v="6528"/>
    <n v="13056"/>
    <n v="5091.84"/>
    <s v="Beauty"/>
    <s v="Moisturizer"/>
    <n v="45880"/>
    <x v="7"/>
  </r>
  <r>
    <n v="541"/>
    <n v="38"/>
    <n v="2"/>
    <n v="5706"/>
    <n v="11412"/>
    <n v="3765.96"/>
    <s v="Sports"/>
    <s v="Badminton Racket"/>
    <n v="45883"/>
    <x v="7"/>
  </r>
  <r>
    <n v="541"/>
    <n v="1"/>
    <n v="3"/>
    <n v="637"/>
    <n v="1911"/>
    <n v="831.27"/>
    <s v="Electronics"/>
    <s v="Laptop"/>
    <n v="45883"/>
    <x v="7"/>
  </r>
  <r>
    <n v="542"/>
    <n v="45"/>
    <n v="3"/>
    <n v="6665"/>
    <n v="19995"/>
    <n v="7498.14"/>
    <s v="Beauty"/>
    <s v="Sunscreen"/>
    <n v="45886"/>
    <x v="7"/>
  </r>
  <r>
    <n v="542"/>
    <n v="8"/>
    <n v="4"/>
    <n v="1596"/>
    <n v="6384"/>
    <n v="2106.7200000000003"/>
    <s v="Electronics"/>
    <s v="Tablet"/>
    <n v="45886"/>
    <x v="7"/>
  </r>
  <r>
    <n v="543"/>
    <n v="2"/>
    <n v="4"/>
    <n v="774"/>
    <n v="3096"/>
    <n v="1300.32"/>
    <s v="Electronics"/>
    <s v="Mobile"/>
    <n v="45889"/>
    <x v="7"/>
  </r>
  <r>
    <n v="543"/>
    <n v="15"/>
    <n v="1"/>
    <n v="2555"/>
    <n v="2555"/>
    <n v="958.11999999999989"/>
    <s v="Fashion"/>
    <s v="Shoes"/>
    <n v="45889"/>
    <x v="7"/>
  </r>
  <r>
    <n v="544"/>
    <n v="9"/>
    <n v="1"/>
    <n v="1733"/>
    <n v="1733"/>
    <n v="545.8900000000001"/>
    <s v="Electronics"/>
    <s v="Power Bank"/>
    <n v="45892"/>
    <x v="7"/>
  </r>
  <r>
    <n v="544"/>
    <n v="22"/>
    <n v="2"/>
    <n v="3514"/>
    <n v="7028"/>
    <n v="2951.76"/>
    <s v="Home Appliances"/>
    <s v="Microwave"/>
    <n v="45892"/>
    <x v="7"/>
  </r>
  <r>
    <n v="545"/>
    <n v="16"/>
    <n v="2"/>
    <n v="2692"/>
    <n v="5384"/>
    <n v="1938.2399999999998"/>
    <s v="Fashion"/>
    <s v="Saree"/>
    <n v="45895"/>
    <x v="7"/>
  </r>
  <r>
    <n v="545"/>
    <n v="29"/>
    <n v="3"/>
    <n v="4473"/>
    <n v="13419"/>
    <n v="4226.9699999999993"/>
    <s v="Furniture"/>
    <s v="Chair"/>
    <n v="45895"/>
    <x v="7"/>
  </r>
  <r>
    <n v="546"/>
    <n v="23"/>
    <n v="3"/>
    <n v="3651"/>
    <n v="10953"/>
    <n v="4435.9500000000007"/>
    <s v="Home Appliances"/>
    <s v="Fan"/>
    <n v="45898"/>
    <x v="7"/>
  </r>
  <r>
    <n v="546"/>
    <n v="36"/>
    <n v="4"/>
    <n v="5432"/>
    <n v="21728"/>
    <n v="7822.08"/>
    <s v="Sports"/>
    <s v="Cricket Bat"/>
    <n v="45898"/>
    <x v="7"/>
  </r>
  <r>
    <n v="547"/>
    <n v="30"/>
    <n v="4"/>
    <n v="4610"/>
    <n v="18440"/>
    <n v="8298"/>
    <s v="Furniture"/>
    <s v="Table"/>
    <n v="45901"/>
    <x v="8"/>
  </r>
  <r>
    <n v="547"/>
    <n v="43"/>
    <n v="1"/>
    <n v="6391"/>
    <n v="6391"/>
    <n v="2588.35"/>
    <s v="Beauty"/>
    <s v="Perfume"/>
    <n v="45901"/>
    <x v="8"/>
  </r>
  <r>
    <n v="548"/>
    <n v="37"/>
    <n v="1"/>
    <n v="5569"/>
    <n v="5569"/>
    <n v="1921.3000000000002"/>
    <s v="Sports"/>
    <s v="Football"/>
    <n v="45904"/>
    <x v="8"/>
  </r>
  <r>
    <n v="548"/>
    <n v="50"/>
    <n v="2"/>
    <n v="7350"/>
    <n v="14700"/>
    <n v="6615"/>
    <s v="Toys"/>
    <s v="Building Blocks"/>
    <n v="45904"/>
    <x v="8"/>
  </r>
  <r>
    <n v="549"/>
    <n v="44"/>
    <n v="2"/>
    <n v="6528"/>
    <n v="13056"/>
    <n v="5091.84"/>
    <s v="Beauty"/>
    <s v="Moisturizer"/>
    <n v="45907"/>
    <x v="8"/>
  </r>
  <r>
    <n v="549"/>
    <n v="7"/>
    <n v="3"/>
    <n v="1459"/>
    <n v="4377"/>
    <n v="1510.0500000000002"/>
    <s v="Electronics"/>
    <s v="Monitor"/>
    <n v="45907"/>
    <x v="8"/>
  </r>
  <r>
    <n v="550"/>
    <n v="1"/>
    <n v="3"/>
    <n v="637"/>
    <n v="1911"/>
    <n v="831.27"/>
    <s v="Electronics"/>
    <s v="Laptop"/>
    <n v="45910"/>
    <x v="8"/>
  </r>
  <r>
    <n v="550"/>
    <n v="14"/>
    <n v="4"/>
    <n v="2418"/>
    <n v="9672"/>
    <n v="3772.08"/>
    <s v="Fashion"/>
    <s v="Jacket"/>
    <n v="45910"/>
    <x v="8"/>
  </r>
  <r>
    <n v="551"/>
    <n v="8"/>
    <n v="4"/>
    <n v="1596"/>
    <n v="6384"/>
    <n v="2106.7200000000003"/>
    <s v="Electronics"/>
    <s v="Tablet"/>
    <n v="45913"/>
    <x v="8"/>
  </r>
  <r>
    <n v="551"/>
    <n v="21"/>
    <n v="1"/>
    <n v="3377"/>
    <n v="3377"/>
    <n v="1468.99"/>
    <s v="Home Appliances"/>
    <s v="Mixer"/>
    <n v="45913"/>
    <x v="8"/>
  </r>
  <r>
    <n v="552"/>
    <n v="15"/>
    <n v="1"/>
    <n v="2555"/>
    <n v="2555"/>
    <n v="958.11999999999989"/>
    <s v="Fashion"/>
    <s v="Shoes"/>
    <n v="45916"/>
    <x v="8"/>
  </r>
  <r>
    <n v="552"/>
    <n v="28"/>
    <n v="2"/>
    <n v="4336"/>
    <n v="8672"/>
    <n v="2861.76"/>
    <s v="Home &amp; Kitchen"/>
    <s v="Bottle"/>
    <n v="45916"/>
    <x v="8"/>
  </r>
  <r>
    <n v="553"/>
    <n v="22"/>
    <n v="2"/>
    <n v="3514"/>
    <n v="7028"/>
    <n v="2951.76"/>
    <s v="Home Appliances"/>
    <s v="Microwave"/>
    <n v="45919"/>
    <x v="8"/>
  </r>
  <r>
    <n v="553"/>
    <n v="35"/>
    <n v="3"/>
    <n v="5295"/>
    <n v="15885"/>
    <n v="5956.86"/>
    <s v="Books"/>
    <s v="Novel"/>
    <n v="45919"/>
    <x v="8"/>
  </r>
  <r>
    <n v="554"/>
    <n v="29"/>
    <n v="3"/>
    <n v="4473"/>
    <n v="13419"/>
    <n v="4226.9699999999993"/>
    <s v="Furniture"/>
    <s v="Chair"/>
    <n v="45922"/>
    <x v="8"/>
  </r>
  <r>
    <n v="554"/>
    <n v="42"/>
    <n v="4"/>
    <n v="6254"/>
    <n v="25016"/>
    <n v="10506.72"/>
    <s v="Beauty"/>
    <s v="Shampoo"/>
    <n v="45922"/>
    <x v="8"/>
  </r>
  <r>
    <n v="555"/>
    <n v="36"/>
    <n v="4"/>
    <n v="5432"/>
    <n v="21728"/>
    <n v="7822.08"/>
    <s v="Sports"/>
    <s v="Cricket Bat"/>
    <n v="45925"/>
    <x v="8"/>
  </r>
  <r>
    <n v="555"/>
    <n v="49"/>
    <n v="1"/>
    <n v="7213"/>
    <n v="7213"/>
    <n v="2272.09"/>
    <s v="Toys"/>
    <s v="Remote Car"/>
    <n v="45925"/>
    <x v="8"/>
  </r>
  <r>
    <n v="556"/>
    <n v="43"/>
    <n v="1"/>
    <n v="6391"/>
    <n v="6391"/>
    <n v="2588.35"/>
    <s v="Beauty"/>
    <s v="Perfume"/>
    <n v="45928"/>
    <x v="8"/>
  </r>
  <r>
    <n v="556"/>
    <n v="6"/>
    <n v="2"/>
    <n v="1322"/>
    <n v="2644"/>
    <n v="951.83999999999992"/>
    <s v="Electronics"/>
    <s v="Mouse"/>
    <n v="45928"/>
    <x v="8"/>
  </r>
  <r>
    <n v="557"/>
    <n v="50"/>
    <n v="2"/>
    <n v="7350"/>
    <n v="14700"/>
    <n v="6615"/>
    <s v="Toys"/>
    <s v="Building Blocks"/>
    <n v="45931"/>
    <x v="9"/>
  </r>
  <r>
    <n v="557"/>
    <n v="13"/>
    <n v="3"/>
    <n v="2281"/>
    <n v="6843"/>
    <n v="2771.3999999999996"/>
    <s v="Fashion"/>
    <s v="Shirt"/>
    <n v="45931"/>
    <x v="9"/>
  </r>
  <r>
    <n v="558"/>
    <n v="7"/>
    <n v="3"/>
    <n v="1459"/>
    <n v="4377"/>
    <n v="1510.0500000000002"/>
    <s v="Electronics"/>
    <s v="Monitor"/>
    <n v="45934"/>
    <x v="9"/>
  </r>
  <r>
    <n v="558"/>
    <n v="20"/>
    <n v="4"/>
    <n v="3240"/>
    <n v="12960"/>
    <n v="5832"/>
    <s v="Fashion"/>
    <s v="Belt"/>
    <n v="45934"/>
    <x v="9"/>
  </r>
  <r>
    <n v="559"/>
    <n v="14"/>
    <n v="4"/>
    <n v="2418"/>
    <n v="9672"/>
    <n v="3772.08"/>
    <s v="Fashion"/>
    <s v="Jacket"/>
    <n v="45937"/>
    <x v="9"/>
  </r>
  <r>
    <n v="559"/>
    <n v="27"/>
    <n v="1"/>
    <n v="4199"/>
    <n v="4199"/>
    <n v="1448.65"/>
    <s v="Home &amp; Kitchen"/>
    <s v="Cookware Set"/>
    <n v="45937"/>
    <x v="9"/>
  </r>
  <r>
    <n v="560"/>
    <n v="21"/>
    <n v="1"/>
    <n v="3377"/>
    <n v="3377"/>
    <n v="1468.99"/>
    <s v="Home Appliances"/>
    <s v="Mixer"/>
    <n v="45940"/>
    <x v="9"/>
  </r>
  <r>
    <n v="560"/>
    <n v="34"/>
    <n v="2"/>
    <n v="5158"/>
    <n v="10316"/>
    <n v="4023.24"/>
    <s v="Books"/>
    <s v="Cookbook"/>
    <n v="45940"/>
    <x v="9"/>
  </r>
  <r>
    <n v="561"/>
    <n v="28"/>
    <n v="2"/>
    <n v="4336"/>
    <n v="8672"/>
    <n v="2861.76"/>
    <s v="Home &amp; Kitchen"/>
    <s v="Bottle"/>
    <n v="45943"/>
    <x v="9"/>
  </r>
  <r>
    <n v="561"/>
    <n v="41"/>
    <n v="3"/>
    <n v="6117"/>
    <n v="18351"/>
    <n v="7982.67"/>
    <s v="Beauty"/>
    <s v="Face Wash"/>
    <n v="45943"/>
    <x v="9"/>
  </r>
  <r>
    <n v="562"/>
    <n v="35"/>
    <n v="3"/>
    <n v="5295"/>
    <n v="15885"/>
    <n v="5956.86"/>
    <s v="Books"/>
    <s v="Novel"/>
    <n v="45946"/>
    <x v="9"/>
  </r>
  <r>
    <n v="562"/>
    <n v="48"/>
    <n v="4"/>
    <n v="7076"/>
    <n v="28304"/>
    <n v="9340.32"/>
    <s v="Toys"/>
    <s v="Board Game"/>
    <n v="45946"/>
    <x v="9"/>
  </r>
  <r>
    <n v="563"/>
    <n v="42"/>
    <n v="4"/>
    <n v="6254"/>
    <n v="25016"/>
    <n v="10506.72"/>
    <s v="Beauty"/>
    <s v="Shampoo"/>
    <n v="45949"/>
    <x v="9"/>
  </r>
  <r>
    <n v="563"/>
    <n v="5"/>
    <n v="1"/>
    <n v="1185"/>
    <n v="1185"/>
    <n v="444.38"/>
    <s v="Electronics"/>
    <s v="Keyboard"/>
    <n v="45949"/>
    <x v="9"/>
  </r>
  <r>
    <n v="564"/>
    <n v="49"/>
    <n v="1"/>
    <n v="7213"/>
    <n v="7213"/>
    <n v="2272.09"/>
    <s v="Toys"/>
    <s v="Remote Car"/>
    <n v="45952"/>
    <x v="9"/>
  </r>
  <r>
    <n v="564"/>
    <n v="12"/>
    <n v="2"/>
    <n v="2144"/>
    <n v="4288"/>
    <n v="1800.96"/>
    <s v="Fashion"/>
    <s v="Jeans"/>
    <n v="45952"/>
    <x v="9"/>
  </r>
  <r>
    <n v="565"/>
    <n v="6"/>
    <n v="2"/>
    <n v="1322"/>
    <n v="2644"/>
    <n v="951.83999999999992"/>
    <s v="Electronics"/>
    <s v="Mouse"/>
    <n v="45955"/>
    <x v="9"/>
  </r>
  <r>
    <n v="565"/>
    <n v="19"/>
    <n v="3"/>
    <n v="3103"/>
    <n v="9309"/>
    <n v="2932.32"/>
    <s v="Fashion"/>
    <s v="Wallet"/>
    <n v="45955"/>
    <x v="9"/>
  </r>
  <r>
    <n v="566"/>
    <n v="13"/>
    <n v="3"/>
    <n v="2281"/>
    <n v="6843"/>
    <n v="2771.3999999999996"/>
    <s v="Fashion"/>
    <s v="Shirt"/>
    <n v="45958"/>
    <x v="9"/>
  </r>
  <r>
    <n v="566"/>
    <n v="26"/>
    <n v="4"/>
    <n v="4062"/>
    <n v="16248"/>
    <n v="5849.2800000000007"/>
    <s v="Home &amp; Kitchen"/>
    <s v="Bedsheet"/>
    <n v="45958"/>
    <x v="9"/>
  </r>
  <r>
    <n v="567"/>
    <n v="20"/>
    <n v="4"/>
    <n v="3240"/>
    <n v="12960"/>
    <n v="5832"/>
    <s v="Fashion"/>
    <s v="Belt"/>
    <n v="45961"/>
    <x v="9"/>
  </r>
  <r>
    <n v="567"/>
    <n v="33"/>
    <n v="1"/>
    <n v="5021"/>
    <n v="5021"/>
    <n v="2033.5"/>
    <s v="Books"/>
    <s v="Pen Set"/>
    <n v="45961"/>
    <x v="9"/>
  </r>
  <r>
    <n v="568"/>
    <n v="27"/>
    <n v="1"/>
    <n v="4199"/>
    <n v="4199"/>
    <n v="1448.65"/>
    <s v="Home &amp; Kitchen"/>
    <s v="Cookware Set"/>
    <n v="45964"/>
    <x v="10"/>
  </r>
  <r>
    <n v="568"/>
    <n v="40"/>
    <n v="2"/>
    <n v="5980"/>
    <n v="11960"/>
    <n v="5382"/>
    <s v="Sports"/>
    <s v="Dumbbells"/>
    <n v="45964"/>
    <x v="10"/>
  </r>
  <r>
    <n v="569"/>
    <n v="34"/>
    <n v="2"/>
    <n v="5158"/>
    <n v="10316"/>
    <n v="4023.24"/>
    <s v="Books"/>
    <s v="Cookbook"/>
    <n v="45967"/>
    <x v="10"/>
  </r>
  <r>
    <n v="569"/>
    <n v="47"/>
    <n v="3"/>
    <n v="6939"/>
    <n v="20817"/>
    <n v="7181.8499999999995"/>
    <s v="Toys"/>
    <s v="Puzzle"/>
    <n v="45967"/>
    <x v="10"/>
  </r>
  <r>
    <n v="570"/>
    <n v="41"/>
    <n v="3"/>
    <n v="6117"/>
    <n v="18351"/>
    <n v="7982.67"/>
    <s v="Beauty"/>
    <s v="Face Wash"/>
    <n v="45970"/>
    <x v="10"/>
  </r>
  <r>
    <n v="570"/>
    <n v="4"/>
    <n v="4"/>
    <n v="1048"/>
    <n v="4192"/>
    <n v="1634.88"/>
    <s v="Electronics"/>
    <s v="Smart Watch"/>
    <n v="45970"/>
    <x v="10"/>
  </r>
  <r>
    <n v="571"/>
    <n v="48"/>
    <n v="4"/>
    <n v="7076"/>
    <n v="28304"/>
    <n v="9340.32"/>
    <s v="Toys"/>
    <s v="Board Game"/>
    <n v="45973"/>
    <x v="10"/>
  </r>
  <r>
    <n v="571"/>
    <n v="11"/>
    <n v="1"/>
    <n v="2007"/>
    <n v="2007"/>
    <n v="873.04"/>
    <s v="Fashion"/>
    <s v="T-Shirt"/>
    <n v="45973"/>
    <x v="10"/>
  </r>
  <r>
    <n v="572"/>
    <n v="5"/>
    <n v="1"/>
    <n v="1185"/>
    <n v="1185"/>
    <n v="444.38"/>
    <s v="Electronics"/>
    <s v="Keyboard"/>
    <n v="45976"/>
    <x v="10"/>
  </r>
  <r>
    <n v="572"/>
    <n v="18"/>
    <n v="2"/>
    <n v="2966"/>
    <n v="5932"/>
    <n v="1957.56"/>
    <s v="Fashion"/>
    <s v="Backpack"/>
    <n v="45976"/>
    <x v="10"/>
  </r>
  <r>
    <n v="573"/>
    <n v="12"/>
    <n v="2"/>
    <n v="2144"/>
    <n v="4288"/>
    <n v="1800.96"/>
    <s v="Fashion"/>
    <s v="Jeans"/>
    <n v="45979"/>
    <x v="10"/>
  </r>
  <r>
    <n v="573"/>
    <n v="25"/>
    <n v="3"/>
    <n v="3925"/>
    <n v="11775"/>
    <n v="4415.6400000000003"/>
    <s v="Home Appliances"/>
    <s v="Vacuum Cleaner"/>
    <n v="45979"/>
    <x v="10"/>
  </r>
  <r>
    <n v="574"/>
    <n v="19"/>
    <n v="3"/>
    <n v="3103"/>
    <n v="9309"/>
    <n v="2932.32"/>
    <s v="Fashion"/>
    <s v="Wallet"/>
    <n v="45982"/>
    <x v="10"/>
  </r>
  <r>
    <n v="574"/>
    <n v="32"/>
    <n v="4"/>
    <n v="4884"/>
    <n v="19536"/>
    <n v="8205.1200000000008"/>
    <s v="Books"/>
    <s v="Notebook"/>
    <n v="45982"/>
    <x v="10"/>
  </r>
  <r>
    <n v="575"/>
    <n v="26"/>
    <n v="4"/>
    <n v="4062"/>
    <n v="16248"/>
    <n v="5849.2800000000007"/>
    <s v="Home &amp; Kitchen"/>
    <s v="Bedsheet"/>
    <n v="45985"/>
    <x v="10"/>
  </r>
  <r>
    <n v="575"/>
    <n v="39"/>
    <n v="1"/>
    <n v="5843"/>
    <n v="5843"/>
    <n v="1840.54"/>
    <s v="Sports"/>
    <s v="Yoga Mat"/>
    <n v="45985"/>
    <x v="10"/>
  </r>
  <r>
    <n v="576"/>
    <n v="33"/>
    <n v="1"/>
    <n v="5021"/>
    <n v="5021"/>
    <n v="2033.5"/>
    <s v="Books"/>
    <s v="Pen Set"/>
    <n v="45988"/>
    <x v="10"/>
  </r>
  <r>
    <n v="576"/>
    <n v="46"/>
    <n v="2"/>
    <n v="6802"/>
    <n v="13604"/>
    <n v="4897.4400000000005"/>
    <s v="Toys"/>
    <s v="Toys Car"/>
    <n v="45988"/>
    <x v="10"/>
  </r>
  <r>
    <n v="577"/>
    <n v="40"/>
    <n v="2"/>
    <n v="5980"/>
    <n v="11960"/>
    <n v="5382"/>
    <s v="Sports"/>
    <s v="Dumbbells"/>
    <n v="45991"/>
    <x v="10"/>
  </r>
  <r>
    <n v="577"/>
    <n v="3"/>
    <n v="3"/>
    <n v="911"/>
    <n v="2733"/>
    <n v="1106.8500000000001"/>
    <s v="Electronics"/>
    <s v="Headphones"/>
    <n v="45991"/>
    <x v="10"/>
  </r>
  <r>
    <n v="578"/>
    <n v="47"/>
    <n v="3"/>
    <n v="6939"/>
    <n v="20817"/>
    <n v="7181.8499999999995"/>
    <s v="Toys"/>
    <s v="Puzzle"/>
    <n v="45994"/>
    <x v="11"/>
  </r>
  <r>
    <n v="578"/>
    <n v="10"/>
    <n v="4"/>
    <n v="1870"/>
    <n v="7480"/>
    <n v="3366"/>
    <s v="Electronics"/>
    <s v="Earbuds"/>
    <n v="45994"/>
    <x v="11"/>
  </r>
  <r>
    <n v="579"/>
    <n v="4"/>
    <n v="4"/>
    <n v="1048"/>
    <n v="4192"/>
    <n v="1634.88"/>
    <s v="Electronics"/>
    <s v="Smart Watch"/>
    <n v="45997"/>
    <x v="11"/>
  </r>
  <r>
    <n v="579"/>
    <n v="17"/>
    <n v="1"/>
    <n v="2829"/>
    <n v="2829"/>
    <n v="976"/>
    <s v="Fashion"/>
    <s v="Dress"/>
    <n v="45997"/>
    <x v="11"/>
  </r>
  <r>
    <n v="580"/>
    <n v="11"/>
    <n v="1"/>
    <n v="2007"/>
    <n v="2007"/>
    <n v="873.04"/>
    <s v="Fashion"/>
    <s v="T-Shirt"/>
    <n v="46000"/>
    <x v="11"/>
  </r>
  <r>
    <n v="580"/>
    <n v="24"/>
    <n v="2"/>
    <n v="3788"/>
    <n v="7576"/>
    <n v="2954.6400000000003"/>
    <s v="Home Appliances"/>
    <s v="Iron"/>
    <n v="46000"/>
    <x v="11"/>
  </r>
  <r>
    <n v="581"/>
    <n v="18"/>
    <n v="2"/>
    <n v="2966"/>
    <n v="5932"/>
    <n v="1957.56"/>
    <s v="Fashion"/>
    <s v="Backpack"/>
    <n v="46003"/>
    <x v="11"/>
  </r>
  <r>
    <n v="581"/>
    <n v="31"/>
    <n v="3"/>
    <n v="4747"/>
    <n v="14241"/>
    <n v="6194.82"/>
    <s v="Books"/>
    <s v="Book"/>
    <n v="46003"/>
    <x v="11"/>
  </r>
  <r>
    <n v="582"/>
    <n v="25"/>
    <n v="3"/>
    <n v="3925"/>
    <n v="11775"/>
    <n v="4415.6400000000003"/>
    <s v="Home Appliances"/>
    <s v="Vacuum Cleaner"/>
    <n v="46006"/>
    <x v="11"/>
  </r>
  <r>
    <n v="582"/>
    <n v="38"/>
    <n v="4"/>
    <n v="5706"/>
    <n v="22824"/>
    <n v="7531.92"/>
    <s v="Sports"/>
    <s v="Badminton Racket"/>
    <n v="46006"/>
    <x v="11"/>
  </r>
  <r>
    <n v="583"/>
    <n v="32"/>
    <n v="4"/>
    <n v="4884"/>
    <n v="19536"/>
    <n v="8205.1200000000008"/>
    <s v="Books"/>
    <s v="Notebook"/>
    <n v="46009"/>
    <x v="11"/>
  </r>
  <r>
    <n v="583"/>
    <n v="45"/>
    <n v="1"/>
    <n v="6665"/>
    <n v="6665"/>
    <n v="2499.38"/>
    <s v="Beauty"/>
    <s v="Sunscreen"/>
    <n v="46009"/>
    <x v="11"/>
  </r>
  <r>
    <n v="584"/>
    <n v="39"/>
    <n v="1"/>
    <n v="5843"/>
    <n v="5843"/>
    <n v="1840.54"/>
    <s v="Sports"/>
    <s v="Yoga Mat"/>
    <n v="46012"/>
    <x v="11"/>
  </r>
  <r>
    <n v="584"/>
    <n v="2"/>
    <n v="2"/>
    <n v="774"/>
    <n v="1548"/>
    <n v="650.16"/>
    <s v="Electronics"/>
    <s v="Mobile"/>
    <n v="46012"/>
    <x v="11"/>
  </r>
  <r>
    <n v="585"/>
    <n v="46"/>
    <n v="2"/>
    <n v="6802"/>
    <n v="13604"/>
    <n v="4897.4400000000005"/>
    <s v="Toys"/>
    <s v="Toys Car"/>
    <n v="46015"/>
    <x v="11"/>
  </r>
  <r>
    <n v="585"/>
    <n v="9"/>
    <n v="3"/>
    <n v="1733"/>
    <n v="5199"/>
    <n v="1637.6700000000003"/>
    <s v="Electronics"/>
    <s v="Power Bank"/>
    <n v="46015"/>
    <x v="11"/>
  </r>
  <r>
    <n v="586"/>
    <n v="3"/>
    <n v="3"/>
    <n v="911"/>
    <n v="2733"/>
    <n v="1106.8500000000001"/>
    <s v="Electronics"/>
    <s v="Headphones"/>
    <n v="46018"/>
    <x v="11"/>
  </r>
  <r>
    <n v="586"/>
    <n v="16"/>
    <n v="4"/>
    <n v="2692"/>
    <n v="10768"/>
    <n v="3876.4799999999996"/>
    <s v="Fashion"/>
    <s v="Saree"/>
    <n v="46018"/>
    <x v="11"/>
  </r>
  <r>
    <n v="587"/>
    <n v="10"/>
    <n v="4"/>
    <n v="1870"/>
    <n v="7480"/>
    <n v="3366"/>
    <s v="Electronics"/>
    <s v="Earbuds"/>
    <n v="46021"/>
    <x v="11"/>
  </r>
  <r>
    <n v="587"/>
    <n v="23"/>
    <n v="1"/>
    <n v="3651"/>
    <n v="3651"/>
    <n v="1478.65"/>
    <s v="Home Appliances"/>
    <s v="Fan"/>
    <n v="46021"/>
    <x v="11"/>
  </r>
  <r>
    <n v="588"/>
    <n v="17"/>
    <n v="1"/>
    <n v="2829"/>
    <n v="2829"/>
    <n v="976"/>
    <s v="Fashion"/>
    <s v="Dress"/>
    <n v="45659"/>
    <x v="0"/>
  </r>
  <r>
    <n v="588"/>
    <n v="30"/>
    <n v="2"/>
    <n v="4610"/>
    <n v="9220"/>
    <n v="4149"/>
    <s v="Furniture"/>
    <s v="Table"/>
    <n v="45659"/>
    <x v="0"/>
  </r>
  <r>
    <n v="589"/>
    <n v="24"/>
    <n v="2"/>
    <n v="3788"/>
    <n v="7576"/>
    <n v="2954.6400000000003"/>
    <s v="Home Appliances"/>
    <s v="Iron"/>
    <n v="45662"/>
    <x v="0"/>
  </r>
  <r>
    <n v="589"/>
    <n v="37"/>
    <n v="3"/>
    <n v="5569"/>
    <n v="16707"/>
    <n v="5763.9000000000005"/>
    <s v="Sports"/>
    <s v="Football"/>
    <n v="45662"/>
    <x v="0"/>
  </r>
  <r>
    <n v="590"/>
    <n v="31"/>
    <n v="3"/>
    <n v="4747"/>
    <n v="14241"/>
    <n v="6194.82"/>
    <s v="Books"/>
    <s v="Book"/>
    <n v="45665"/>
    <x v="0"/>
  </r>
  <r>
    <n v="590"/>
    <n v="44"/>
    <n v="4"/>
    <n v="6528"/>
    <n v="26112"/>
    <n v="10183.68"/>
    <s v="Beauty"/>
    <s v="Moisturizer"/>
    <n v="45665"/>
    <x v="0"/>
  </r>
  <r>
    <n v="591"/>
    <n v="38"/>
    <n v="4"/>
    <n v="5706"/>
    <n v="22824"/>
    <n v="7531.92"/>
    <s v="Sports"/>
    <s v="Badminton Racket"/>
    <n v="45668"/>
    <x v="0"/>
  </r>
  <r>
    <n v="591"/>
    <n v="1"/>
    <n v="1"/>
    <n v="637"/>
    <n v="637"/>
    <n v="277.08999999999997"/>
    <s v="Electronics"/>
    <s v="Laptop"/>
    <n v="45668"/>
    <x v="0"/>
  </r>
  <r>
    <n v="592"/>
    <n v="45"/>
    <n v="1"/>
    <n v="6665"/>
    <n v="6665"/>
    <n v="2499.38"/>
    <s v="Beauty"/>
    <s v="Sunscreen"/>
    <n v="45671"/>
    <x v="0"/>
  </r>
  <r>
    <n v="592"/>
    <n v="8"/>
    <n v="2"/>
    <n v="1596"/>
    <n v="3192"/>
    <n v="1053.3600000000001"/>
    <s v="Electronics"/>
    <s v="Tablet"/>
    <n v="45671"/>
    <x v="0"/>
  </r>
  <r>
    <n v="593"/>
    <n v="2"/>
    <n v="2"/>
    <n v="774"/>
    <n v="1548"/>
    <n v="650.16"/>
    <s v="Electronics"/>
    <s v="Mobile"/>
    <n v="45674"/>
    <x v="0"/>
  </r>
  <r>
    <n v="593"/>
    <n v="15"/>
    <n v="3"/>
    <n v="2555"/>
    <n v="7665"/>
    <n v="2874.3599999999997"/>
    <s v="Fashion"/>
    <s v="Shoes"/>
    <n v="45674"/>
    <x v="0"/>
  </r>
  <r>
    <n v="594"/>
    <n v="9"/>
    <n v="3"/>
    <n v="1733"/>
    <n v="5199"/>
    <n v="1637.6700000000003"/>
    <s v="Electronics"/>
    <s v="Power Bank"/>
    <n v="45677"/>
    <x v="0"/>
  </r>
  <r>
    <n v="594"/>
    <n v="22"/>
    <n v="4"/>
    <n v="3514"/>
    <n v="14056"/>
    <n v="5903.52"/>
    <s v="Home Appliances"/>
    <s v="Microwave"/>
    <n v="45677"/>
    <x v="0"/>
  </r>
  <r>
    <n v="595"/>
    <n v="16"/>
    <n v="4"/>
    <n v="2692"/>
    <n v="10768"/>
    <n v="3876.4799999999996"/>
    <s v="Fashion"/>
    <s v="Saree"/>
    <n v="45680"/>
    <x v="0"/>
  </r>
  <r>
    <n v="595"/>
    <n v="29"/>
    <n v="1"/>
    <n v="4473"/>
    <n v="4473"/>
    <n v="1408.9899999999998"/>
    <s v="Furniture"/>
    <s v="Chair"/>
    <n v="45680"/>
    <x v="0"/>
  </r>
  <r>
    <n v="596"/>
    <n v="23"/>
    <n v="1"/>
    <n v="3651"/>
    <n v="3651"/>
    <n v="1478.65"/>
    <s v="Home Appliances"/>
    <s v="Fan"/>
    <n v="45683"/>
    <x v="0"/>
  </r>
  <r>
    <n v="596"/>
    <n v="36"/>
    <n v="2"/>
    <n v="5432"/>
    <n v="10864"/>
    <n v="3911.04"/>
    <s v="Sports"/>
    <s v="Cricket Bat"/>
    <n v="45683"/>
    <x v="0"/>
  </r>
  <r>
    <n v="597"/>
    <n v="30"/>
    <n v="2"/>
    <n v="4610"/>
    <n v="9220"/>
    <n v="4149"/>
    <s v="Furniture"/>
    <s v="Table"/>
    <n v="45686"/>
    <x v="0"/>
  </r>
  <r>
    <n v="597"/>
    <n v="43"/>
    <n v="3"/>
    <n v="6391"/>
    <n v="19173"/>
    <n v="7765.0499999999993"/>
    <s v="Beauty"/>
    <s v="Perfume"/>
    <n v="45686"/>
    <x v="0"/>
  </r>
  <r>
    <n v="598"/>
    <n v="37"/>
    <n v="3"/>
    <n v="5569"/>
    <n v="16707"/>
    <n v="5763.9000000000005"/>
    <s v="Sports"/>
    <s v="Football"/>
    <n v="45689"/>
    <x v="1"/>
  </r>
  <r>
    <n v="598"/>
    <n v="50"/>
    <n v="4"/>
    <n v="7350"/>
    <n v="29400"/>
    <n v="13230"/>
    <s v="Toys"/>
    <s v="Building Blocks"/>
    <n v="45689"/>
    <x v="1"/>
  </r>
  <r>
    <n v="599"/>
    <n v="44"/>
    <n v="4"/>
    <n v="6528"/>
    <n v="26112"/>
    <n v="10183.68"/>
    <s v="Beauty"/>
    <s v="Moisturizer"/>
    <n v="45692"/>
    <x v="1"/>
  </r>
  <r>
    <n v="599"/>
    <n v="7"/>
    <n v="1"/>
    <n v="1459"/>
    <n v="1459"/>
    <n v="503.35"/>
    <s v="Electronics"/>
    <s v="Monitor"/>
    <n v="45692"/>
    <x v="1"/>
  </r>
  <r>
    <n v="600"/>
    <n v="1"/>
    <n v="1"/>
    <n v="637"/>
    <n v="637"/>
    <n v="277.08999999999997"/>
    <s v="Electronics"/>
    <s v="Laptop"/>
    <n v="45695"/>
    <x v="1"/>
  </r>
  <r>
    <n v="600"/>
    <n v="14"/>
    <n v="2"/>
    <n v="2418"/>
    <n v="4836"/>
    <n v="1886.04"/>
    <s v="Fashion"/>
    <s v="Jacket"/>
    <n v="4569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n v="101"/>
    <n v="8"/>
    <n v="2"/>
    <n v="1596"/>
    <n v="3192"/>
    <n v="1053.3600000000001"/>
    <s v="Electronics"/>
    <x v="0"/>
  </r>
  <r>
    <n v="2"/>
    <n v="101"/>
    <n v="21"/>
    <n v="3"/>
    <n v="3377"/>
    <n v="10131"/>
    <n v="4406.97"/>
    <s v="Home Appliances"/>
    <x v="1"/>
  </r>
  <r>
    <n v="3"/>
    <n v="102"/>
    <n v="15"/>
    <n v="3"/>
    <n v="2555"/>
    <n v="7665"/>
    <n v="2874.3599999999997"/>
    <s v="Fashion"/>
    <x v="2"/>
  </r>
  <r>
    <n v="4"/>
    <n v="102"/>
    <n v="28"/>
    <n v="4"/>
    <n v="4336"/>
    <n v="17344"/>
    <n v="5723.52"/>
    <s v="Home &amp; Kitchen"/>
    <x v="3"/>
  </r>
  <r>
    <n v="5"/>
    <n v="103"/>
    <n v="22"/>
    <n v="4"/>
    <n v="3514"/>
    <n v="14056"/>
    <n v="5903.52"/>
    <s v="Home Appliances"/>
    <x v="4"/>
  </r>
  <r>
    <n v="6"/>
    <n v="103"/>
    <n v="35"/>
    <n v="1"/>
    <n v="5295"/>
    <n v="5295"/>
    <n v="1985.62"/>
    <s v="Books"/>
    <x v="5"/>
  </r>
  <r>
    <n v="7"/>
    <n v="104"/>
    <n v="29"/>
    <n v="1"/>
    <n v="4473"/>
    <n v="4473"/>
    <n v="1408.9899999999998"/>
    <s v="Furniture"/>
    <x v="6"/>
  </r>
  <r>
    <n v="8"/>
    <n v="104"/>
    <n v="42"/>
    <n v="2"/>
    <n v="6254"/>
    <n v="12508"/>
    <n v="5253.36"/>
    <s v="Beauty"/>
    <x v="7"/>
  </r>
  <r>
    <n v="9"/>
    <n v="105"/>
    <n v="36"/>
    <n v="2"/>
    <n v="5432"/>
    <n v="10864"/>
    <n v="3911.04"/>
    <s v="Sports"/>
    <x v="8"/>
  </r>
  <r>
    <n v="10"/>
    <n v="105"/>
    <n v="49"/>
    <n v="3"/>
    <n v="7213"/>
    <n v="21639"/>
    <n v="6816.27"/>
    <s v="Toys"/>
    <x v="9"/>
  </r>
  <r>
    <n v="11"/>
    <n v="106"/>
    <n v="43"/>
    <n v="3"/>
    <n v="6391"/>
    <n v="19173"/>
    <n v="7765.0499999999993"/>
    <s v="Beauty"/>
    <x v="10"/>
  </r>
  <r>
    <n v="12"/>
    <n v="106"/>
    <n v="6"/>
    <n v="4"/>
    <n v="1322"/>
    <n v="5288"/>
    <n v="1903.6799999999998"/>
    <s v="Electronics"/>
    <x v="11"/>
  </r>
  <r>
    <n v="13"/>
    <n v="107"/>
    <n v="50"/>
    <n v="4"/>
    <n v="7350"/>
    <n v="29400"/>
    <n v="13230"/>
    <s v="Toys"/>
    <x v="12"/>
  </r>
  <r>
    <n v="14"/>
    <n v="107"/>
    <n v="13"/>
    <n v="1"/>
    <n v="2281"/>
    <n v="2281"/>
    <n v="923.8"/>
    <s v="Fashion"/>
    <x v="13"/>
  </r>
  <r>
    <n v="15"/>
    <n v="108"/>
    <n v="7"/>
    <n v="1"/>
    <n v="1459"/>
    <n v="1459"/>
    <n v="503.35"/>
    <s v="Electronics"/>
    <x v="14"/>
  </r>
  <r>
    <n v="16"/>
    <n v="108"/>
    <n v="20"/>
    <n v="2"/>
    <n v="3240"/>
    <n v="6480"/>
    <n v="2916"/>
    <s v="Fashion"/>
    <x v="15"/>
  </r>
  <r>
    <n v="17"/>
    <n v="109"/>
    <n v="14"/>
    <n v="2"/>
    <n v="2418"/>
    <n v="4836"/>
    <n v="1886.04"/>
    <s v="Fashion"/>
    <x v="16"/>
  </r>
  <r>
    <n v="18"/>
    <n v="109"/>
    <n v="27"/>
    <n v="3"/>
    <n v="4199"/>
    <n v="12597"/>
    <n v="4345.9500000000007"/>
    <s v="Home &amp; Kitchen"/>
    <x v="17"/>
  </r>
  <r>
    <n v="19"/>
    <n v="110"/>
    <n v="21"/>
    <n v="3"/>
    <n v="3377"/>
    <n v="10131"/>
    <n v="4406.97"/>
    <s v="Home Appliances"/>
    <x v="1"/>
  </r>
  <r>
    <n v="20"/>
    <n v="110"/>
    <n v="34"/>
    <n v="4"/>
    <n v="5158"/>
    <n v="20632"/>
    <n v="8046.48"/>
    <s v="Books"/>
    <x v="18"/>
  </r>
  <r>
    <n v="21"/>
    <n v="111"/>
    <n v="28"/>
    <n v="4"/>
    <n v="4336"/>
    <n v="17344"/>
    <n v="5723.52"/>
    <s v="Home &amp; Kitchen"/>
    <x v="3"/>
  </r>
  <r>
    <n v="22"/>
    <n v="111"/>
    <n v="41"/>
    <n v="1"/>
    <n v="6117"/>
    <n v="6117"/>
    <n v="2660.89"/>
    <s v="Beauty"/>
    <x v="19"/>
  </r>
  <r>
    <n v="23"/>
    <n v="112"/>
    <n v="35"/>
    <n v="1"/>
    <n v="5295"/>
    <n v="5295"/>
    <n v="1985.62"/>
    <s v="Books"/>
    <x v="5"/>
  </r>
  <r>
    <n v="24"/>
    <n v="112"/>
    <n v="48"/>
    <n v="2"/>
    <n v="7076"/>
    <n v="14152"/>
    <n v="4670.16"/>
    <s v="Toys"/>
    <x v="20"/>
  </r>
  <r>
    <n v="25"/>
    <n v="113"/>
    <n v="42"/>
    <n v="2"/>
    <n v="6254"/>
    <n v="12508"/>
    <n v="5253.36"/>
    <s v="Beauty"/>
    <x v="7"/>
  </r>
  <r>
    <n v="26"/>
    <n v="113"/>
    <n v="5"/>
    <n v="3"/>
    <n v="1185"/>
    <n v="3555"/>
    <n v="1333.1399999999999"/>
    <s v="Electronics"/>
    <x v="21"/>
  </r>
  <r>
    <n v="27"/>
    <n v="114"/>
    <n v="49"/>
    <n v="3"/>
    <n v="7213"/>
    <n v="21639"/>
    <n v="6816.27"/>
    <s v="Toys"/>
    <x v="9"/>
  </r>
  <r>
    <n v="28"/>
    <n v="114"/>
    <n v="12"/>
    <n v="4"/>
    <n v="2144"/>
    <n v="8576"/>
    <n v="3601.92"/>
    <s v="Fashion"/>
    <x v="22"/>
  </r>
  <r>
    <n v="29"/>
    <n v="115"/>
    <n v="6"/>
    <n v="4"/>
    <n v="1322"/>
    <n v="5288"/>
    <n v="1903.6799999999998"/>
    <s v="Electronics"/>
    <x v="11"/>
  </r>
  <r>
    <n v="30"/>
    <n v="115"/>
    <n v="19"/>
    <n v="1"/>
    <n v="3103"/>
    <n v="3103"/>
    <n v="977.44"/>
    <s v="Fashion"/>
    <x v="23"/>
  </r>
  <r>
    <n v="31"/>
    <n v="116"/>
    <n v="13"/>
    <n v="1"/>
    <n v="2281"/>
    <n v="2281"/>
    <n v="923.8"/>
    <s v="Fashion"/>
    <x v="13"/>
  </r>
  <r>
    <n v="32"/>
    <n v="116"/>
    <n v="26"/>
    <n v="2"/>
    <n v="4062"/>
    <n v="8124"/>
    <n v="2924.6400000000003"/>
    <s v="Home &amp; Kitchen"/>
    <x v="24"/>
  </r>
  <r>
    <n v="33"/>
    <n v="117"/>
    <n v="20"/>
    <n v="2"/>
    <n v="3240"/>
    <n v="6480"/>
    <n v="2916"/>
    <s v="Fashion"/>
    <x v="15"/>
  </r>
  <r>
    <n v="34"/>
    <n v="117"/>
    <n v="33"/>
    <n v="3"/>
    <n v="5021"/>
    <n v="15063"/>
    <n v="6100.5"/>
    <s v="Books"/>
    <x v="25"/>
  </r>
  <r>
    <n v="35"/>
    <n v="118"/>
    <n v="27"/>
    <n v="3"/>
    <n v="4199"/>
    <n v="12597"/>
    <n v="4345.9500000000007"/>
    <s v="Home &amp; Kitchen"/>
    <x v="17"/>
  </r>
  <r>
    <n v="36"/>
    <n v="118"/>
    <n v="40"/>
    <n v="4"/>
    <n v="5980"/>
    <n v="23920"/>
    <n v="10764"/>
    <s v="Sports"/>
    <x v="26"/>
  </r>
  <r>
    <n v="37"/>
    <n v="119"/>
    <n v="34"/>
    <n v="4"/>
    <n v="5158"/>
    <n v="20632"/>
    <n v="8046.48"/>
    <s v="Books"/>
    <x v="18"/>
  </r>
  <r>
    <n v="38"/>
    <n v="119"/>
    <n v="47"/>
    <n v="1"/>
    <n v="6939"/>
    <n v="6939"/>
    <n v="2393.9499999999998"/>
    <s v="Toys"/>
    <x v="27"/>
  </r>
  <r>
    <n v="39"/>
    <n v="120"/>
    <n v="41"/>
    <n v="1"/>
    <n v="6117"/>
    <n v="6117"/>
    <n v="2660.89"/>
    <s v="Beauty"/>
    <x v="19"/>
  </r>
  <r>
    <n v="40"/>
    <n v="120"/>
    <n v="4"/>
    <n v="2"/>
    <n v="1048"/>
    <n v="2096"/>
    <n v="817.44"/>
    <s v="Electronics"/>
    <x v="28"/>
  </r>
  <r>
    <n v="41"/>
    <n v="121"/>
    <n v="48"/>
    <n v="2"/>
    <n v="7076"/>
    <n v="14152"/>
    <n v="4670.16"/>
    <s v="Toys"/>
    <x v="20"/>
  </r>
  <r>
    <n v="42"/>
    <n v="121"/>
    <n v="11"/>
    <n v="3"/>
    <n v="2007"/>
    <n v="6021"/>
    <n v="2619.12"/>
    <s v="Fashion"/>
    <x v="29"/>
  </r>
  <r>
    <n v="43"/>
    <n v="122"/>
    <n v="5"/>
    <n v="3"/>
    <n v="1185"/>
    <n v="3555"/>
    <n v="1333.1399999999999"/>
    <s v="Electronics"/>
    <x v="21"/>
  </r>
  <r>
    <n v="44"/>
    <n v="122"/>
    <n v="18"/>
    <n v="4"/>
    <n v="2966"/>
    <n v="11864"/>
    <n v="3915.12"/>
    <s v="Fashion"/>
    <x v="30"/>
  </r>
  <r>
    <n v="45"/>
    <n v="123"/>
    <n v="12"/>
    <n v="4"/>
    <n v="2144"/>
    <n v="8576"/>
    <n v="3601.92"/>
    <s v="Fashion"/>
    <x v="22"/>
  </r>
  <r>
    <n v="46"/>
    <n v="123"/>
    <n v="25"/>
    <n v="1"/>
    <n v="3925"/>
    <n v="3925"/>
    <n v="1471.88"/>
    <s v="Home Appliances"/>
    <x v="31"/>
  </r>
  <r>
    <n v="47"/>
    <n v="124"/>
    <n v="19"/>
    <n v="1"/>
    <n v="3103"/>
    <n v="3103"/>
    <n v="977.44"/>
    <s v="Fashion"/>
    <x v="23"/>
  </r>
  <r>
    <n v="48"/>
    <n v="124"/>
    <n v="32"/>
    <n v="2"/>
    <n v="4884"/>
    <n v="9768"/>
    <n v="4102.5600000000004"/>
    <s v="Books"/>
    <x v="32"/>
  </r>
  <r>
    <n v="49"/>
    <n v="125"/>
    <n v="26"/>
    <n v="2"/>
    <n v="4062"/>
    <n v="8124"/>
    <n v="2924.6400000000003"/>
    <s v="Home &amp; Kitchen"/>
    <x v="24"/>
  </r>
  <r>
    <n v="50"/>
    <n v="125"/>
    <n v="39"/>
    <n v="3"/>
    <n v="5843"/>
    <n v="17529"/>
    <n v="5521.62"/>
    <s v="Sports"/>
    <x v="33"/>
  </r>
  <r>
    <n v="51"/>
    <n v="126"/>
    <n v="33"/>
    <n v="3"/>
    <n v="5021"/>
    <n v="15063"/>
    <n v="6100.5"/>
    <s v="Books"/>
    <x v="25"/>
  </r>
  <r>
    <n v="52"/>
    <n v="126"/>
    <n v="46"/>
    <n v="4"/>
    <n v="6802"/>
    <n v="27208"/>
    <n v="9794.880000000001"/>
    <s v="Toys"/>
    <x v="34"/>
  </r>
  <r>
    <n v="53"/>
    <n v="127"/>
    <n v="40"/>
    <n v="4"/>
    <n v="5980"/>
    <n v="23920"/>
    <n v="10764"/>
    <s v="Sports"/>
    <x v="26"/>
  </r>
  <r>
    <n v="54"/>
    <n v="127"/>
    <n v="3"/>
    <n v="1"/>
    <n v="911"/>
    <n v="911"/>
    <n v="368.95000000000005"/>
    <s v="Electronics"/>
    <x v="35"/>
  </r>
  <r>
    <n v="55"/>
    <n v="128"/>
    <n v="47"/>
    <n v="1"/>
    <n v="6939"/>
    <n v="6939"/>
    <n v="2393.9499999999998"/>
    <s v="Toys"/>
    <x v="27"/>
  </r>
  <r>
    <n v="56"/>
    <n v="128"/>
    <n v="10"/>
    <n v="2"/>
    <n v="1870"/>
    <n v="3740"/>
    <n v="1683"/>
    <s v="Electronics"/>
    <x v="36"/>
  </r>
  <r>
    <n v="57"/>
    <n v="129"/>
    <n v="4"/>
    <n v="2"/>
    <n v="1048"/>
    <n v="2096"/>
    <n v="817.44"/>
    <s v="Electronics"/>
    <x v="28"/>
  </r>
  <r>
    <n v="58"/>
    <n v="129"/>
    <n v="17"/>
    <n v="3"/>
    <n v="2829"/>
    <n v="8487"/>
    <n v="2928"/>
    <s v="Fashion"/>
    <x v="37"/>
  </r>
  <r>
    <n v="59"/>
    <n v="130"/>
    <n v="11"/>
    <n v="3"/>
    <n v="2007"/>
    <n v="6021"/>
    <n v="2619.12"/>
    <s v="Fashion"/>
    <x v="29"/>
  </r>
  <r>
    <n v="60"/>
    <n v="130"/>
    <n v="24"/>
    <n v="4"/>
    <n v="3788"/>
    <n v="15152"/>
    <n v="5909.2800000000007"/>
    <s v="Home Appliances"/>
    <x v="38"/>
  </r>
  <r>
    <n v="61"/>
    <n v="131"/>
    <n v="18"/>
    <n v="4"/>
    <n v="2966"/>
    <n v="11864"/>
    <n v="3915.12"/>
    <s v="Fashion"/>
    <x v="30"/>
  </r>
  <r>
    <n v="62"/>
    <n v="131"/>
    <n v="31"/>
    <n v="1"/>
    <n v="4747"/>
    <n v="4747"/>
    <n v="2064.94"/>
    <s v="Books"/>
    <x v="39"/>
  </r>
  <r>
    <n v="63"/>
    <n v="132"/>
    <n v="25"/>
    <n v="1"/>
    <n v="3925"/>
    <n v="3925"/>
    <n v="1471.88"/>
    <s v="Home Appliances"/>
    <x v="31"/>
  </r>
  <r>
    <n v="64"/>
    <n v="132"/>
    <n v="38"/>
    <n v="2"/>
    <n v="5706"/>
    <n v="11412"/>
    <n v="3765.96"/>
    <s v="Sports"/>
    <x v="40"/>
  </r>
  <r>
    <n v="65"/>
    <n v="133"/>
    <n v="32"/>
    <n v="2"/>
    <n v="4884"/>
    <n v="9768"/>
    <n v="4102.5600000000004"/>
    <s v="Books"/>
    <x v="32"/>
  </r>
  <r>
    <n v="66"/>
    <n v="133"/>
    <n v="45"/>
    <n v="3"/>
    <n v="6665"/>
    <n v="19995"/>
    <n v="7498.14"/>
    <s v="Beauty"/>
    <x v="41"/>
  </r>
  <r>
    <n v="67"/>
    <n v="134"/>
    <n v="39"/>
    <n v="3"/>
    <n v="5843"/>
    <n v="17529"/>
    <n v="5521.62"/>
    <s v="Sports"/>
    <x v="33"/>
  </r>
  <r>
    <n v="68"/>
    <n v="134"/>
    <n v="2"/>
    <n v="4"/>
    <n v="774"/>
    <n v="3096"/>
    <n v="1300.32"/>
    <s v="Electronics"/>
    <x v="42"/>
  </r>
  <r>
    <n v="69"/>
    <n v="135"/>
    <n v="46"/>
    <n v="4"/>
    <n v="6802"/>
    <n v="27208"/>
    <n v="9794.880000000001"/>
    <s v="Toys"/>
    <x v="34"/>
  </r>
  <r>
    <n v="70"/>
    <n v="135"/>
    <n v="9"/>
    <n v="1"/>
    <n v="1733"/>
    <n v="1733"/>
    <n v="545.8900000000001"/>
    <s v="Electronics"/>
    <x v="43"/>
  </r>
  <r>
    <n v="71"/>
    <n v="136"/>
    <n v="3"/>
    <n v="1"/>
    <n v="911"/>
    <n v="911"/>
    <n v="368.95000000000005"/>
    <s v="Electronics"/>
    <x v="35"/>
  </r>
  <r>
    <n v="72"/>
    <n v="136"/>
    <n v="16"/>
    <n v="2"/>
    <n v="2692"/>
    <n v="5384"/>
    <n v="1938.2399999999998"/>
    <s v="Fashion"/>
    <x v="44"/>
  </r>
  <r>
    <n v="73"/>
    <n v="137"/>
    <n v="10"/>
    <n v="2"/>
    <n v="1870"/>
    <n v="3740"/>
    <n v="1683"/>
    <s v="Electronics"/>
    <x v="36"/>
  </r>
  <r>
    <n v="74"/>
    <n v="137"/>
    <n v="23"/>
    <n v="3"/>
    <n v="3651"/>
    <n v="10953"/>
    <n v="4435.9500000000007"/>
    <s v="Home Appliances"/>
    <x v="45"/>
  </r>
  <r>
    <n v="75"/>
    <n v="138"/>
    <n v="17"/>
    <n v="3"/>
    <n v="2829"/>
    <n v="8487"/>
    <n v="2928"/>
    <s v="Fashion"/>
    <x v="37"/>
  </r>
  <r>
    <n v="76"/>
    <n v="138"/>
    <n v="30"/>
    <n v="4"/>
    <n v="4610"/>
    <n v="18440"/>
    <n v="8298"/>
    <s v="Furniture"/>
    <x v="46"/>
  </r>
  <r>
    <n v="77"/>
    <n v="139"/>
    <n v="24"/>
    <n v="4"/>
    <n v="3788"/>
    <n v="15152"/>
    <n v="5909.2800000000007"/>
    <s v="Home Appliances"/>
    <x v="38"/>
  </r>
  <r>
    <n v="78"/>
    <n v="139"/>
    <n v="37"/>
    <n v="1"/>
    <n v="5569"/>
    <n v="5569"/>
    <n v="1921.3000000000002"/>
    <s v="Sports"/>
    <x v="47"/>
  </r>
  <r>
    <n v="79"/>
    <n v="140"/>
    <n v="31"/>
    <n v="1"/>
    <n v="4747"/>
    <n v="4747"/>
    <n v="2064.94"/>
    <s v="Books"/>
    <x v="39"/>
  </r>
  <r>
    <n v="80"/>
    <n v="140"/>
    <n v="44"/>
    <n v="2"/>
    <n v="6528"/>
    <n v="13056"/>
    <n v="5091.84"/>
    <s v="Beauty"/>
    <x v="48"/>
  </r>
  <r>
    <n v="81"/>
    <n v="141"/>
    <n v="38"/>
    <n v="2"/>
    <n v="5706"/>
    <n v="11412"/>
    <n v="3765.96"/>
    <s v="Sports"/>
    <x v="40"/>
  </r>
  <r>
    <n v="82"/>
    <n v="141"/>
    <n v="1"/>
    <n v="3"/>
    <n v="637"/>
    <n v="1911"/>
    <n v="831.27"/>
    <s v="Electronics"/>
    <x v="49"/>
  </r>
  <r>
    <n v="83"/>
    <n v="142"/>
    <n v="45"/>
    <n v="3"/>
    <n v="6665"/>
    <n v="19995"/>
    <n v="7498.14"/>
    <s v="Beauty"/>
    <x v="41"/>
  </r>
  <r>
    <n v="84"/>
    <n v="142"/>
    <n v="8"/>
    <n v="4"/>
    <n v="1596"/>
    <n v="6384"/>
    <n v="2106.7200000000003"/>
    <s v="Electronics"/>
    <x v="0"/>
  </r>
  <r>
    <n v="85"/>
    <n v="143"/>
    <n v="2"/>
    <n v="4"/>
    <n v="774"/>
    <n v="3096"/>
    <n v="1300.32"/>
    <s v="Electronics"/>
    <x v="42"/>
  </r>
  <r>
    <n v="86"/>
    <n v="143"/>
    <n v="15"/>
    <n v="1"/>
    <n v="2555"/>
    <n v="2555"/>
    <n v="958.11999999999989"/>
    <s v="Fashion"/>
    <x v="2"/>
  </r>
  <r>
    <n v="87"/>
    <n v="144"/>
    <n v="9"/>
    <n v="1"/>
    <n v="1733"/>
    <n v="1733"/>
    <n v="545.8900000000001"/>
    <s v="Electronics"/>
    <x v="43"/>
  </r>
  <r>
    <n v="88"/>
    <n v="144"/>
    <n v="22"/>
    <n v="2"/>
    <n v="3514"/>
    <n v="7028"/>
    <n v="2951.76"/>
    <s v="Home Appliances"/>
    <x v="4"/>
  </r>
  <r>
    <n v="89"/>
    <n v="145"/>
    <n v="16"/>
    <n v="2"/>
    <n v="2692"/>
    <n v="5384"/>
    <n v="1938.2399999999998"/>
    <s v="Fashion"/>
    <x v="44"/>
  </r>
  <r>
    <n v="90"/>
    <n v="145"/>
    <n v="29"/>
    <n v="3"/>
    <n v="4473"/>
    <n v="13419"/>
    <n v="4226.9699999999993"/>
    <s v="Furniture"/>
    <x v="6"/>
  </r>
  <r>
    <n v="91"/>
    <n v="146"/>
    <n v="23"/>
    <n v="3"/>
    <n v="3651"/>
    <n v="10953"/>
    <n v="4435.9500000000007"/>
    <s v="Home Appliances"/>
    <x v="45"/>
  </r>
  <r>
    <n v="92"/>
    <n v="146"/>
    <n v="36"/>
    <n v="4"/>
    <n v="5432"/>
    <n v="21728"/>
    <n v="7822.08"/>
    <s v="Sports"/>
    <x v="8"/>
  </r>
  <r>
    <n v="93"/>
    <n v="147"/>
    <n v="30"/>
    <n v="4"/>
    <n v="4610"/>
    <n v="18440"/>
    <n v="8298"/>
    <s v="Furniture"/>
    <x v="46"/>
  </r>
  <r>
    <n v="94"/>
    <n v="147"/>
    <n v="43"/>
    <n v="1"/>
    <n v="6391"/>
    <n v="6391"/>
    <n v="2588.35"/>
    <s v="Beauty"/>
    <x v="10"/>
  </r>
  <r>
    <n v="95"/>
    <n v="148"/>
    <n v="37"/>
    <n v="1"/>
    <n v="5569"/>
    <n v="5569"/>
    <n v="1921.3000000000002"/>
    <s v="Sports"/>
    <x v="47"/>
  </r>
  <r>
    <n v="96"/>
    <n v="148"/>
    <n v="50"/>
    <n v="2"/>
    <n v="7350"/>
    <n v="14700"/>
    <n v="6615"/>
    <s v="Toys"/>
    <x v="12"/>
  </r>
  <r>
    <n v="97"/>
    <n v="149"/>
    <n v="44"/>
    <n v="2"/>
    <n v="6528"/>
    <n v="13056"/>
    <n v="5091.84"/>
    <s v="Beauty"/>
    <x v="48"/>
  </r>
  <r>
    <n v="98"/>
    <n v="149"/>
    <n v="7"/>
    <n v="3"/>
    <n v="1459"/>
    <n v="4377"/>
    <n v="1510.0500000000002"/>
    <s v="Electronics"/>
    <x v="14"/>
  </r>
  <r>
    <n v="99"/>
    <n v="150"/>
    <n v="1"/>
    <n v="3"/>
    <n v="637"/>
    <n v="1911"/>
    <n v="831.27"/>
    <s v="Electronics"/>
    <x v="49"/>
  </r>
  <r>
    <n v="100"/>
    <n v="150"/>
    <n v="14"/>
    <n v="4"/>
    <n v="2418"/>
    <n v="9672"/>
    <n v="3772.08"/>
    <s v="Fashion"/>
    <x v="16"/>
  </r>
  <r>
    <n v="101"/>
    <n v="151"/>
    <n v="8"/>
    <n v="4"/>
    <n v="1596"/>
    <n v="6384"/>
    <n v="2106.7200000000003"/>
    <s v="Electronics"/>
    <x v="0"/>
  </r>
  <r>
    <n v="102"/>
    <n v="151"/>
    <n v="21"/>
    <n v="1"/>
    <n v="3377"/>
    <n v="3377"/>
    <n v="1468.99"/>
    <s v="Home Appliances"/>
    <x v="1"/>
  </r>
  <r>
    <n v="103"/>
    <n v="152"/>
    <n v="15"/>
    <n v="1"/>
    <n v="2555"/>
    <n v="2555"/>
    <n v="958.11999999999989"/>
    <s v="Fashion"/>
    <x v="2"/>
  </r>
  <r>
    <n v="104"/>
    <n v="152"/>
    <n v="28"/>
    <n v="2"/>
    <n v="4336"/>
    <n v="8672"/>
    <n v="2861.76"/>
    <s v="Home &amp; Kitchen"/>
    <x v="3"/>
  </r>
  <r>
    <n v="105"/>
    <n v="153"/>
    <n v="22"/>
    <n v="2"/>
    <n v="3514"/>
    <n v="7028"/>
    <n v="2951.76"/>
    <s v="Home Appliances"/>
    <x v="4"/>
  </r>
  <r>
    <n v="106"/>
    <n v="153"/>
    <n v="35"/>
    <n v="3"/>
    <n v="5295"/>
    <n v="15885"/>
    <n v="5956.86"/>
    <s v="Books"/>
    <x v="5"/>
  </r>
  <r>
    <n v="107"/>
    <n v="154"/>
    <n v="29"/>
    <n v="3"/>
    <n v="4473"/>
    <n v="13419"/>
    <n v="4226.9699999999993"/>
    <s v="Furniture"/>
    <x v="6"/>
  </r>
  <r>
    <n v="108"/>
    <n v="154"/>
    <n v="42"/>
    <n v="4"/>
    <n v="6254"/>
    <n v="25016"/>
    <n v="10506.72"/>
    <s v="Beauty"/>
    <x v="7"/>
  </r>
  <r>
    <n v="109"/>
    <n v="155"/>
    <n v="36"/>
    <n v="4"/>
    <n v="5432"/>
    <n v="21728"/>
    <n v="7822.08"/>
    <s v="Sports"/>
    <x v="8"/>
  </r>
  <r>
    <n v="110"/>
    <n v="155"/>
    <n v="49"/>
    <n v="1"/>
    <n v="7213"/>
    <n v="7213"/>
    <n v="2272.09"/>
    <s v="Toys"/>
    <x v="9"/>
  </r>
  <r>
    <n v="111"/>
    <n v="156"/>
    <n v="43"/>
    <n v="1"/>
    <n v="6391"/>
    <n v="6391"/>
    <n v="2588.35"/>
    <s v="Beauty"/>
    <x v="10"/>
  </r>
  <r>
    <n v="112"/>
    <n v="156"/>
    <n v="6"/>
    <n v="2"/>
    <n v="1322"/>
    <n v="2644"/>
    <n v="951.83999999999992"/>
    <s v="Electronics"/>
    <x v="11"/>
  </r>
  <r>
    <n v="113"/>
    <n v="157"/>
    <n v="50"/>
    <n v="2"/>
    <n v="7350"/>
    <n v="14700"/>
    <n v="6615"/>
    <s v="Toys"/>
    <x v="12"/>
  </r>
  <r>
    <n v="114"/>
    <n v="157"/>
    <n v="13"/>
    <n v="3"/>
    <n v="2281"/>
    <n v="6843"/>
    <n v="2771.3999999999996"/>
    <s v="Fashion"/>
    <x v="13"/>
  </r>
  <r>
    <n v="115"/>
    <n v="158"/>
    <n v="7"/>
    <n v="3"/>
    <n v="1459"/>
    <n v="4377"/>
    <n v="1510.0500000000002"/>
    <s v="Electronics"/>
    <x v="14"/>
  </r>
  <r>
    <n v="116"/>
    <n v="158"/>
    <n v="20"/>
    <n v="4"/>
    <n v="3240"/>
    <n v="12960"/>
    <n v="5832"/>
    <s v="Fashion"/>
    <x v="15"/>
  </r>
  <r>
    <n v="117"/>
    <n v="159"/>
    <n v="14"/>
    <n v="4"/>
    <n v="2418"/>
    <n v="9672"/>
    <n v="3772.08"/>
    <s v="Fashion"/>
    <x v="16"/>
  </r>
  <r>
    <n v="118"/>
    <n v="159"/>
    <n v="27"/>
    <n v="1"/>
    <n v="4199"/>
    <n v="4199"/>
    <n v="1448.65"/>
    <s v="Home &amp; Kitchen"/>
    <x v="17"/>
  </r>
  <r>
    <n v="119"/>
    <n v="160"/>
    <n v="21"/>
    <n v="1"/>
    <n v="3377"/>
    <n v="3377"/>
    <n v="1468.99"/>
    <s v="Home Appliances"/>
    <x v="1"/>
  </r>
  <r>
    <n v="120"/>
    <n v="160"/>
    <n v="34"/>
    <n v="2"/>
    <n v="5158"/>
    <n v="10316"/>
    <n v="4023.24"/>
    <s v="Books"/>
    <x v="18"/>
  </r>
  <r>
    <n v="121"/>
    <n v="161"/>
    <n v="28"/>
    <n v="2"/>
    <n v="4336"/>
    <n v="8672"/>
    <n v="2861.76"/>
    <s v="Home &amp; Kitchen"/>
    <x v="3"/>
  </r>
  <r>
    <n v="122"/>
    <n v="161"/>
    <n v="41"/>
    <n v="3"/>
    <n v="6117"/>
    <n v="18351"/>
    <n v="7982.67"/>
    <s v="Beauty"/>
    <x v="19"/>
  </r>
  <r>
    <n v="123"/>
    <n v="162"/>
    <n v="35"/>
    <n v="3"/>
    <n v="5295"/>
    <n v="15885"/>
    <n v="5956.86"/>
    <s v="Books"/>
    <x v="5"/>
  </r>
  <r>
    <n v="124"/>
    <n v="162"/>
    <n v="48"/>
    <n v="4"/>
    <n v="7076"/>
    <n v="28304"/>
    <n v="9340.32"/>
    <s v="Toys"/>
    <x v="20"/>
  </r>
  <r>
    <n v="125"/>
    <n v="163"/>
    <n v="42"/>
    <n v="4"/>
    <n v="6254"/>
    <n v="25016"/>
    <n v="10506.72"/>
    <s v="Beauty"/>
    <x v="7"/>
  </r>
  <r>
    <n v="126"/>
    <n v="163"/>
    <n v="5"/>
    <n v="1"/>
    <n v="1185"/>
    <n v="1185"/>
    <n v="444.38"/>
    <s v="Electronics"/>
    <x v="21"/>
  </r>
  <r>
    <n v="127"/>
    <n v="164"/>
    <n v="49"/>
    <n v="1"/>
    <n v="7213"/>
    <n v="7213"/>
    <n v="2272.09"/>
    <s v="Toys"/>
    <x v="9"/>
  </r>
  <r>
    <n v="128"/>
    <n v="164"/>
    <n v="12"/>
    <n v="2"/>
    <n v="2144"/>
    <n v="4288"/>
    <n v="1800.96"/>
    <s v="Fashion"/>
    <x v="22"/>
  </r>
  <r>
    <n v="129"/>
    <n v="165"/>
    <n v="6"/>
    <n v="2"/>
    <n v="1322"/>
    <n v="2644"/>
    <n v="951.83999999999992"/>
    <s v="Electronics"/>
    <x v="11"/>
  </r>
  <r>
    <n v="130"/>
    <n v="165"/>
    <n v="19"/>
    <n v="3"/>
    <n v="3103"/>
    <n v="9309"/>
    <n v="2932.32"/>
    <s v="Fashion"/>
    <x v="23"/>
  </r>
  <r>
    <n v="131"/>
    <n v="166"/>
    <n v="13"/>
    <n v="3"/>
    <n v="2281"/>
    <n v="6843"/>
    <n v="2771.3999999999996"/>
    <s v="Fashion"/>
    <x v="13"/>
  </r>
  <r>
    <n v="132"/>
    <n v="166"/>
    <n v="26"/>
    <n v="4"/>
    <n v="4062"/>
    <n v="16248"/>
    <n v="5849.2800000000007"/>
    <s v="Home &amp; Kitchen"/>
    <x v="24"/>
  </r>
  <r>
    <n v="133"/>
    <n v="167"/>
    <n v="20"/>
    <n v="4"/>
    <n v="3240"/>
    <n v="12960"/>
    <n v="5832"/>
    <s v="Fashion"/>
    <x v="15"/>
  </r>
  <r>
    <n v="134"/>
    <n v="167"/>
    <n v="33"/>
    <n v="1"/>
    <n v="5021"/>
    <n v="5021"/>
    <n v="2033.5"/>
    <s v="Books"/>
    <x v="25"/>
  </r>
  <r>
    <n v="135"/>
    <n v="168"/>
    <n v="27"/>
    <n v="1"/>
    <n v="4199"/>
    <n v="4199"/>
    <n v="1448.65"/>
    <s v="Home &amp; Kitchen"/>
    <x v="17"/>
  </r>
  <r>
    <n v="136"/>
    <n v="168"/>
    <n v="40"/>
    <n v="2"/>
    <n v="5980"/>
    <n v="11960"/>
    <n v="5382"/>
    <s v="Sports"/>
    <x v="26"/>
  </r>
  <r>
    <n v="137"/>
    <n v="169"/>
    <n v="34"/>
    <n v="2"/>
    <n v="5158"/>
    <n v="10316"/>
    <n v="4023.24"/>
    <s v="Books"/>
    <x v="18"/>
  </r>
  <r>
    <n v="138"/>
    <n v="169"/>
    <n v="47"/>
    <n v="3"/>
    <n v="6939"/>
    <n v="20817"/>
    <n v="7181.8499999999995"/>
    <s v="Toys"/>
    <x v="27"/>
  </r>
  <r>
    <n v="139"/>
    <n v="170"/>
    <n v="41"/>
    <n v="3"/>
    <n v="6117"/>
    <n v="18351"/>
    <n v="7982.67"/>
    <s v="Beauty"/>
    <x v="19"/>
  </r>
  <r>
    <n v="140"/>
    <n v="170"/>
    <n v="4"/>
    <n v="4"/>
    <n v="1048"/>
    <n v="4192"/>
    <n v="1634.88"/>
    <s v="Electronics"/>
    <x v="28"/>
  </r>
  <r>
    <n v="141"/>
    <n v="171"/>
    <n v="48"/>
    <n v="4"/>
    <n v="7076"/>
    <n v="28304"/>
    <n v="9340.32"/>
    <s v="Toys"/>
    <x v="20"/>
  </r>
  <r>
    <n v="142"/>
    <n v="171"/>
    <n v="11"/>
    <n v="1"/>
    <n v="2007"/>
    <n v="2007"/>
    <n v="873.04"/>
    <s v="Fashion"/>
    <x v="29"/>
  </r>
  <r>
    <n v="143"/>
    <n v="172"/>
    <n v="5"/>
    <n v="1"/>
    <n v="1185"/>
    <n v="1185"/>
    <n v="444.38"/>
    <s v="Electronics"/>
    <x v="21"/>
  </r>
  <r>
    <n v="144"/>
    <n v="172"/>
    <n v="18"/>
    <n v="2"/>
    <n v="2966"/>
    <n v="5932"/>
    <n v="1957.56"/>
    <s v="Fashion"/>
    <x v="30"/>
  </r>
  <r>
    <n v="145"/>
    <n v="173"/>
    <n v="12"/>
    <n v="2"/>
    <n v="2144"/>
    <n v="4288"/>
    <n v="1800.96"/>
    <s v="Fashion"/>
    <x v="22"/>
  </r>
  <r>
    <n v="146"/>
    <n v="173"/>
    <n v="25"/>
    <n v="3"/>
    <n v="3925"/>
    <n v="11775"/>
    <n v="4415.6400000000003"/>
    <s v="Home Appliances"/>
    <x v="31"/>
  </r>
  <r>
    <n v="147"/>
    <n v="174"/>
    <n v="19"/>
    <n v="3"/>
    <n v="3103"/>
    <n v="9309"/>
    <n v="2932.32"/>
    <s v="Fashion"/>
    <x v="23"/>
  </r>
  <r>
    <n v="148"/>
    <n v="174"/>
    <n v="32"/>
    <n v="4"/>
    <n v="4884"/>
    <n v="19536"/>
    <n v="8205.1200000000008"/>
    <s v="Books"/>
    <x v="32"/>
  </r>
  <r>
    <n v="149"/>
    <n v="175"/>
    <n v="26"/>
    <n v="4"/>
    <n v="4062"/>
    <n v="16248"/>
    <n v="5849.2800000000007"/>
    <s v="Home &amp; Kitchen"/>
    <x v="24"/>
  </r>
  <r>
    <n v="150"/>
    <n v="175"/>
    <n v="39"/>
    <n v="1"/>
    <n v="5843"/>
    <n v="5843"/>
    <n v="1840.54"/>
    <s v="Sports"/>
    <x v="33"/>
  </r>
  <r>
    <n v="151"/>
    <n v="176"/>
    <n v="33"/>
    <n v="1"/>
    <n v="5021"/>
    <n v="5021"/>
    <n v="2033.5"/>
    <s v="Books"/>
    <x v="25"/>
  </r>
  <r>
    <n v="152"/>
    <n v="176"/>
    <n v="46"/>
    <n v="2"/>
    <n v="6802"/>
    <n v="13604"/>
    <n v="4897.4400000000005"/>
    <s v="Toys"/>
    <x v="34"/>
  </r>
  <r>
    <n v="153"/>
    <n v="177"/>
    <n v="40"/>
    <n v="2"/>
    <n v="5980"/>
    <n v="11960"/>
    <n v="5382"/>
    <s v="Sports"/>
    <x v="26"/>
  </r>
  <r>
    <n v="154"/>
    <n v="177"/>
    <n v="3"/>
    <n v="3"/>
    <n v="911"/>
    <n v="2733"/>
    <n v="1106.8500000000001"/>
    <s v="Electronics"/>
    <x v="35"/>
  </r>
  <r>
    <n v="155"/>
    <n v="178"/>
    <n v="47"/>
    <n v="3"/>
    <n v="6939"/>
    <n v="20817"/>
    <n v="7181.8499999999995"/>
    <s v="Toys"/>
    <x v="27"/>
  </r>
  <r>
    <n v="156"/>
    <n v="178"/>
    <n v="10"/>
    <n v="4"/>
    <n v="1870"/>
    <n v="7480"/>
    <n v="3366"/>
    <s v="Electronics"/>
    <x v="36"/>
  </r>
  <r>
    <n v="157"/>
    <n v="179"/>
    <n v="4"/>
    <n v="4"/>
    <n v="1048"/>
    <n v="4192"/>
    <n v="1634.88"/>
    <s v="Electronics"/>
    <x v="28"/>
  </r>
  <r>
    <n v="158"/>
    <n v="179"/>
    <n v="17"/>
    <n v="1"/>
    <n v="2829"/>
    <n v="2829"/>
    <n v="976"/>
    <s v="Fashion"/>
    <x v="37"/>
  </r>
  <r>
    <n v="159"/>
    <n v="180"/>
    <n v="11"/>
    <n v="1"/>
    <n v="2007"/>
    <n v="2007"/>
    <n v="873.04"/>
    <s v="Fashion"/>
    <x v="29"/>
  </r>
  <r>
    <n v="160"/>
    <n v="180"/>
    <n v="24"/>
    <n v="2"/>
    <n v="3788"/>
    <n v="7576"/>
    <n v="2954.6400000000003"/>
    <s v="Home Appliances"/>
    <x v="38"/>
  </r>
  <r>
    <n v="161"/>
    <n v="181"/>
    <n v="18"/>
    <n v="2"/>
    <n v="2966"/>
    <n v="5932"/>
    <n v="1957.56"/>
    <s v="Fashion"/>
    <x v="30"/>
  </r>
  <r>
    <n v="162"/>
    <n v="181"/>
    <n v="31"/>
    <n v="3"/>
    <n v="4747"/>
    <n v="14241"/>
    <n v="6194.82"/>
    <s v="Books"/>
    <x v="39"/>
  </r>
  <r>
    <n v="163"/>
    <n v="182"/>
    <n v="25"/>
    <n v="3"/>
    <n v="3925"/>
    <n v="11775"/>
    <n v="4415.6400000000003"/>
    <s v="Home Appliances"/>
    <x v="31"/>
  </r>
  <r>
    <n v="164"/>
    <n v="182"/>
    <n v="38"/>
    <n v="4"/>
    <n v="5706"/>
    <n v="22824"/>
    <n v="7531.92"/>
    <s v="Sports"/>
    <x v="40"/>
  </r>
  <r>
    <n v="165"/>
    <n v="183"/>
    <n v="32"/>
    <n v="4"/>
    <n v="4884"/>
    <n v="19536"/>
    <n v="8205.1200000000008"/>
    <s v="Books"/>
    <x v="32"/>
  </r>
  <r>
    <n v="166"/>
    <n v="183"/>
    <n v="45"/>
    <n v="1"/>
    <n v="6665"/>
    <n v="6665"/>
    <n v="2499.38"/>
    <s v="Beauty"/>
    <x v="41"/>
  </r>
  <r>
    <n v="167"/>
    <n v="184"/>
    <n v="39"/>
    <n v="1"/>
    <n v="5843"/>
    <n v="5843"/>
    <n v="1840.54"/>
    <s v="Sports"/>
    <x v="33"/>
  </r>
  <r>
    <n v="168"/>
    <n v="184"/>
    <n v="2"/>
    <n v="2"/>
    <n v="774"/>
    <n v="1548"/>
    <n v="650.16"/>
    <s v="Electronics"/>
    <x v="42"/>
  </r>
  <r>
    <n v="169"/>
    <n v="185"/>
    <n v="46"/>
    <n v="2"/>
    <n v="6802"/>
    <n v="13604"/>
    <n v="4897.4400000000005"/>
    <s v="Toys"/>
    <x v="34"/>
  </r>
  <r>
    <n v="170"/>
    <n v="185"/>
    <n v="9"/>
    <n v="3"/>
    <n v="1733"/>
    <n v="5199"/>
    <n v="1637.6700000000003"/>
    <s v="Electronics"/>
    <x v="43"/>
  </r>
  <r>
    <n v="171"/>
    <n v="186"/>
    <n v="3"/>
    <n v="3"/>
    <n v="911"/>
    <n v="2733"/>
    <n v="1106.8500000000001"/>
    <s v="Electronics"/>
    <x v="35"/>
  </r>
  <r>
    <n v="172"/>
    <n v="186"/>
    <n v="16"/>
    <n v="4"/>
    <n v="2692"/>
    <n v="10768"/>
    <n v="3876.4799999999996"/>
    <s v="Fashion"/>
    <x v="44"/>
  </r>
  <r>
    <n v="173"/>
    <n v="187"/>
    <n v="10"/>
    <n v="4"/>
    <n v="1870"/>
    <n v="7480"/>
    <n v="3366"/>
    <s v="Electronics"/>
    <x v="36"/>
  </r>
  <r>
    <n v="174"/>
    <n v="187"/>
    <n v="23"/>
    <n v="1"/>
    <n v="3651"/>
    <n v="3651"/>
    <n v="1478.65"/>
    <s v="Home Appliances"/>
    <x v="45"/>
  </r>
  <r>
    <n v="175"/>
    <n v="188"/>
    <n v="17"/>
    <n v="1"/>
    <n v="2829"/>
    <n v="2829"/>
    <n v="976"/>
    <s v="Fashion"/>
    <x v="37"/>
  </r>
  <r>
    <n v="176"/>
    <n v="188"/>
    <n v="30"/>
    <n v="2"/>
    <n v="4610"/>
    <n v="9220"/>
    <n v="4149"/>
    <s v="Furniture"/>
    <x v="46"/>
  </r>
  <r>
    <n v="177"/>
    <n v="189"/>
    <n v="24"/>
    <n v="2"/>
    <n v="3788"/>
    <n v="7576"/>
    <n v="2954.6400000000003"/>
    <s v="Home Appliances"/>
    <x v="38"/>
  </r>
  <r>
    <n v="178"/>
    <n v="189"/>
    <n v="37"/>
    <n v="3"/>
    <n v="5569"/>
    <n v="16707"/>
    <n v="5763.9000000000005"/>
    <s v="Sports"/>
    <x v="47"/>
  </r>
  <r>
    <n v="179"/>
    <n v="190"/>
    <n v="31"/>
    <n v="3"/>
    <n v="4747"/>
    <n v="14241"/>
    <n v="6194.82"/>
    <s v="Books"/>
    <x v="39"/>
  </r>
  <r>
    <n v="180"/>
    <n v="190"/>
    <n v="44"/>
    <n v="4"/>
    <n v="6528"/>
    <n v="26112"/>
    <n v="10183.68"/>
    <s v="Beauty"/>
    <x v="48"/>
  </r>
  <r>
    <n v="181"/>
    <n v="191"/>
    <n v="38"/>
    <n v="4"/>
    <n v="5706"/>
    <n v="22824"/>
    <n v="7531.92"/>
    <s v="Sports"/>
    <x v="40"/>
  </r>
  <r>
    <n v="182"/>
    <n v="191"/>
    <n v="1"/>
    <n v="1"/>
    <n v="637"/>
    <n v="637"/>
    <n v="277.08999999999997"/>
    <s v="Electronics"/>
    <x v="49"/>
  </r>
  <r>
    <n v="183"/>
    <n v="192"/>
    <n v="45"/>
    <n v="1"/>
    <n v="6665"/>
    <n v="6665"/>
    <n v="2499.38"/>
    <s v="Beauty"/>
    <x v="41"/>
  </r>
  <r>
    <n v="184"/>
    <n v="192"/>
    <n v="8"/>
    <n v="2"/>
    <n v="1596"/>
    <n v="3192"/>
    <n v="1053.3600000000001"/>
    <s v="Electronics"/>
    <x v="0"/>
  </r>
  <r>
    <n v="185"/>
    <n v="193"/>
    <n v="2"/>
    <n v="2"/>
    <n v="774"/>
    <n v="1548"/>
    <n v="650.16"/>
    <s v="Electronics"/>
    <x v="42"/>
  </r>
  <r>
    <n v="186"/>
    <n v="193"/>
    <n v="15"/>
    <n v="3"/>
    <n v="2555"/>
    <n v="7665"/>
    <n v="2874.3599999999997"/>
    <s v="Fashion"/>
    <x v="2"/>
  </r>
  <r>
    <n v="187"/>
    <n v="194"/>
    <n v="9"/>
    <n v="3"/>
    <n v="1733"/>
    <n v="5199"/>
    <n v="1637.6700000000003"/>
    <s v="Electronics"/>
    <x v="43"/>
  </r>
  <r>
    <n v="188"/>
    <n v="194"/>
    <n v="22"/>
    <n v="4"/>
    <n v="3514"/>
    <n v="14056"/>
    <n v="5903.52"/>
    <s v="Home Appliances"/>
    <x v="4"/>
  </r>
  <r>
    <n v="189"/>
    <n v="195"/>
    <n v="16"/>
    <n v="4"/>
    <n v="2692"/>
    <n v="10768"/>
    <n v="3876.4799999999996"/>
    <s v="Fashion"/>
    <x v="44"/>
  </r>
  <r>
    <n v="190"/>
    <n v="195"/>
    <n v="29"/>
    <n v="1"/>
    <n v="4473"/>
    <n v="4473"/>
    <n v="1408.9899999999998"/>
    <s v="Furniture"/>
    <x v="6"/>
  </r>
  <r>
    <n v="191"/>
    <n v="196"/>
    <n v="23"/>
    <n v="1"/>
    <n v="3651"/>
    <n v="3651"/>
    <n v="1478.65"/>
    <s v="Home Appliances"/>
    <x v="45"/>
  </r>
  <r>
    <n v="192"/>
    <n v="196"/>
    <n v="36"/>
    <n v="2"/>
    <n v="5432"/>
    <n v="10864"/>
    <n v="3911.04"/>
    <s v="Sports"/>
    <x v="8"/>
  </r>
  <r>
    <n v="193"/>
    <n v="197"/>
    <n v="30"/>
    <n v="2"/>
    <n v="4610"/>
    <n v="9220"/>
    <n v="4149"/>
    <s v="Furniture"/>
    <x v="46"/>
  </r>
  <r>
    <n v="194"/>
    <n v="197"/>
    <n v="43"/>
    <n v="3"/>
    <n v="6391"/>
    <n v="19173"/>
    <n v="7765.0499999999993"/>
    <s v="Beauty"/>
    <x v="10"/>
  </r>
  <r>
    <n v="195"/>
    <n v="198"/>
    <n v="37"/>
    <n v="3"/>
    <n v="5569"/>
    <n v="16707"/>
    <n v="5763.9000000000005"/>
    <s v="Sports"/>
    <x v="47"/>
  </r>
  <r>
    <n v="196"/>
    <n v="198"/>
    <n v="50"/>
    <n v="4"/>
    <n v="7350"/>
    <n v="29400"/>
    <n v="13230"/>
    <s v="Toys"/>
    <x v="12"/>
  </r>
  <r>
    <n v="197"/>
    <n v="199"/>
    <n v="44"/>
    <n v="4"/>
    <n v="6528"/>
    <n v="26112"/>
    <n v="10183.68"/>
    <s v="Beauty"/>
    <x v="48"/>
  </r>
  <r>
    <n v="198"/>
    <n v="199"/>
    <n v="7"/>
    <n v="1"/>
    <n v="1459"/>
    <n v="1459"/>
    <n v="503.35"/>
    <s v="Electronics"/>
    <x v="14"/>
  </r>
  <r>
    <n v="199"/>
    <n v="200"/>
    <n v="1"/>
    <n v="1"/>
    <n v="637"/>
    <n v="637"/>
    <n v="277.08999999999997"/>
    <s v="Electronics"/>
    <x v="49"/>
  </r>
  <r>
    <n v="200"/>
    <n v="200"/>
    <n v="14"/>
    <n v="2"/>
    <n v="2418"/>
    <n v="4836"/>
    <n v="1886.04"/>
    <s v="Fashion"/>
    <x v="16"/>
  </r>
  <r>
    <n v="201"/>
    <n v="201"/>
    <n v="8"/>
    <n v="2"/>
    <n v="1596"/>
    <n v="3192"/>
    <n v="1053.3600000000001"/>
    <s v="Electronics"/>
    <x v="0"/>
  </r>
  <r>
    <n v="202"/>
    <n v="201"/>
    <n v="21"/>
    <n v="3"/>
    <n v="3377"/>
    <n v="10131"/>
    <n v="4406.97"/>
    <s v="Home Appliances"/>
    <x v="1"/>
  </r>
  <r>
    <n v="203"/>
    <n v="202"/>
    <n v="15"/>
    <n v="3"/>
    <n v="2555"/>
    <n v="7665"/>
    <n v="2874.3599999999997"/>
    <s v="Fashion"/>
    <x v="2"/>
  </r>
  <r>
    <n v="204"/>
    <n v="202"/>
    <n v="28"/>
    <n v="4"/>
    <n v="4336"/>
    <n v="17344"/>
    <n v="5723.52"/>
    <s v="Home &amp; Kitchen"/>
    <x v="3"/>
  </r>
  <r>
    <n v="205"/>
    <n v="203"/>
    <n v="22"/>
    <n v="4"/>
    <n v="3514"/>
    <n v="14056"/>
    <n v="5903.52"/>
    <s v="Home Appliances"/>
    <x v="4"/>
  </r>
  <r>
    <n v="206"/>
    <n v="203"/>
    <n v="35"/>
    <n v="1"/>
    <n v="5295"/>
    <n v="5295"/>
    <n v="1985.62"/>
    <s v="Books"/>
    <x v="5"/>
  </r>
  <r>
    <n v="207"/>
    <n v="204"/>
    <n v="29"/>
    <n v="1"/>
    <n v="4473"/>
    <n v="4473"/>
    <n v="1408.9899999999998"/>
    <s v="Furniture"/>
    <x v="6"/>
  </r>
  <r>
    <n v="208"/>
    <n v="204"/>
    <n v="42"/>
    <n v="2"/>
    <n v="6254"/>
    <n v="12508"/>
    <n v="5253.36"/>
    <s v="Beauty"/>
    <x v="7"/>
  </r>
  <r>
    <n v="209"/>
    <n v="205"/>
    <n v="36"/>
    <n v="2"/>
    <n v="5432"/>
    <n v="10864"/>
    <n v="3911.04"/>
    <s v="Sports"/>
    <x v="8"/>
  </r>
  <r>
    <n v="210"/>
    <n v="205"/>
    <n v="49"/>
    <n v="3"/>
    <n v="7213"/>
    <n v="21639"/>
    <n v="6816.27"/>
    <s v="Toys"/>
    <x v="9"/>
  </r>
  <r>
    <n v="211"/>
    <n v="206"/>
    <n v="43"/>
    <n v="3"/>
    <n v="6391"/>
    <n v="19173"/>
    <n v="7765.0499999999993"/>
    <s v="Beauty"/>
    <x v="10"/>
  </r>
  <r>
    <n v="212"/>
    <n v="206"/>
    <n v="6"/>
    <n v="4"/>
    <n v="1322"/>
    <n v="5288"/>
    <n v="1903.6799999999998"/>
    <s v="Electronics"/>
    <x v="11"/>
  </r>
  <r>
    <n v="213"/>
    <n v="207"/>
    <n v="50"/>
    <n v="4"/>
    <n v="7350"/>
    <n v="29400"/>
    <n v="13230"/>
    <s v="Toys"/>
    <x v="12"/>
  </r>
  <r>
    <n v="214"/>
    <n v="207"/>
    <n v="13"/>
    <n v="1"/>
    <n v="2281"/>
    <n v="2281"/>
    <n v="923.8"/>
    <s v="Fashion"/>
    <x v="13"/>
  </r>
  <r>
    <n v="215"/>
    <n v="208"/>
    <n v="7"/>
    <n v="1"/>
    <n v="1459"/>
    <n v="1459"/>
    <n v="503.35"/>
    <s v="Electronics"/>
    <x v="14"/>
  </r>
  <r>
    <n v="216"/>
    <n v="208"/>
    <n v="20"/>
    <n v="2"/>
    <n v="3240"/>
    <n v="6480"/>
    <n v="2916"/>
    <s v="Fashion"/>
    <x v="15"/>
  </r>
  <r>
    <n v="217"/>
    <n v="209"/>
    <n v="14"/>
    <n v="2"/>
    <n v="2418"/>
    <n v="4836"/>
    <n v="1886.04"/>
    <s v="Fashion"/>
    <x v="16"/>
  </r>
  <r>
    <n v="218"/>
    <n v="209"/>
    <n v="27"/>
    <n v="3"/>
    <n v="4199"/>
    <n v="12597"/>
    <n v="4345.9500000000007"/>
    <s v="Home &amp; Kitchen"/>
    <x v="17"/>
  </r>
  <r>
    <n v="219"/>
    <n v="210"/>
    <n v="21"/>
    <n v="3"/>
    <n v="3377"/>
    <n v="10131"/>
    <n v="4406.97"/>
    <s v="Home Appliances"/>
    <x v="1"/>
  </r>
  <r>
    <n v="220"/>
    <n v="210"/>
    <n v="34"/>
    <n v="4"/>
    <n v="5158"/>
    <n v="20632"/>
    <n v="8046.48"/>
    <s v="Books"/>
    <x v="18"/>
  </r>
  <r>
    <n v="221"/>
    <n v="211"/>
    <n v="28"/>
    <n v="4"/>
    <n v="4336"/>
    <n v="17344"/>
    <n v="5723.52"/>
    <s v="Home &amp; Kitchen"/>
    <x v="3"/>
  </r>
  <r>
    <n v="222"/>
    <n v="211"/>
    <n v="41"/>
    <n v="1"/>
    <n v="6117"/>
    <n v="6117"/>
    <n v="2660.89"/>
    <s v="Beauty"/>
    <x v="19"/>
  </r>
  <r>
    <n v="223"/>
    <n v="212"/>
    <n v="35"/>
    <n v="1"/>
    <n v="5295"/>
    <n v="5295"/>
    <n v="1985.62"/>
    <s v="Books"/>
    <x v="5"/>
  </r>
  <r>
    <n v="224"/>
    <n v="212"/>
    <n v="48"/>
    <n v="2"/>
    <n v="7076"/>
    <n v="14152"/>
    <n v="4670.16"/>
    <s v="Toys"/>
    <x v="20"/>
  </r>
  <r>
    <n v="225"/>
    <n v="213"/>
    <n v="42"/>
    <n v="2"/>
    <n v="6254"/>
    <n v="12508"/>
    <n v="5253.36"/>
    <s v="Beauty"/>
    <x v="7"/>
  </r>
  <r>
    <n v="226"/>
    <n v="213"/>
    <n v="5"/>
    <n v="3"/>
    <n v="1185"/>
    <n v="3555"/>
    <n v="1333.1399999999999"/>
    <s v="Electronics"/>
    <x v="21"/>
  </r>
  <r>
    <n v="227"/>
    <n v="214"/>
    <n v="49"/>
    <n v="3"/>
    <n v="7213"/>
    <n v="21639"/>
    <n v="6816.27"/>
    <s v="Toys"/>
    <x v="9"/>
  </r>
  <r>
    <n v="228"/>
    <n v="214"/>
    <n v="12"/>
    <n v="4"/>
    <n v="2144"/>
    <n v="8576"/>
    <n v="3601.92"/>
    <s v="Fashion"/>
    <x v="22"/>
  </r>
  <r>
    <n v="229"/>
    <n v="215"/>
    <n v="6"/>
    <n v="4"/>
    <n v="1322"/>
    <n v="5288"/>
    <n v="1903.6799999999998"/>
    <s v="Electronics"/>
    <x v="11"/>
  </r>
  <r>
    <n v="230"/>
    <n v="215"/>
    <n v="19"/>
    <n v="1"/>
    <n v="3103"/>
    <n v="3103"/>
    <n v="977.44"/>
    <s v="Fashion"/>
    <x v="23"/>
  </r>
  <r>
    <n v="231"/>
    <n v="216"/>
    <n v="13"/>
    <n v="1"/>
    <n v="2281"/>
    <n v="2281"/>
    <n v="923.8"/>
    <s v="Fashion"/>
    <x v="13"/>
  </r>
  <r>
    <n v="232"/>
    <n v="216"/>
    <n v="26"/>
    <n v="2"/>
    <n v="4062"/>
    <n v="8124"/>
    <n v="2924.6400000000003"/>
    <s v="Home &amp; Kitchen"/>
    <x v="24"/>
  </r>
  <r>
    <n v="233"/>
    <n v="217"/>
    <n v="20"/>
    <n v="2"/>
    <n v="3240"/>
    <n v="6480"/>
    <n v="2916"/>
    <s v="Fashion"/>
    <x v="15"/>
  </r>
  <r>
    <n v="234"/>
    <n v="217"/>
    <n v="33"/>
    <n v="3"/>
    <n v="5021"/>
    <n v="15063"/>
    <n v="6100.5"/>
    <s v="Books"/>
    <x v="25"/>
  </r>
  <r>
    <n v="235"/>
    <n v="218"/>
    <n v="27"/>
    <n v="3"/>
    <n v="4199"/>
    <n v="12597"/>
    <n v="4345.9500000000007"/>
    <s v="Home &amp; Kitchen"/>
    <x v="17"/>
  </r>
  <r>
    <n v="236"/>
    <n v="218"/>
    <n v="40"/>
    <n v="4"/>
    <n v="5980"/>
    <n v="23920"/>
    <n v="10764"/>
    <s v="Sports"/>
    <x v="26"/>
  </r>
  <r>
    <n v="237"/>
    <n v="219"/>
    <n v="34"/>
    <n v="4"/>
    <n v="5158"/>
    <n v="20632"/>
    <n v="8046.48"/>
    <s v="Books"/>
    <x v="18"/>
  </r>
  <r>
    <n v="238"/>
    <n v="219"/>
    <n v="47"/>
    <n v="1"/>
    <n v="6939"/>
    <n v="6939"/>
    <n v="2393.9499999999998"/>
    <s v="Toys"/>
    <x v="27"/>
  </r>
  <r>
    <n v="239"/>
    <n v="220"/>
    <n v="41"/>
    <n v="1"/>
    <n v="6117"/>
    <n v="6117"/>
    <n v="2660.89"/>
    <s v="Beauty"/>
    <x v="19"/>
  </r>
  <r>
    <n v="240"/>
    <n v="220"/>
    <n v="4"/>
    <n v="2"/>
    <n v="1048"/>
    <n v="2096"/>
    <n v="817.44"/>
    <s v="Electronics"/>
    <x v="28"/>
  </r>
  <r>
    <n v="241"/>
    <n v="221"/>
    <n v="48"/>
    <n v="2"/>
    <n v="7076"/>
    <n v="14152"/>
    <n v="4670.16"/>
    <s v="Toys"/>
    <x v="20"/>
  </r>
  <r>
    <n v="242"/>
    <n v="221"/>
    <n v="11"/>
    <n v="3"/>
    <n v="2007"/>
    <n v="6021"/>
    <n v="2619.12"/>
    <s v="Fashion"/>
    <x v="29"/>
  </r>
  <r>
    <n v="243"/>
    <n v="222"/>
    <n v="5"/>
    <n v="3"/>
    <n v="1185"/>
    <n v="3555"/>
    <n v="1333.1399999999999"/>
    <s v="Electronics"/>
    <x v="21"/>
  </r>
  <r>
    <n v="244"/>
    <n v="222"/>
    <n v="18"/>
    <n v="4"/>
    <n v="2966"/>
    <n v="11864"/>
    <n v="3915.12"/>
    <s v="Fashion"/>
    <x v="30"/>
  </r>
  <r>
    <n v="245"/>
    <n v="223"/>
    <n v="12"/>
    <n v="4"/>
    <n v="2144"/>
    <n v="8576"/>
    <n v="3601.92"/>
    <s v="Fashion"/>
    <x v="22"/>
  </r>
  <r>
    <n v="246"/>
    <n v="223"/>
    <n v="25"/>
    <n v="1"/>
    <n v="3925"/>
    <n v="3925"/>
    <n v="1471.88"/>
    <s v="Home Appliances"/>
    <x v="31"/>
  </r>
  <r>
    <n v="247"/>
    <n v="224"/>
    <n v="19"/>
    <n v="1"/>
    <n v="3103"/>
    <n v="3103"/>
    <n v="977.44"/>
    <s v="Fashion"/>
    <x v="23"/>
  </r>
  <r>
    <n v="248"/>
    <n v="224"/>
    <n v="32"/>
    <n v="2"/>
    <n v="4884"/>
    <n v="9768"/>
    <n v="4102.5600000000004"/>
    <s v="Books"/>
    <x v="32"/>
  </r>
  <r>
    <n v="249"/>
    <n v="225"/>
    <n v="26"/>
    <n v="2"/>
    <n v="4062"/>
    <n v="8124"/>
    <n v="2924.6400000000003"/>
    <s v="Home &amp; Kitchen"/>
    <x v="24"/>
  </r>
  <r>
    <n v="250"/>
    <n v="225"/>
    <n v="39"/>
    <n v="3"/>
    <n v="5843"/>
    <n v="17529"/>
    <n v="5521.62"/>
    <s v="Sports"/>
    <x v="33"/>
  </r>
  <r>
    <n v="251"/>
    <n v="226"/>
    <n v="33"/>
    <n v="3"/>
    <n v="5021"/>
    <n v="15063"/>
    <n v="6100.5"/>
    <s v="Books"/>
    <x v="25"/>
  </r>
  <r>
    <n v="252"/>
    <n v="226"/>
    <n v="46"/>
    <n v="4"/>
    <n v="6802"/>
    <n v="27208"/>
    <n v="9794.880000000001"/>
    <s v="Toys"/>
    <x v="34"/>
  </r>
  <r>
    <n v="253"/>
    <n v="227"/>
    <n v="40"/>
    <n v="4"/>
    <n v="5980"/>
    <n v="23920"/>
    <n v="10764"/>
    <s v="Sports"/>
    <x v="26"/>
  </r>
  <r>
    <n v="254"/>
    <n v="227"/>
    <n v="3"/>
    <n v="1"/>
    <n v="911"/>
    <n v="911"/>
    <n v="368.95000000000005"/>
    <s v="Electronics"/>
    <x v="35"/>
  </r>
  <r>
    <n v="255"/>
    <n v="228"/>
    <n v="47"/>
    <n v="1"/>
    <n v="6939"/>
    <n v="6939"/>
    <n v="2393.9499999999998"/>
    <s v="Toys"/>
    <x v="27"/>
  </r>
  <r>
    <n v="256"/>
    <n v="228"/>
    <n v="10"/>
    <n v="2"/>
    <n v="1870"/>
    <n v="3740"/>
    <n v="1683"/>
    <s v="Electronics"/>
    <x v="36"/>
  </r>
  <r>
    <n v="257"/>
    <n v="229"/>
    <n v="4"/>
    <n v="2"/>
    <n v="1048"/>
    <n v="2096"/>
    <n v="817.44"/>
    <s v="Electronics"/>
    <x v="28"/>
  </r>
  <r>
    <n v="258"/>
    <n v="229"/>
    <n v="17"/>
    <n v="3"/>
    <n v="2829"/>
    <n v="8487"/>
    <n v="2928"/>
    <s v="Fashion"/>
    <x v="37"/>
  </r>
  <r>
    <n v="259"/>
    <n v="230"/>
    <n v="11"/>
    <n v="3"/>
    <n v="2007"/>
    <n v="6021"/>
    <n v="2619.12"/>
    <s v="Fashion"/>
    <x v="29"/>
  </r>
  <r>
    <n v="260"/>
    <n v="230"/>
    <n v="24"/>
    <n v="4"/>
    <n v="3788"/>
    <n v="15152"/>
    <n v="5909.2800000000007"/>
    <s v="Home Appliances"/>
    <x v="38"/>
  </r>
  <r>
    <n v="261"/>
    <n v="231"/>
    <n v="18"/>
    <n v="4"/>
    <n v="2966"/>
    <n v="11864"/>
    <n v="3915.12"/>
    <s v="Fashion"/>
    <x v="30"/>
  </r>
  <r>
    <n v="262"/>
    <n v="231"/>
    <n v="31"/>
    <n v="1"/>
    <n v="4747"/>
    <n v="4747"/>
    <n v="2064.94"/>
    <s v="Books"/>
    <x v="39"/>
  </r>
  <r>
    <n v="263"/>
    <n v="232"/>
    <n v="25"/>
    <n v="1"/>
    <n v="3925"/>
    <n v="3925"/>
    <n v="1471.88"/>
    <s v="Home Appliances"/>
    <x v="31"/>
  </r>
  <r>
    <n v="264"/>
    <n v="232"/>
    <n v="38"/>
    <n v="2"/>
    <n v="5706"/>
    <n v="11412"/>
    <n v="3765.96"/>
    <s v="Sports"/>
    <x v="40"/>
  </r>
  <r>
    <n v="265"/>
    <n v="233"/>
    <n v="32"/>
    <n v="2"/>
    <n v="4884"/>
    <n v="9768"/>
    <n v="4102.5600000000004"/>
    <s v="Books"/>
    <x v="32"/>
  </r>
  <r>
    <n v="266"/>
    <n v="233"/>
    <n v="45"/>
    <n v="3"/>
    <n v="6665"/>
    <n v="19995"/>
    <n v="7498.14"/>
    <s v="Beauty"/>
    <x v="41"/>
  </r>
  <r>
    <n v="267"/>
    <n v="234"/>
    <n v="39"/>
    <n v="3"/>
    <n v="5843"/>
    <n v="17529"/>
    <n v="5521.62"/>
    <s v="Sports"/>
    <x v="33"/>
  </r>
  <r>
    <n v="268"/>
    <n v="234"/>
    <n v="2"/>
    <n v="4"/>
    <n v="774"/>
    <n v="3096"/>
    <n v="1300.32"/>
    <s v="Electronics"/>
    <x v="42"/>
  </r>
  <r>
    <n v="269"/>
    <n v="235"/>
    <n v="46"/>
    <n v="4"/>
    <n v="6802"/>
    <n v="27208"/>
    <n v="9794.880000000001"/>
    <s v="Toys"/>
    <x v="34"/>
  </r>
  <r>
    <n v="270"/>
    <n v="235"/>
    <n v="9"/>
    <n v="1"/>
    <n v="1733"/>
    <n v="1733"/>
    <n v="545.8900000000001"/>
    <s v="Electronics"/>
    <x v="43"/>
  </r>
  <r>
    <n v="271"/>
    <n v="236"/>
    <n v="3"/>
    <n v="1"/>
    <n v="911"/>
    <n v="911"/>
    <n v="368.95000000000005"/>
    <s v="Electronics"/>
    <x v="35"/>
  </r>
  <r>
    <n v="272"/>
    <n v="236"/>
    <n v="16"/>
    <n v="2"/>
    <n v="2692"/>
    <n v="5384"/>
    <n v="1938.2399999999998"/>
    <s v="Fashion"/>
    <x v="44"/>
  </r>
  <r>
    <n v="273"/>
    <n v="237"/>
    <n v="10"/>
    <n v="2"/>
    <n v="1870"/>
    <n v="3740"/>
    <n v="1683"/>
    <s v="Electronics"/>
    <x v="36"/>
  </r>
  <r>
    <n v="274"/>
    <n v="237"/>
    <n v="23"/>
    <n v="3"/>
    <n v="3651"/>
    <n v="10953"/>
    <n v="4435.9500000000007"/>
    <s v="Home Appliances"/>
    <x v="45"/>
  </r>
  <r>
    <n v="275"/>
    <n v="238"/>
    <n v="17"/>
    <n v="3"/>
    <n v="2829"/>
    <n v="8487"/>
    <n v="2928"/>
    <s v="Fashion"/>
    <x v="37"/>
  </r>
  <r>
    <n v="276"/>
    <n v="238"/>
    <n v="30"/>
    <n v="4"/>
    <n v="4610"/>
    <n v="18440"/>
    <n v="8298"/>
    <s v="Furniture"/>
    <x v="46"/>
  </r>
  <r>
    <n v="277"/>
    <n v="239"/>
    <n v="24"/>
    <n v="4"/>
    <n v="3788"/>
    <n v="15152"/>
    <n v="5909.2800000000007"/>
    <s v="Home Appliances"/>
    <x v="38"/>
  </r>
  <r>
    <n v="278"/>
    <n v="239"/>
    <n v="37"/>
    <n v="1"/>
    <n v="5569"/>
    <n v="5569"/>
    <n v="1921.3000000000002"/>
    <s v="Sports"/>
    <x v="47"/>
  </r>
  <r>
    <n v="279"/>
    <n v="240"/>
    <n v="31"/>
    <n v="1"/>
    <n v="4747"/>
    <n v="4747"/>
    <n v="2064.94"/>
    <s v="Books"/>
    <x v="39"/>
  </r>
  <r>
    <n v="280"/>
    <n v="240"/>
    <n v="44"/>
    <n v="2"/>
    <n v="6528"/>
    <n v="13056"/>
    <n v="5091.84"/>
    <s v="Beauty"/>
    <x v="48"/>
  </r>
  <r>
    <n v="281"/>
    <n v="241"/>
    <n v="38"/>
    <n v="2"/>
    <n v="5706"/>
    <n v="11412"/>
    <n v="3765.96"/>
    <s v="Sports"/>
    <x v="40"/>
  </r>
  <r>
    <n v="282"/>
    <n v="241"/>
    <n v="1"/>
    <n v="3"/>
    <n v="637"/>
    <n v="1911"/>
    <n v="831.27"/>
    <s v="Electronics"/>
    <x v="49"/>
  </r>
  <r>
    <n v="283"/>
    <n v="242"/>
    <n v="45"/>
    <n v="3"/>
    <n v="6665"/>
    <n v="19995"/>
    <n v="7498.14"/>
    <s v="Beauty"/>
    <x v="41"/>
  </r>
  <r>
    <n v="284"/>
    <n v="242"/>
    <n v="8"/>
    <n v="4"/>
    <n v="1596"/>
    <n v="6384"/>
    <n v="2106.7200000000003"/>
    <s v="Electronics"/>
    <x v="0"/>
  </r>
  <r>
    <n v="285"/>
    <n v="243"/>
    <n v="2"/>
    <n v="4"/>
    <n v="774"/>
    <n v="3096"/>
    <n v="1300.32"/>
    <s v="Electronics"/>
    <x v="42"/>
  </r>
  <r>
    <n v="286"/>
    <n v="243"/>
    <n v="15"/>
    <n v="1"/>
    <n v="2555"/>
    <n v="2555"/>
    <n v="958.11999999999989"/>
    <s v="Fashion"/>
    <x v="2"/>
  </r>
  <r>
    <n v="287"/>
    <n v="244"/>
    <n v="9"/>
    <n v="1"/>
    <n v="1733"/>
    <n v="1733"/>
    <n v="545.8900000000001"/>
    <s v="Electronics"/>
    <x v="43"/>
  </r>
  <r>
    <n v="288"/>
    <n v="244"/>
    <n v="22"/>
    <n v="2"/>
    <n v="3514"/>
    <n v="7028"/>
    <n v="2951.76"/>
    <s v="Home Appliances"/>
    <x v="4"/>
  </r>
  <r>
    <n v="289"/>
    <n v="245"/>
    <n v="16"/>
    <n v="2"/>
    <n v="2692"/>
    <n v="5384"/>
    <n v="1938.2399999999998"/>
    <s v="Fashion"/>
    <x v="44"/>
  </r>
  <r>
    <n v="290"/>
    <n v="245"/>
    <n v="29"/>
    <n v="3"/>
    <n v="4473"/>
    <n v="13419"/>
    <n v="4226.9699999999993"/>
    <s v="Furniture"/>
    <x v="6"/>
  </r>
  <r>
    <n v="291"/>
    <n v="246"/>
    <n v="23"/>
    <n v="3"/>
    <n v="3651"/>
    <n v="10953"/>
    <n v="4435.9500000000007"/>
    <s v="Home Appliances"/>
    <x v="45"/>
  </r>
  <r>
    <n v="292"/>
    <n v="246"/>
    <n v="36"/>
    <n v="4"/>
    <n v="5432"/>
    <n v="21728"/>
    <n v="7822.08"/>
    <s v="Sports"/>
    <x v="8"/>
  </r>
  <r>
    <n v="293"/>
    <n v="247"/>
    <n v="30"/>
    <n v="4"/>
    <n v="4610"/>
    <n v="18440"/>
    <n v="8298"/>
    <s v="Furniture"/>
    <x v="46"/>
  </r>
  <r>
    <n v="294"/>
    <n v="247"/>
    <n v="43"/>
    <n v="1"/>
    <n v="6391"/>
    <n v="6391"/>
    <n v="2588.35"/>
    <s v="Beauty"/>
    <x v="10"/>
  </r>
  <r>
    <n v="295"/>
    <n v="248"/>
    <n v="37"/>
    <n v="1"/>
    <n v="5569"/>
    <n v="5569"/>
    <n v="1921.3000000000002"/>
    <s v="Sports"/>
    <x v="47"/>
  </r>
  <r>
    <n v="296"/>
    <n v="248"/>
    <n v="50"/>
    <n v="2"/>
    <n v="7350"/>
    <n v="14700"/>
    <n v="6615"/>
    <s v="Toys"/>
    <x v="12"/>
  </r>
  <r>
    <n v="297"/>
    <n v="249"/>
    <n v="44"/>
    <n v="2"/>
    <n v="6528"/>
    <n v="13056"/>
    <n v="5091.84"/>
    <s v="Beauty"/>
    <x v="48"/>
  </r>
  <r>
    <n v="298"/>
    <n v="249"/>
    <n v="7"/>
    <n v="3"/>
    <n v="1459"/>
    <n v="4377"/>
    <n v="1510.0500000000002"/>
    <s v="Electronics"/>
    <x v="14"/>
  </r>
  <r>
    <n v="299"/>
    <n v="250"/>
    <n v="1"/>
    <n v="3"/>
    <n v="637"/>
    <n v="1911"/>
    <n v="831.27"/>
    <s v="Electronics"/>
    <x v="49"/>
  </r>
  <r>
    <n v="300"/>
    <n v="250"/>
    <n v="14"/>
    <n v="4"/>
    <n v="2418"/>
    <n v="9672"/>
    <n v="3772.08"/>
    <s v="Fashion"/>
    <x v="16"/>
  </r>
  <r>
    <n v="301"/>
    <n v="251"/>
    <n v="8"/>
    <n v="4"/>
    <n v="1596"/>
    <n v="6384"/>
    <n v="2106.7200000000003"/>
    <s v="Electronics"/>
    <x v="0"/>
  </r>
  <r>
    <n v="302"/>
    <n v="251"/>
    <n v="21"/>
    <n v="1"/>
    <n v="3377"/>
    <n v="3377"/>
    <n v="1468.99"/>
    <s v="Home Appliances"/>
    <x v="1"/>
  </r>
  <r>
    <n v="303"/>
    <n v="252"/>
    <n v="15"/>
    <n v="1"/>
    <n v="2555"/>
    <n v="2555"/>
    <n v="958.11999999999989"/>
    <s v="Fashion"/>
    <x v="2"/>
  </r>
  <r>
    <n v="304"/>
    <n v="252"/>
    <n v="28"/>
    <n v="2"/>
    <n v="4336"/>
    <n v="8672"/>
    <n v="2861.76"/>
    <s v="Home &amp; Kitchen"/>
    <x v="3"/>
  </r>
  <r>
    <n v="305"/>
    <n v="253"/>
    <n v="22"/>
    <n v="2"/>
    <n v="3514"/>
    <n v="7028"/>
    <n v="2951.76"/>
    <s v="Home Appliances"/>
    <x v="4"/>
  </r>
  <r>
    <n v="306"/>
    <n v="253"/>
    <n v="35"/>
    <n v="3"/>
    <n v="5295"/>
    <n v="15885"/>
    <n v="5956.86"/>
    <s v="Books"/>
    <x v="5"/>
  </r>
  <r>
    <n v="307"/>
    <n v="254"/>
    <n v="29"/>
    <n v="3"/>
    <n v="4473"/>
    <n v="13419"/>
    <n v="4226.9699999999993"/>
    <s v="Furniture"/>
    <x v="6"/>
  </r>
  <r>
    <n v="308"/>
    <n v="254"/>
    <n v="42"/>
    <n v="4"/>
    <n v="6254"/>
    <n v="25016"/>
    <n v="10506.72"/>
    <s v="Beauty"/>
    <x v="7"/>
  </r>
  <r>
    <n v="309"/>
    <n v="255"/>
    <n v="36"/>
    <n v="4"/>
    <n v="5432"/>
    <n v="21728"/>
    <n v="7822.08"/>
    <s v="Sports"/>
    <x v="8"/>
  </r>
  <r>
    <n v="310"/>
    <n v="255"/>
    <n v="49"/>
    <n v="1"/>
    <n v="7213"/>
    <n v="7213"/>
    <n v="2272.09"/>
    <s v="Toys"/>
    <x v="9"/>
  </r>
  <r>
    <n v="311"/>
    <n v="256"/>
    <n v="43"/>
    <n v="1"/>
    <n v="6391"/>
    <n v="6391"/>
    <n v="2588.35"/>
    <s v="Beauty"/>
    <x v="10"/>
  </r>
  <r>
    <n v="312"/>
    <n v="256"/>
    <n v="6"/>
    <n v="2"/>
    <n v="1322"/>
    <n v="2644"/>
    <n v="951.83999999999992"/>
    <s v="Electronics"/>
    <x v="11"/>
  </r>
  <r>
    <n v="313"/>
    <n v="257"/>
    <n v="50"/>
    <n v="2"/>
    <n v="7350"/>
    <n v="14700"/>
    <n v="6615"/>
    <s v="Toys"/>
    <x v="12"/>
  </r>
  <r>
    <n v="314"/>
    <n v="257"/>
    <n v="13"/>
    <n v="3"/>
    <n v="2281"/>
    <n v="6843"/>
    <n v="2771.3999999999996"/>
    <s v="Fashion"/>
    <x v="13"/>
  </r>
  <r>
    <n v="315"/>
    <n v="258"/>
    <n v="7"/>
    <n v="3"/>
    <n v="1459"/>
    <n v="4377"/>
    <n v="1510.0500000000002"/>
    <s v="Electronics"/>
    <x v="14"/>
  </r>
  <r>
    <n v="316"/>
    <n v="258"/>
    <n v="20"/>
    <n v="4"/>
    <n v="3240"/>
    <n v="12960"/>
    <n v="5832"/>
    <s v="Fashion"/>
    <x v="15"/>
  </r>
  <r>
    <n v="317"/>
    <n v="259"/>
    <n v="14"/>
    <n v="4"/>
    <n v="2418"/>
    <n v="9672"/>
    <n v="3772.08"/>
    <s v="Fashion"/>
    <x v="16"/>
  </r>
  <r>
    <n v="318"/>
    <n v="259"/>
    <n v="27"/>
    <n v="1"/>
    <n v="4199"/>
    <n v="4199"/>
    <n v="1448.65"/>
    <s v="Home &amp; Kitchen"/>
    <x v="17"/>
  </r>
  <r>
    <n v="319"/>
    <n v="260"/>
    <n v="21"/>
    <n v="1"/>
    <n v="3377"/>
    <n v="3377"/>
    <n v="1468.99"/>
    <s v="Home Appliances"/>
    <x v="1"/>
  </r>
  <r>
    <n v="320"/>
    <n v="260"/>
    <n v="34"/>
    <n v="2"/>
    <n v="5158"/>
    <n v="10316"/>
    <n v="4023.24"/>
    <s v="Books"/>
    <x v="18"/>
  </r>
  <r>
    <n v="321"/>
    <n v="261"/>
    <n v="28"/>
    <n v="2"/>
    <n v="4336"/>
    <n v="8672"/>
    <n v="2861.76"/>
    <s v="Home &amp; Kitchen"/>
    <x v="3"/>
  </r>
  <r>
    <n v="322"/>
    <n v="261"/>
    <n v="41"/>
    <n v="3"/>
    <n v="6117"/>
    <n v="18351"/>
    <n v="7982.67"/>
    <s v="Beauty"/>
    <x v="19"/>
  </r>
  <r>
    <n v="323"/>
    <n v="262"/>
    <n v="35"/>
    <n v="3"/>
    <n v="5295"/>
    <n v="15885"/>
    <n v="5956.86"/>
    <s v="Books"/>
    <x v="5"/>
  </r>
  <r>
    <n v="324"/>
    <n v="262"/>
    <n v="48"/>
    <n v="4"/>
    <n v="7076"/>
    <n v="28304"/>
    <n v="9340.32"/>
    <s v="Toys"/>
    <x v="20"/>
  </r>
  <r>
    <n v="325"/>
    <n v="263"/>
    <n v="42"/>
    <n v="4"/>
    <n v="6254"/>
    <n v="25016"/>
    <n v="10506.72"/>
    <s v="Beauty"/>
    <x v="7"/>
  </r>
  <r>
    <n v="326"/>
    <n v="263"/>
    <n v="5"/>
    <n v="1"/>
    <n v="1185"/>
    <n v="1185"/>
    <n v="444.38"/>
    <s v="Electronics"/>
    <x v="21"/>
  </r>
  <r>
    <n v="327"/>
    <n v="264"/>
    <n v="49"/>
    <n v="1"/>
    <n v="7213"/>
    <n v="7213"/>
    <n v="2272.09"/>
    <s v="Toys"/>
    <x v="9"/>
  </r>
  <r>
    <n v="328"/>
    <n v="264"/>
    <n v="12"/>
    <n v="2"/>
    <n v="2144"/>
    <n v="4288"/>
    <n v="1800.96"/>
    <s v="Fashion"/>
    <x v="22"/>
  </r>
  <r>
    <n v="329"/>
    <n v="265"/>
    <n v="6"/>
    <n v="2"/>
    <n v="1322"/>
    <n v="2644"/>
    <n v="951.83999999999992"/>
    <s v="Electronics"/>
    <x v="11"/>
  </r>
  <r>
    <n v="330"/>
    <n v="265"/>
    <n v="19"/>
    <n v="3"/>
    <n v="3103"/>
    <n v="9309"/>
    <n v="2932.32"/>
    <s v="Fashion"/>
    <x v="23"/>
  </r>
  <r>
    <n v="331"/>
    <n v="266"/>
    <n v="13"/>
    <n v="3"/>
    <n v="2281"/>
    <n v="6843"/>
    <n v="2771.3999999999996"/>
    <s v="Fashion"/>
    <x v="13"/>
  </r>
  <r>
    <n v="332"/>
    <n v="266"/>
    <n v="26"/>
    <n v="4"/>
    <n v="4062"/>
    <n v="16248"/>
    <n v="5849.2800000000007"/>
    <s v="Home &amp; Kitchen"/>
    <x v="24"/>
  </r>
  <r>
    <n v="333"/>
    <n v="267"/>
    <n v="20"/>
    <n v="4"/>
    <n v="3240"/>
    <n v="12960"/>
    <n v="5832"/>
    <s v="Fashion"/>
    <x v="15"/>
  </r>
  <r>
    <n v="334"/>
    <n v="267"/>
    <n v="33"/>
    <n v="1"/>
    <n v="5021"/>
    <n v="5021"/>
    <n v="2033.5"/>
    <s v="Books"/>
    <x v="25"/>
  </r>
  <r>
    <n v="335"/>
    <n v="268"/>
    <n v="27"/>
    <n v="1"/>
    <n v="4199"/>
    <n v="4199"/>
    <n v="1448.65"/>
    <s v="Home &amp; Kitchen"/>
    <x v="17"/>
  </r>
  <r>
    <n v="336"/>
    <n v="268"/>
    <n v="40"/>
    <n v="2"/>
    <n v="5980"/>
    <n v="11960"/>
    <n v="5382"/>
    <s v="Sports"/>
    <x v="26"/>
  </r>
  <r>
    <n v="337"/>
    <n v="269"/>
    <n v="34"/>
    <n v="2"/>
    <n v="5158"/>
    <n v="10316"/>
    <n v="4023.24"/>
    <s v="Books"/>
    <x v="18"/>
  </r>
  <r>
    <n v="338"/>
    <n v="269"/>
    <n v="47"/>
    <n v="3"/>
    <n v="6939"/>
    <n v="20817"/>
    <n v="7181.8499999999995"/>
    <s v="Toys"/>
    <x v="27"/>
  </r>
  <r>
    <n v="339"/>
    <n v="270"/>
    <n v="41"/>
    <n v="3"/>
    <n v="6117"/>
    <n v="18351"/>
    <n v="7982.67"/>
    <s v="Beauty"/>
    <x v="19"/>
  </r>
  <r>
    <n v="340"/>
    <n v="270"/>
    <n v="4"/>
    <n v="4"/>
    <n v="1048"/>
    <n v="4192"/>
    <n v="1634.88"/>
    <s v="Electronics"/>
    <x v="28"/>
  </r>
  <r>
    <n v="341"/>
    <n v="271"/>
    <n v="48"/>
    <n v="4"/>
    <n v="7076"/>
    <n v="28304"/>
    <n v="9340.32"/>
    <s v="Toys"/>
    <x v="20"/>
  </r>
  <r>
    <n v="342"/>
    <n v="271"/>
    <n v="11"/>
    <n v="1"/>
    <n v="2007"/>
    <n v="2007"/>
    <n v="873.04"/>
    <s v="Fashion"/>
    <x v="29"/>
  </r>
  <r>
    <n v="343"/>
    <n v="272"/>
    <n v="5"/>
    <n v="1"/>
    <n v="1185"/>
    <n v="1185"/>
    <n v="444.38"/>
    <s v="Electronics"/>
    <x v="21"/>
  </r>
  <r>
    <n v="344"/>
    <n v="272"/>
    <n v="18"/>
    <n v="2"/>
    <n v="2966"/>
    <n v="5932"/>
    <n v="1957.56"/>
    <s v="Fashion"/>
    <x v="30"/>
  </r>
  <r>
    <n v="345"/>
    <n v="273"/>
    <n v="12"/>
    <n v="2"/>
    <n v="2144"/>
    <n v="4288"/>
    <n v="1800.96"/>
    <s v="Fashion"/>
    <x v="22"/>
  </r>
  <r>
    <n v="346"/>
    <n v="273"/>
    <n v="25"/>
    <n v="3"/>
    <n v="3925"/>
    <n v="11775"/>
    <n v="4415.6400000000003"/>
    <s v="Home Appliances"/>
    <x v="31"/>
  </r>
  <r>
    <n v="347"/>
    <n v="274"/>
    <n v="19"/>
    <n v="3"/>
    <n v="3103"/>
    <n v="9309"/>
    <n v="2932.32"/>
    <s v="Fashion"/>
    <x v="23"/>
  </r>
  <r>
    <n v="348"/>
    <n v="274"/>
    <n v="32"/>
    <n v="4"/>
    <n v="4884"/>
    <n v="19536"/>
    <n v="8205.1200000000008"/>
    <s v="Books"/>
    <x v="32"/>
  </r>
  <r>
    <n v="349"/>
    <n v="275"/>
    <n v="26"/>
    <n v="4"/>
    <n v="4062"/>
    <n v="16248"/>
    <n v="5849.2800000000007"/>
    <s v="Home &amp; Kitchen"/>
    <x v="24"/>
  </r>
  <r>
    <n v="350"/>
    <n v="275"/>
    <n v="39"/>
    <n v="1"/>
    <n v="5843"/>
    <n v="5843"/>
    <n v="1840.54"/>
    <s v="Sports"/>
    <x v="33"/>
  </r>
  <r>
    <n v="351"/>
    <n v="276"/>
    <n v="33"/>
    <n v="1"/>
    <n v="5021"/>
    <n v="5021"/>
    <n v="2033.5"/>
    <s v="Books"/>
    <x v="25"/>
  </r>
  <r>
    <n v="352"/>
    <n v="276"/>
    <n v="46"/>
    <n v="2"/>
    <n v="6802"/>
    <n v="13604"/>
    <n v="4897.4400000000005"/>
    <s v="Toys"/>
    <x v="34"/>
  </r>
  <r>
    <n v="353"/>
    <n v="277"/>
    <n v="40"/>
    <n v="2"/>
    <n v="5980"/>
    <n v="11960"/>
    <n v="5382"/>
    <s v="Sports"/>
    <x v="26"/>
  </r>
  <r>
    <n v="354"/>
    <n v="277"/>
    <n v="3"/>
    <n v="3"/>
    <n v="911"/>
    <n v="2733"/>
    <n v="1106.8500000000001"/>
    <s v="Electronics"/>
    <x v="35"/>
  </r>
  <r>
    <n v="355"/>
    <n v="278"/>
    <n v="47"/>
    <n v="3"/>
    <n v="6939"/>
    <n v="20817"/>
    <n v="7181.8499999999995"/>
    <s v="Toys"/>
    <x v="27"/>
  </r>
  <r>
    <n v="356"/>
    <n v="278"/>
    <n v="10"/>
    <n v="4"/>
    <n v="1870"/>
    <n v="7480"/>
    <n v="3366"/>
    <s v="Electronics"/>
    <x v="36"/>
  </r>
  <r>
    <n v="357"/>
    <n v="279"/>
    <n v="4"/>
    <n v="4"/>
    <n v="1048"/>
    <n v="4192"/>
    <n v="1634.88"/>
    <s v="Electronics"/>
    <x v="28"/>
  </r>
  <r>
    <n v="358"/>
    <n v="279"/>
    <n v="17"/>
    <n v="1"/>
    <n v="2829"/>
    <n v="2829"/>
    <n v="976"/>
    <s v="Fashion"/>
    <x v="37"/>
  </r>
  <r>
    <n v="359"/>
    <n v="280"/>
    <n v="11"/>
    <n v="1"/>
    <n v="2007"/>
    <n v="2007"/>
    <n v="873.04"/>
    <s v="Fashion"/>
    <x v="29"/>
  </r>
  <r>
    <n v="360"/>
    <n v="280"/>
    <n v="24"/>
    <n v="2"/>
    <n v="3788"/>
    <n v="7576"/>
    <n v="2954.6400000000003"/>
    <s v="Home Appliances"/>
    <x v="38"/>
  </r>
  <r>
    <n v="361"/>
    <n v="281"/>
    <n v="18"/>
    <n v="2"/>
    <n v="2966"/>
    <n v="5932"/>
    <n v="1957.56"/>
    <s v="Fashion"/>
    <x v="30"/>
  </r>
  <r>
    <n v="362"/>
    <n v="281"/>
    <n v="31"/>
    <n v="3"/>
    <n v="4747"/>
    <n v="14241"/>
    <n v="6194.82"/>
    <s v="Books"/>
    <x v="39"/>
  </r>
  <r>
    <n v="363"/>
    <n v="282"/>
    <n v="25"/>
    <n v="3"/>
    <n v="3925"/>
    <n v="11775"/>
    <n v="4415.6400000000003"/>
    <s v="Home Appliances"/>
    <x v="31"/>
  </r>
  <r>
    <n v="364"/>
    <n v="282"/>
    <n v="38"/>
    <n v="4"/>
    <n v="5706"/>
    <n v="22824"/>
    <n v="7531.92"/>
    <s v="Sports"/>
    <x v="40"/>
  </r>
  <r>
    <n v="365"/>
    <n v="283"/>
    <n v="32"/>
    <n v="4"/>
    <n v="4884"/>
    <n v="19536"/>
    <n v="8205.1200000000008"/>
    <s v="Books"/>
    <x v="32"/>
  </r>
  <r>
    <n v="366"/>
    <n v="283"/>
    <n v="45"/>
    <n v="1"/>
    <n v="6665"/>
    <n v="6665"/>
    <n v="2499.38"/>
    <s v="Beauty"/>
    <x v="41"/>
  </r>
  <r>
    <n v="367"/>
    <n v="284"/>
    <n v="39"/>
    <n v="1"/>
    <n v="5843"/>
    <n v="5843"/>
    <n v="1840.54"/>
    <s v="Sports"/>
    <x v="33"/>
  </r>
  <r>
    <n v="368"/>
    <n v="284"/>
    <n v="2"/>
    <n v="2"/>
    <n v="774"/>
    <n v="1548"/>
    <n v="650.16"/>
    <s v="Electronics"/>
    <x v="42"/>
  </r>
  <r>
    <n v="369"/>
    <n v="285"/>
    <n v="46"/>
    <n v="2"/>
    <n v="6802"/>
    <n v="13604"/>
    <n v="4897.4400000000005"/>
    <s v="Toys"/>
    <x v="34"/>
  </r>
  <r>
    <n v="370"/>
    <n v="285"/>
    <n v="9"/>
    <n v="3"/>
    <n v="1733"/>
    <n v="5199"/>
    <n v="1637.6700000000003"/>
    <s v="Electronics"/>
    <x v="43"/>
  </r>
  <r>
    <n v="371"/>
    <n v="286"/>
    <n v="3"/>
    <n v="3"/>
    <n v="911"/>
    <n v="2733"/>
    <n v="1106.8500000000001"/>
    <s v="Electronics"/>
    <x v="35"/>
  </r>
  <r>
    <n v="372"/>
    <n v="286"/>
    <n v="16"/>
    <n v="4"/>
    <n v="2692"/>
    <n v="10768"/>
    <n v="3876.4799999999996"/>
    <s v="Fashion"/>
    <x v="44"/>
  </r>
  <r>
    <n v="373"/>
    <n v="287"/>
    <n v="10"/>
    <n v="4"/>
    <n v="1870"/>
    <n v="7480"/>
    <n v="3366"/>
    <s v="Electronics"/>
    <x v="36"/>
  </r>
  <r>
    <n v="374"/>
    <n v="287"/>
    <n v="23"/>
    <n v="1"/>
    <n v="3651"/>
    <n v="3651"/>
    <n v="1478.65"/>
    <s v="Home Appliances"/>
    <x v="45"/>
  </r>
  <r>
    <n v="375"/>
    <n v="288"/>
    <n v="17"/>
    <n v="1"/>
    <n v="2829"/>
    <n v="2829"/>
    <n v="976"/>
    <s v="Fashion"/>
    <x v="37"/>
  </r>
  <r>
    <n v="376"/>
    <n v="288"/>
    <n v="30"/>
    <n v="2"/>
    <n v="4610"/>
    <n v="9220"/>
    <n v="4149"/>
    <s v="Furniture"/>
    <x v="46"/>
  </r>
  <r>
    <n v="377"/>
    <n v="289"/>
    <n v="24"/>
    <n v="2"/>
    <n v="3788"/>
    <n v="7576"/>
    <n v="2954.6400000000003"/>
    <s v="Home Appliances"/>
    <x v="38"/>
  </r>
  <r>
    <n v="378"/>
    <n v="289"/>
    <n v="37"/>
    <n v="3"/>
    <n v="5569"/>
    <n v="16707"/>
    <n v="5763.9000000000005"/>
    <s v="Sports"/>
    <x v="47"/>
  </r>
  <r>
    <n v="379"/>
    <n v="290"/>
    <n v="31"/>
    <n v="3"/>
    <n v="4747"/>
    <n v="14241"/>
    <n v="6194.82"/>
    <s v="Books"/>
    <x v="39"/>
  </r>
  <r>
    <n v="380"/>
    <n v="290"/>
    <n v="44"/>
    <n v="4"/>
    <n v="6528"/>
    <n v="26112"/>
    <n v="10183.68"/>
    <s v="Beauty"/>
    <x v="48"/>
  </r>
  <r>
    <n v="381"/>
    <n v="291"/>
    <n v="38"/>
    <n v="4"/>
    <n v="5706"/>
    <n v="22824"/>
    <n v="7531.92"/>
    <s v="Sports"/>
    <x v="40"/>
  </r>
  <r>
    <n v="382"/>
    <n v="291"/>
    <n v="1"/>
    <n v="1"/>
    <n v="637"/>
    <n v="637"/>
    <n v="277.08999999999997"/>
    <s v="Electronics"/>
    <x v="49"/>
  </r>
  <r>
    <n v="383"/>
    <n v="292"/>
    <n v="45"/>
    <n v="1"/>
    <n v="6665"/>
    <n v="6665"/>
    <n v="2499.38"/>
    <s v="Beauty"/>
    <x v="41"/>
  </r>
  <r>
    <n v="384"/>
    <n v="292"/>
    <n v="8"/>
    <n v="2"/>
    <n v="1596"/>
    <n v="3192"/>
    <n v="1053.3600000000001"/>
    <s v="Electronics"/>
    <x v="0"/>
  </r>
  <r>
    <n v="385"/>
    <n v="293"/>
    <n v="2"/>
    <n v="2"/>
    <n v="774"/>
    <n v="1548"/>
    <n v="650.16"/>
    <s v="Electronics"/>
    <x v="42"/>
  </r>
  <r>
    <n v="386"/>
    <n v="293"/>
    <n v="15"/>
    <n v="3"/>
    <n v="2555"/>
    <n v="7665"/>
    <n v="2874.3599999999997"/>
    <s v="Fashion"/>
    <x v="2"/>
  </r>
  <r>
    <n v="387"/>
    <n v="294"/>
    <n v="9"/>
    <n v="3"/>
    <n v="1733"/>
    <n v="5199"/>
    <n v="1637.6700000000003"/>
    <s v="Electronics"/>
    <x v="43"/>
  </r>
  <r>
    <n v="388"/>
    <n v="294"/>
    <n v="22"/>
    <n v="4"/>
    <n v="3514"/>
    <n v="14056"/>
    <n v="5903.52"/>
    <s v="Home Appliances"/>
    <x v="4"/>
  </r>
  <r>
    <n v="389"/>
    <n v="295"/>
    <n v="16"/>
    <n v="4"/>
    <n v="2692"/>
    <n v="10768"/>
    <n v="3876.4799999999996"/>
    <s v="Fashion"/>
    <x v="44"/>
  </r>
  <r>
    <n v="390"/>
    <n v="295"/>
    <n v="29"/>
    <n v="1"/>
    <n v="4473"/>
    <n v="4473"/>
    <n v="1408.9899999999998"/>
    <s v="Furniture"/>
    <x v="6"/>
  </r>
  <r>
    <n v="391"/>
    <n v="296"/>
    <n v="23"/>
    <n v="1"/>
    <n v="3651"/>
    <n v="3651"/>
    <n v="1478.65"/>
    <s v="Home Appliances"/>
    <x v="45"/>
  </r>
  <r>
    <n v="392"/>
    <n v="296"/>
    <n v="36"/>
    <n v="2"/>
    <n v="5432"/>
    <n v="10864"/>
    <n v="3911.04"/>
    <s v="Sports"/>
    <x v="8"/>
  </r>
  <r>
    <n v="393"/>
    <n v="297"/>
    <n v="30"/>
    <n v="2"/>
    <n v="4610"/>
    <n v="9220"/>
    <n v="4149"/>
    <s v="Furniture"/>
    <x v="46"/>
  </r>
  <r>
    <n v="394"/>
    <n v="297"/>
    <n v="43"/>
    <n v="3"/>
    <n v="6391"/>
    <n v="19173"/>
    <n v="7765.0499999999993"/>
    <s v="Beauty"/>
    <x v="10"/>
  </r>
  <r>
    <n v="395"/>
    <n v="298"/>
    <n v="37"/>
    <n v="3"/>
    <n v="5569"/>
    <n v="16707"/>
    <n v="5763.9000000000005"/>
    <s v="Sports"/>
    <x v="47"/>
  </r>
  <r>
    <n v="396"/>
    <n v="298"/>
    <n v="50"/>
    <n v="4"/>
    <n v="7350"/>
    <n v="29400"/>
    <n v="13230"/>
    <s v="Toys"/>
    <x v="12"/>
  </r>
  <r>
    <n v="397"/>
    <n v="299"/>
    <n v="44"/>
    <n v="4"/>
    <n v="6528"/>
    <n v="26112"/>
    <n v="10183.68"/>
    <s v="Beauty"/>
    <x v="48"/>
  </r>
  <r>
    <n v="398"/>
    <n v="299"/>
    <n v="7"/>
    <n v="1"/>
    <n v="1459"/>
    <n v="1459"/>
    <n v="503.35"/>
    <s v="Electronics"/>
    <x v="14"/>
  </r>
  <r>
    <n v="399"/>
    <n v="300"/>
    <n v="1"/>
    <n v="1"/>
    <n v="637"/>
    <n v="637"/>
    <n v="277.08999999999997"/>
    <s v="Electronics"/>
    <x v="49"/>
  </r>
  <r>
    <n v="400"/>
    <n v="300"/>
    <n v="14"/>
    <n v="2"/>
    <n v="2418"/>
    <n v="4836"/>
    <n v="1886.04"/>
    <s v="Fashion"/>
    <x v="16"/>
  </r>
  <r>
    <n v="401"/>
    <n v="301"/>
    <n v="8"/>
    <n v="2"/>
    <n v="1596"/>
    <n v="3192"/>
    <n v="1053.3600000000001"/>
    <s v="Electronics"/>
    <x v="0"/>
  </r>
  <r>
    <n v="402"/>
    <n v="301"/>
    <n v="21"/>
    <n v="3"/>
    <n v="3377"/>
    <n v="10131"/>
    <n v="4406.97"/>
    <s v="Home Appliances"/>
    <x v="1"/>
  </r>
  <r>
    <n v="403"/>
    <n v="302"/>
    <n v="15"/>
    <n v="3"/>
    <n v="2555"/>
    <n v="7665"/>
    <n v="2874.3599999999997"/>
    <s v="Fashion"/>
    <x v="2"/>
  </r>
  <r>
    <n v="404"/>
    <n v="302"/>
    <n v="28"/>
    <n v="4"/>
    <n v="4336"/>
    <n v="17344"/>
    <n v="5723.52"/>
    <s v="Home &amp; Kitchen"/>
    <x v="3"/>
  </r>
  <r>
    <n v="405"/>
    <n v="303"/>
    <n v="22"/>
    <n v="4"/>
    <n v="3514"/>
    <n v="14056"/>
    <n v="5903.52"/>
    <s v="Home Appliances"/>
    <x v="4"/>
  </r>
  <r>
    <n v="406"/>
    <n v="303"/>
    <n v="35"/>
    <n v="1"/>
    <n v="5295"/>
    <n v="5295"/>
    <n v="1985.62"/>
    <s v="Books"/>
    <x v="5"/>
  </r>
  <r>
    <n v="407"/>
    <n v="304"/>
    <n v="29"/>
    <n v="1"/>
    <n v="4473"/>
    <n v="4473"/>
    <n v="1408.9899999999998"/>
    <s v="Furniture"/>
    <x v="6"/>
  </r>
  <r>
    <n v="408"/>
    <n v="304"/>
    <n v="42"/>
    <n v="2"/>
    <n v="6254"/>
    <n v="12508"/>
    <n v="5253.36"/>
    <s v="Beauty"/>
    <x v="7"/>
  </r>
  <r>
    <n v="409"/>
    <n v="305"/>
    <n v="36"/>
    <n v="2"/>
    <n v="5432"/>
    <n v="10864"/>
    <n v="3911.04"/>
    <s v="Sports"/>
    <x v="8"/>
  </r>
  <r>
    <n v="410"/>
    <n v="305"/>
    <n v="49"/>
    <n v="3"/>
    <n v="7213"/>
    <n v="21639"/>
    <n v="6816.27"/>
    <s v="Toys"/>
    <x v="9"/>
  </r>
  <r>
    <n v="411"/>
    <n v="306"/>
    <n v="43"/>
    <n v="3"/>
    <n v="6391"/>
    <n v="19173"/>
    <n v="7765.0499999999993"/>
    <s v="Beauty"/>
    <x v="10"/>
  </r>
  <r>
    <n v="412"/>
    <n v="306"/>
    <n v="6"/>
    <n v="4"/>
    <n v="1322"/>
    <n v="5288"/>
    <n v="1903.6799999999998"/>
    <s v="Electronics"/>
    <x v="11"/>
  </r>
  <r>
    <n v="413"/>
    <n v="307"/>
    <n v="50"/>
    <n v="4"/>
    <n v="7350"/>
    <n v="29400"/>
    <n v="13230"/>
    <s v="Toys"/>
    <x v="12"/>
  </r>
  <r>
    <n v="414"/>
    <n v="307"/>
    <n v="13"/>
    <n v="1"/>
    <n v="2281"/>
    <n v="2281"/>
    <n v="923.8"/>
    <s v="Fashion"/>
    <x v="13"/>
  </r>
  <r>
    <n v="415"/>
    <n v="308"/>
    <n v="7"/>
    <n v="1"/>
    <n v="1459"/>
    <n v="1459"/>
    <n v="503.35"/>
    <s v="Electronics"/>
    <x v="14"/>
  </r>
  <r>
    <n v="416"/>
    <n v="308"/>
    <n v="20"/>
    <n v="2"/>
    <n v="3240"/>
    <n v="6480"/>
    <n v="2916"/>
    <s v="Fashion"/>
    <x v="15"/>
  </r>
  <r>
    <n v="417"/>
    <n v="309"/>
    <n v="14"/>
    <n v="2"/>
    <n v="2418"/>
    <n v="4836"/>
    <n v="1886.04"/>
    <s v="Fashion"/>
    <x v="16"/>
  </r>
  <r>
    <n v="418"/>
    <n v="309"/>
    <n v="27"/>
    <n v="3"/>
    <n v="4199"/>
    <n v="12597"/>
    <n v="4345.9500000000007"/>
    <s v="Home &amp; Kitchen"/>
    <x v="17"/>
  </r>
  <r>
    <n v="419"/>
    <n v="310"/>
    <n v="21"/>
    <n v="3"/>
    <n v="3377"/>
    <n v="10131"/>
    <n v="4406.97"/>
    <s v="Home Appliances"/>
    <x v="1"/>
  </r>
  <r>
    <n v="420"/>
    <n v="310"/>
    <n v="34"/>
    <n v="4"/>
    <n v="5158"/>
    <n v="20632"/>
    <n v="8046.48"/>
    <s v="Books"/>
    <x v="18"/>
  </r>
  <r>
    <n v="421"/>
    <n v="311"/>
    <n v="28"/>
    <n v="4"/>
    <n v="4336"/>
    <n v="17344"/>
    <n v="5723.52"/>
    <s v="Home &amp; Kitchen"/>
    <x v="3"/>
  </r>
  <r>
    <n v="422"/>
    <n v="311"/>
    <n v="41"/>
    <n v="1"/>
    <n v="6117"/>
    <n v="6117"/>
    <n v="2660.89"/>
    <s v="Beauty"/>
    <x v="19"/>
  </r>
  <r>
    <n v="423"/>
    <n v="312"/>
    <n v="35"/>
    <n v="1"/>
    <n v="5295"/>
    <n v="5295"/>
    <n v="1985.62"/>
    <s v="Books"/>
    <x v="5"/>
  </r>
  <r>
    <n v="424"/>
    <n v="312"/>
    <n v="48"/>
    <n v="2"/>
    <n v="7076"/>
    <n v="14152"/>
    <n v="4670.16"/>
    <s v="Toys"/>
    <x v="20"/>
  </r>
  <r>
    <n v="425"/>
    <n v="313"/>
    <n v="42"/>
    <n v="2"/>
    <n v="6254"/>
    <n v="12508"/>
    <n v="5253.36"/>
    <s v="Beauty"/>
    <x v="7"/>
  </r>
  <r>
    <n v="426"/>
    <n v="313"/>
    <n v="5"/>
    <n v="3"/>
    <n v="1185"/>
    <n v="3555"/>
    <n v="1333.1399999999999"/>
    <s v="Electronics"/>
    <x v="21"/>
  </r>
  <r>
    <n v="427"/>
    <n v="314"/>
    <n v="49"/>
    <n v="3"/>
    <n v="7213"/>
    <n v="21639"/>
    <n v="6816.27"/>
    <s v="Toys"/>
    <x v="9"/>
  </r>
  <r>
    <n v="428"/>
    <n v="314"/>
    <n v="12"/>
    <n v="4"/>
    <n v="2144"/>
    <n v="8576"/>
    <n v="3601.92"/>
    <s v="Fashion"/>
    <x v="22"/>
  </r>
  <r>
    <n v="429"/>
    <n v="315"/>
    <n v="6"/>
    <n v="4"/>
    <n v="1322"/>
    <n v="5288"/>
    <n v="1903.6799999999998"/>
    <s v="Electronics"/>
    <x v="11"/>
  </r>
  <r>
    <n v="430"/>
    <n v="315"/>
    <n v="19"/>
    <n v="1"/>
    <n v="3103"/>
    <n v="3103"/>
    <n v="977.44"/>
    <s v="Fashion"/>
    <x v="23"/>
  </r>
  <r>
    <n v="431"/>
    <n v="316"/>
    <n v="13"/>
    <n v="1"/>
    <n v="2281"/>
    <n v="2281"/>
    <n v="923.8"/>
    <s v="Fashion"/>
    <x v="13"/>
  </r>
  <r>
    <n v="432"/>
    <n v="316"/>
    <n v="26"/>
    <n v="2"/>
    <n v="4062"/>
    <n v="8124"/>
    <n v="2924.6400000000003"/>
    <s v="Home &amp; Kitchen"/>
    <x v="24"/>
  </r>
  <r>
    <n v="433"/>
    <n v="317"/>
    <n v="20"/>
    <n v="2"/>
    <n v="3240"/>
    <n v="6480"/>
    <n v="2916"/>
    <s v="Fashion"/>
    <x v="15"/>
  </r>
  <r>
    <n v="434"/>
    <n v="317"/>
    <n v="33"/>
    <n v="3"/>
    <n v="5021"/>
    <n v="15063"/>
    <n v="6100.5"/>
    <s v="Books"/>
    <x v="25"/>
  </r>
  <r>
    <n v="435"/>
    <n v="318"/>
    <n v="27"/>
    <n v="3"/>
    <n v="4199"/>
    <n v="12597"/>
    <n v="4345.9500000000007"/>
    <s v="Home &amp; Kitchen"/>
    <x v="17"/>
  </r>
  <r>
    <n v="436"/>
    <n v="318"/>
    <n v="40"/>
    <n v="4"/>
    <n v="5980"/>
    <n v="23920"/>
    <n v="10764"/>
    <s v="Sports"/>
    <x v="26"/>
  </r>
  <r>
    <n v="437"/>
    <n v="319"/>
    <n v="34"/>
    <n v="4"/>
    <n v="5158"/>
    <n v="20632"/>
    <n v="8046.48"/>
    <s v="Books"/>
    <x v="18"/>
  </r>
  <r>
    <n v="438"/>
    <n v="319"/>
    <n v="47"/>
    <n v="1"/>
    <n v="6939"/>
    <n v="6939"/>
    <n v="2393.9499999999998"/>
    <s v="Toys"/>
    <x v="27"/>
  </r>
  <r>
    <n v="439"/>
    <n v="320"/>
    <n v="41"/>
    <n v="1"/>
    <n v="6117"/>
    <n v="6117"/>
    <n v="2660.89"/>
    <s v="Beauty"/>
    <x v="19"/>
  </r>
  <r>
    <n v="440"/>
    <n v="320"/>
    <n v="4"/>
    <n v="2"/>
    <n v="1048"/>
    <n v="2096"/>
    <n v="817.44"/>
    <s v="Electronics"/>
    <x v="28"/>
  </r>
  <r>
    <n v="441"/>
    <n v="321"/>
    <n v="48"/>
    <n v="2"/>
    <n v="7076"/>
    <n v="14152"/>
    <n v="4670.16"/>
    <s v="Toys"/>
    <x v="20"/>
  </r>
  <r>
    <n v="442"/>
    <n v="321"/>
    <n v="11"/>
    <n v="3"/>
    <n v="2007"/>
    <n v="6021"/>
    <n v="2619.12"/>
    <s v="Fashion"/>
    <x v="29"/>
  </r>
  <r>
    <n v="443"/>
    <n v="322"/>
    <n v="5"/>
    <n v="3"/>
    <n v="1185"/>
    <n v="3555"/>
    <n v="1333.1399999999999"/>
    <s v="Electronics"/>
    <x v="21"/>
  </r>
  <r>
    <n v="444"/>
    <n v="322"/>
    <n v="18"/>
    <n v="4"/>
    <n v="2966"/>
    <n v="11864"/>
    <n v="3915.12"/>
    <s v="Fashion"/>
    <x v="30"/>
  </r>
  <r>
    <n v="445"/>
    <n v="323"/>
    <n v="12"/>
    <n v="4"/>
    <n v="2144"/>
    <n v="8576"/>
    <n v="3601.92"/>
    <s v="Fashion"/>
    <x v="22"/>
  </r>
  <r>
    <n v="446"/>
    <n v="323"/>
    <n v="25"/>
    <n v="1"/>
    <n v="3925"/>
    <n v="3925"/>
    <n v="1471.88"/>
    <s v="Home Appliances"/>
    <x v="31"/>
  </r>
  <r>
    <n v="447"/>
    <n v="324"/>
    <n v="19"/>
    <n v="1"/>
    <n v="3103"/>
    <n v="3103"/>
    <n v="977.44"/>
    <s v="Fashion"/>
    <x v="23"/>
  </r>
  <r>
    <n v="448"/>
    <n v="324"/>
    <n v="32"/>
    <n v="2"/>
    <n v="4884"/>
    <n v="9768"/>
    <n v="4102.5600000000004"/>
    <s v="Books"/>
    <x v="32"/>
  </r>
  <r>
    <n v="449"/>
    <n v="325"/>
    <n v="26"/>
    <n v="2"/>
    <n v="4062"/>
    <n v="8124"/>
    <n v="2924.6400000000003"/>
    <s v="Home &amp; Kitchen"/>
    <x v="24"/>
  </r>
  <r>
    <n v="450"/>
    <n v="325"/>
    <n v="39"/>
    <n v="3"/>
    <n v="5843"/>
    <n v="17529"/>
    <n v="5521.62"/>
    <s v="Sports"/>
    <x v="33"/>
  </r>
  <r>
    <n v="451"/>
    <n v="326"/>
    <n v="33"/>
    <n v="3"/>
    <n v="5021"/>
    <n v="15063"/>
    <n v="6100.5"/>
    <s v="Books"/>
    <x v="25"/>
  </r>
  <r>
    <n v="452"/>
    <n v="326"/>
    <n v="46"/>
    <n v="4"/>
    <n v="6802"/>
    <n v="27208"/>
    <n v="9794.880000000001"/>
    <s v="Toys"/>
    <x v="34"/>
  </r>
  <r>
    <n v="453"/>
    <n v="327"/>
    <n v="40"/>
    <n v="4"/>
    <n v="5980"/>
    <n v="23920"/>
    <n v="10764"/>
    <s v="Sports"/>
    <x v="26"/>
  </r>
  <r>
    <n v="454"/>
    <n v="327"/>
    <n v="3"/>
    <n v="1"/>
    <n v="911"/>
    <n v="911"/>
    <n v="368.95000000000005"/>
    <s v="Electronics"/>
    <x v="35"/>
  </r>
  <r>
    <n v="455"/>
    <n v="328"/>
    <n v="47"/>
    <n v="1"/>
    <n v="6939"/>
    <n v="6939"/>
    <n v="2393.9499999999998"/>
    <s v="Toys"/>
    <x v="27"/>
  </r>
  <r>
    <n v="456"/>
    <n v="328"/>
    <n v="10"/>
    <n v="2"/>
    <n v="1870"/>
    <n v="3740"/>
    <n v="1683"/>
    <s v="Electronics"/>
    <x v="36"/>
  </r>
  <r>
    <n v="457"/>
    <n v="329"/>
    <n v="4"/>
    <n v="2"/>
    <n v="1048"/>
    <n v="2096"/>
    <n v="817.44"/>
    <s v="Electronics"/>
    <x v="28"/>
  </r>
  <r>
    <n v="458"/>
    <n v="329"/>
    <n v="17"/>
    <n v="3"/>
    <n v="2829"/>
    <n v="8487"/>
    <n v="2928"/>
    <s v="Fashion"/>
    <x v="37"/>
  </r>
  <r>
    <n v="459"/>
    <n v="330"/>
    <n v="11"/>
    <n v="3"/>
    <n v="2007"/>
    <n v="6021"/>
    <n v="2619.12"/>
    <s v="Fashion"/>
    <x v="29"/>
  </r>
  <r>
    <n v="460"/>
    <n v="330"/>
    <n v="24"/>
    <n v="4"/>
    <n v="3788"/>
    <n v="15152"/>
    <n v="5909.2800000000007"/>
    <s v="Home Appliances"/>
    <x v="38"/>
  </r>
  <r>
    <n v="461"/>
    <n v="331"/>
    <n v="18"/>
    <n v="4"/>
    <n v="2966"/>
    <n v="11864"/>
    <n v="3915.12"/>
    <s v="Fashion"/>
    <x v="30"/>
  </r>
  <r>
    <n v="462"/>
    <n v="331"/>
    <n v="31"/>
    <n v="1"/>
    <n v="4747"/>
    <n v="4747"/>
    <n v="2064.94"/>
    <s v="Books"/>
    <x v="39"/>
  </r>
  <r>
    <n v="463"/>
    <n v="332"/>
    <n v="25"/>
    <n v="1"/>
    <n v="3925"/>
    <n v="3925"/>
    <n v="1471.88"/>
    <s v="Home Appliances"/>
    <x v="31"/>
  </r>
  <r>
    <n v="464"/>
    <n v="332"/>
    <n v="38"/>
    <n v="2"/>
    <n v="5706"/>
    <n v="11412"/>
    <n v="3765.96"/>
    <s v="Sports"/>
    <x v="40"/>
  </r>
  <r>
    <n v="465"/>
    <n v="333"/>
    <n v="32"/>
    <n v="2"/>
    <n v="4884"/>
    <n v="9768"/>
    <n v="4102.5600000000004"/>
    <s v="Books"/>
    <x v="32"/>
  </r>
  <r>
    <n v="466"/>
    <n v="333"/>
    <n v="45"/>
    <n v="3"/>
    <n v="6665"/>
    <n v="19995"/>
    <n v="7498.14"/>
    <s v="Beauty"/>
    <x v="41"/>
  </r>
  <r>
    <n v="467"/>
    <n v="334"/>
    <n v="39"/>
    <n v="3"/>
    <n v="5843"/>
    <n v="17529"/>
    <n v="5521.62"/>
    <s v="Sports"/>
    <x v="33"/>
  </r>
  <r>
    <n v="468"/>
    <n v="334"/>
    <n v="2"/>
    <n v="4"/>
    <n v="774"/>
    <n v="3096"/>
    <n v="1300.32"/>
    <s v="Electronics"/>
    <x v="42"/>
  </r>
  <r>
    <n v="469"/>
    <n v="335"/>
    <n v="46"/>
    <n v="4"/>
    <n v="6802"/>
    <n v="27208"/>
    <n v="9794.880000000001"/>
    <s v="Toys"/>
    <x v="34"/>
  </r>
  <r>
    <n v="470"/>
    <n v="335"/>
    <n v="9"/>
    <n v="1"/>
    <n v="1733"/>
    <n v="1733"/>
    <n v="545.8900000000001"/>
    <s v="Electronics"/>
    <x v="43"/>
  </r>
  <r>
    <n v="471"/>
    <n v="336"/>
    <n v="3"/>
    <n v="1"/>
    <n v="911"/>
    <n v="911"/>
    <n v="368.95000000000005"/>
    <s v="Electronics"/>
    <x v="35"/>
  </r>
  <r>
    <n v="472"/>
    <n v="336"/>
    <n v="16"/>
    <n v="2"/>
    <n v="2692"/>
    <n v="5384"/>
    <n v="1938.2399999999998"/>
    <s v="Fashion"/>
    <x v="44"/>
  </r>
  <r>
    <n v="473"/>
    <n v="337"/>
    <n v="10"/>
    <n v="2"/>
    <n v="1870"/>
    <n v="3740"/>
    <n v="1683"/>
    <s v="Electronics"/>
    <x v="36"/>
  </r>
  <r>
    <n v="474"/>
    <n v="337"/>
    <n v="23"/>
    <n v="3"/>
    <n v="3651"/>
    <n v="10953"/>
    <n v="4435.9500000000007"/>
    <s v="Home Appliances"/>
    <x v="45"/>
  </r>
  <r>
    <n v="475"/>
    <n v="338"/>
    <n v="17"/>
    <n v="3"/>
    <n v="2829"/>
    <n v="8487"/>
    <n v="2928"/>
    <s v="Fashion"/>
    <x v="37"/>
  </r>
  <r>
    <n v="476"/>
    <n v="338"/>
    <n v="30"/>
    <n v="4"/>
    <n v="4610"/>
    <n v="18440"/>
    <n v="8298"/>
    <s v="Furniture"/>
    <x v="46"/>
  </r>
  <r>
    <n v="477"/>
    <n v="339"/>
    <n v="24"/>
    <n v="4"/>
    <n v="3788"/>
    <n v="15152"/>
    <n v="5909.2800000000007"/>
    <s v="Home Appliances"/>
    <x v="38"/>
  </r>
  <r>
    <n v="478"/>
    <n v="339"/>
    <n v="37"/>
    <n v="1"/>
    <n v="5569"/>
    <n v="5569"/>
    <n v="1921.3000000000002"/>
    <s v="Sports"/>
    <x v="47"/>
  </r>
  <r>
    <n v="479"/>
    <n v="340"/>
    <n v="31"/>
    <n v="1"/>
    <n v="4747"/>
    <n v="4747"/>
    <n v="2064.94"/>
    <s v="Books"/>
    <x v="39"/>
  </r>
  <r>
    <n v="480"/>
    <n v="340"/>
    <n v="44"/>
    <n v="2"/>
    <n v="6528"/>
    <n v="13056"/>
    <n v="5091.84"/>
    <s v="Beauty"/>
    <x v="48"/>
  </r>
  <r>
    <n v="481"/>
    <n v="341"/>
    <n v="38"/>
    <n v="2"/>
    <n v="5706"/>
    <n v="11412"/>
    <n v="3765.96"/>
    <s v="Sports"/>
    <x v="40"/>
  </r>
  <r>
    <n v="482"/>
    <n v="341"/>
    <n v="1"/>
    <n v="3"/>
    <n v="637"/>
    <n v="1911"/>
    <n v="831.27"/>
    <s v="Electronics"/>
    <x v="49"/>
  </r>
  <r>
    <n v="483"/>
    <n v="342"/>
    <n v="45"/>
    <n v="3"/>
    <n v="6665"/>
    <n v="19995"/>
    <n v="7498.14"/>
    <s v="Beauty"/>
    <x v="41"/>
  </r>
  <r>
    <n v="484"/>
    <n v="342"/>
    <n v="8"/>
    <n v="4"/>
    <n v="1596"/>
    <n v="6384"/>
    <n v="2106.7200000000003"/>
    <s v="Electronics"/>
    <x v="0"/>
  </r>
  <r>
    <n v="485"/>
    <n v="343"/>
    <n v="2"/>
    <n v="4"/>
    <n v="774"/>
    <n v="3096"/>
    <n v="1300.32"/>
    <s v="Electronics"/>
    <x v="42"/>
  </r>
  <r>
    <n v="486"/>
    <n v="343"/>
    <n v="15"/>
    <n v="1"/>
    <n v="2555"/>
    <n v="2555"/>
    <n v="958.11999999999989"/>
    <s v="Fashion"/>
    <x v="2"/>
  </r>
  <r>
    <n v="487"/>
    <n v="344"/>
    <n v="9"/>
    <n v="1"/>
    <n v="1733"/>
    <n v="1733"/>
    <n v="545.8900000000001"/>
    <s v="Electronics"/>
    <x v="43"/>
  </r>
  <r>
    <n v="488"/>
    <n v="344"/>
    <n v="22"/>
    <n v="2"/>
    <n v="3514"/>
    <n v="7028"/>
    <n v="2951.76"/>
    <s v="Home Appliances"/>
    <x v="4"/>
  </r>
  <r>
    <n v="489"/>
    <n v="345"/>
    <n v="16"/>
    <n v="2"/>
    <n v="2692"/>
    <n v="5384"/>
    <n v="1938.2399999999998"/>
    <s v="Fashion"/>
    <x v="44"/>
  </r>
  <r>
    <n v="490"/>
    <n v="345"/>
    <n v="29"/>
    <n v="3"/>
    <n v="4473"/>
    <n v="13419"/>
    <n v="4226.9699999999993"/>
    <s v="Furniture"/>
    <x v="6"/>
  </r>
  <r>
    <n v="491"/>
    <n v="346"/>
    <n v="23"/>
    <n v="3"/>
    <n v="3651"/>
    <n v="10953"/>
    <n v="4435.9500000000007"/>
    <s v="Home Appliances"/>
    <x v="45"/>
  </r>
  <r>
    <n v="492"/>
    <n v="346"/>
    <n v="36"/>
    <n v="4"/>
    <n v="5432"/>
    <n v="21728"/>
    <n v="7822.08"/>
    <s v="Sports"/>
    <x v="8"/>
  </r>
  <r>
    <n v="493"/>
    <n v="347"/>
    <n v="30"/>
    <n v="4"/>
    <n v="4610"/>
    <n v="18440"/>
    <n v="8298"/>
    <s v="Furniture"/>
    <x v="46"/>
  </r>
  <r>
    <n v="494"/>
    <n v="347"/>
    <n v="43"/>
    <n v="1"/>
    <n v="6391"/>
    <n v="6391"/>
    <n v="2588.35"/>
    <s v="Beauty"/>
    <x v="10"/>
  </r>
  <r>
    <n v="495"/>
    <n v="348"/>
    <n v="37"/>
    <n v="1"/>
    <n v="5569"/>
    <n v="5569"/>
    <n v="1921.3000000000002"/>
    <s v="Sports"/>
    <x v="47"/>
  </r>
  <r>
    <n v="496"/>
    <n v="348"/>
    <n v="50"/>
    <n v="2"/>
    <n v="7350"/>
    <n v="14700"/>
    <n v="6615"/>
    <s v="Toys"/>
    <x v="12"/>
  </r>
  <r>
    <n v="497"/>
    <n v="349"/>
    <n v="44"/>
    <n v="2"/>
    <n v="6528"/>
    <n v="13056"/>
    <n v="5091.84"/>
    <s v="Beauty"/>
    <x v="48"/>
  </r>
  <r>
    <n v="498"/>
    <n v="349"/>
    <n v="7"/>
    <n v="3"/>
    <n v="1459"/>
    <n v="4377"/>
    <n v="1510.0500000000002"/>
    <s v="Electronics"/>
    <x v="14"/>
  </r>
  <r>
    <n v="499"/>
    <n v="350"/>
    <n v="1"/>
    <n v="3"/>
    <n v="637"/>
    <n v="1911"/>
    <n v="831.27"/>
    <s v="Electronics"/>
    <x v="49"/>
  </r>
  <r>
    <n v="500"/>
    <n v="350"/>
    <n v="14"/>
    <n v="4"/>
    <n v="2418"/>
    <n v="9672"/>
    <n v="3772.08"/>
    <s v="Fashion"/>
    <x v="16"/>
  </r>
  <r>
    <n v="501"/>
    <n v="351"/>
    <n v="8"/>
    <n v="4"/>
    <n v="1596"/>
    <n v="6384"/>
    <n v="2106.7200000000003"/>
    <s v="Electronics"/>
    <x v="0"/>
  </r>
  <r>
    <n v="502"/>
    <n v="351"/>
    <n v="21"/>
    <n v="1"/>
    <n v="3377"/>
    <n v="3377"/>
    <n v="1468.99"/>
    <s v="Home Appliances"/>
    <x v="1"/>
  </r>
  <r>
    <n v="503"/>
    <n v="352"/>
    <n v="15"/>
    <n v="1"/>
    <n v="2555"/>
    <n v="2555"/>
    <n v="958.11999999999989"/>
    <s v="Fashion"/>
    <x v="2"/>
  </r>
  <r>
    <n v="504"/>
    <n v="352"/>
    <n v="28"/>
    <n v="2"/>
    <n v="4336"/>
    <n v="8672"/>
    <n v="2861.76"/>
    <s v="Home &amp; Kitchen"/>
    <x v="3"/>
  </r>
  <r>
    <n v="505"/>
    <n v="353"/>
    <n v="22"/>
    <n v="2"/>
    <n v="3514"/>
    <n v="7028"/>
    <n v="2951.76"/>
    <s v="Home Appliances"/>
    <x v="4"/>
  </r>
  <r>
    <n v="506"/>
    <n v="353"/>
    <n v="35"/>
    <n v="3"/>
    <n v="5295"/>
    <n v="15885"/>
    <n v="5956.86"/>
    <s v="Books"/>
    <x v="5"/>
  </r>
  <r>
    <n v="507"/>
    <n v="354"/>
    <n v="29"/>
    <n v="3"/>
    <n v="4473"/>
    <n v="13419"/>
    <n v="4226.9699999999993"/>
    <s v="Furniture"/>
    <x v="6"/>
  </r>
  <r>
    <n v="508"/>
    <n v="354"/>
    <n v="42"/>
    <n v="4"/>
    <n v="6254"/>
    <n v="25016"/>
    <n v="10506.72"/>
    <s v="Beauty"/>
    <x v="7"/>
  </r>
  <r>
    <n v="509"/>
    <n v="355"/>
    <n v="36"/>
    <n v="4"/>
    <n v="5432"/>
    <n v="21728"/>
    <n v="7822.08"/>
    <s v="Sports"/>
    <x v="8"/>
  </r>
  <r>
    <n v="510"/>
    <n v="355"/>
    <n v="49"/>
    <n v="1"/>
    <n v="7213"/>
    <n v="7213"/>
    <n v="2272.09"/>
    <s v="Toys"/>
    <x v="9"/>
  </r>
  <r>
    <n v="511"/>
    <n v="356"/>
    <n v="43"/>
    <n v="1"/>
    <n v="6391"/>
    <n v="6391"/>
    <n v="2588.35"/>
    <s v="Beauty"/>
    <x v="10"/>
  </r>
  <r>
    <n v="512"/>
    <n v="356"/>
    <n v="6"/>
    <n v="2"/>
    <n v="1322"/>
    <n v="2644"/>
    <n v="951.83999999999992"/>
    <s v="Electronics"/>
    <x v="11"/>
  </r>
  <r>
    <n v="513"/>
    <n v="357"/>
    <n v="50"/>
    <n v="2"/>
    <n v="7350"/>
    <n v="14700"/>
    <n v="6615"/>
    <s v="Toys"/>
    <x v="12"/>
  </r>
  <r>
    <n v="514"/>
    <n v="357"/>
    <n v="13"/>
    <n v="3"/>
    <n v="2281"/>
    <n v="6843"/>
    <n v="2771.3999999999996"/>
    <s v="Fashion"/>
    <x v="13"/>
  </r>
  <r>
    <n v="515"/>
    <n v="358"/>
    <n v="7"/>
    <n v="3"/>
    <n v="1459"/>
    <n v="4377"/>
    <n v="1510.0500000000002"/>
    <s v="Electronics"/>
    <x v="14"/>
  </r>
  <r>
    <n v="516"/>
    <n v="358"/>
    <n v="20"/>
    <n v="4"/>
    <n v="3240"/>
    <n v="12960"/>
    <n v="5832"/>
    <s v="Fashion"/>
    <x v="15"/>
  </r>
  <r>
    <n v="517"/>
    <n v="359"/>
    <n v="14"/>
    <n v="4"/>
    <n v="2418"/>
    <n v="9672"/>
    <n v="3772.08"/>
    <s v="Fashion"/>
    <x v="16"/>
  </r>
  <r>
    <n v="518"/>
    <n v="359"/>
    <n v="27"/>
    <n v="1"/>
    <n v="4199"/>
    <n v="4199"/>
    <n v="1448.65"/>
    <s v="Home &amp; Kitchen"/>
    <x v="17"/>
  </r>
  <r>
    <n v="519"/>
    <n v="360"/>
    <n v="21"/>
    <n v="1"/>
    <n v="3377"/>
    <n v="3377"/>
    <n v="1468.99"/>
    <s v="Home Appliances"/>
    <x v="1"/>
  </r>
  <r>
    <n v="520"/>
    <n v="360"/>
    <n v="34"/>
    <n v="2"/>
    <n v="5158"/>
    <n v="10316"/>
    <n v="4023.24"/>
    <s v="Books"/>
    <x v="18"/>
  </r>
  <r>
    <n v="521"/>
    <n v="361"/>
    <n v="28"/>
    <n v="2"/>
    <n v="4336"/>
    <n v="8672"/>
    <n v="2861.76"/>
    <s v="Home &amp; Kitchen"/>
    <x v="3"/>
  </r>
  <r>
    <n v="522"/>
    <n v="361"/>
    <n v="41"/>
    <n v="3"/>
    <n v="6117"/>
    <n v="18351"/>
    <n v="7982.67"/>
    <s v="Beauty"/>
    <x v="19"/>
  </r>
  <r>
    <n v="523"/>
    <n v="362"/>
    <n v="35"/>
    <n v="3"/>
    <n v="5295"/>
    <n v="15885"/>
    <n v="5956.86"/>
    <s v="Books"/>
    <x v="5"/>
  </r>
  <r>
    <n v="524"/>
    <n v="362"/>
    <n v="48"/>
    <n v="4"/>
    <n v="7076"/>
    <n v="28304"/>
    <n v="9340.32"/>
    <s v="Toys"/>
    <x v="20"/>
  </r>
  <r>
    <n v="525"/>
    <n v="363"/>
    <n v="42"/>
    <n v="4"/>
    <n v="6254"/>
    <n v="25016"/>
    <n v="10506.72"/>
    <s v="Beauty"/>
    <x v="7"/>
  </r>
  <r>
    <n v="526"/>
    <n v="363"/>
    <n v="5"/>
    <n v="1"/>
    <n v="1185"/>
    <n v="1185"/>
    <n v="444.38"/>
    <s v="Electronics"/>
    <x v="21"/>
  </r>
  <r>
    <n v="527"/>
    <n v="364"/>
    <n v="49"/>
    <n v="1"/>
    <n v="7213"/>
    <n v="7213"/>
    <n v="2272.09"/>
    <s v="Toys"/>
    <x v="9"/>
  </r>
  <r>
    <n v="528"/>
    <n v="364"/>
    <n v="12"/>
    <n v="2"/>
    <n v="2144"/>
    <n v="4288"/>
    <n v="1800.96"/>
    <s v="Fashion"/>
    <x v="22"/>
  </r>
  <r>
    <n v="529"/>
    <n v="365"/>
    <n v="6"/>
    <n v="2"/>
    <n v="1322"/>
    <n v="2644"/>
    <n v="951.83999999999992"/>
    <s v="Electronics"/>
    <x v="11"/>
  </r>
  <r>
    <n v="530"/>
    <n v="365"/>
    <n v="19"/>
    <n v="3"/>
    <n v="3103"/>
    <n v="9309"/>
    <n v="2932.32"/>
    <s v="Fashion"/>
    <x v="23"/>
  </r>
  <r>
    <n v="531"/>
    <n v="366"/>
    <n v="13"/>
    <n v="3"/>
    <n v="2281"/>
    <n v="6843"/>
    <n v="2771.3999999999996"/>
    <s v="Fashion"/>
    <x v="13"/>
  </r>
  <r>
    <n v="532"/>
    <n v="366"/>
    <n v="26"/>
    <n v="4"/>
    <n v="4062"/>
    <n v="16248"/>
    <n v="5849.2800000000007"/>
    <s v="Home &amp; Kitchen"/>
    <x v="24"/>
  </r>
  <r>
    <n v="533"/>
    <n v="367"/>
    <n v="20"/>
    <n v="4"/>
    <n v="3240"/>
    <n v="12960"/>
    <n v="5832"/>
    <s v="Fashion"/>
    <x v="15"/>
  </r>
  <r>
    <n v="534"/>
    <n v="367"/>
    <n v="33"/>
    <n v="1"/>
    <n v="5021"/>
    <n v="5021"/>
    <n v="2033.5"/>
    <s v="Books"/>
    <x v="25"/>
  </r>
  <r>
    <n v="535"/>
    <n v="368"/>
    <n v="27"/>
    <n v="1"/>
    <n v="4199"/>
    <n v="4199"/>
    <n v="1448.65"/>
    <s v="Home &amp; Kitchen"/>
    <x v="17"/>
  </r>
  <r>
    <n v="536"/>
    <n v="368"/>
    <n v="40"/>
    <n v="2"/>
    <n v="5980"/>
    <n v="11960"/>
    <n v="5382"/>
    <s v="Sports"/>
    <x v="26"/>
  </r>
  <r>
    <n v="537"/>
    <n v="369"/>
    <n v="34"/>
    <n v="2"/>
    <n v="5158"/>
    <n v="10316"/>
    <n v="4023.24"/>
    <s v="Books"/>
    <x v="18"/>
  </r>
  <r>
    <n v="538"/>
    <n v="369"/>
    <n v="47"/>
    <n v="3"/>
    <n v="6939"/>
    <n v="20817"/>
    <n v="7181.8499999999995"/>
    <s v="Toys"/>
    <x v="27"/>
  </r>
  <r>
    <n v="539"/>
    <n v="370"/>
    <n v="41"/>
    <n v="3"/>
    <n v="6117"/>
    <n v="18351"/>
    <n v="7982.67"/>
    <s v="Beauty"/>
    <x v="19"/>
  </r>
  <r>
    <n v="540"/>
    <n v="370"/>
    <n v="4"/>
    <n v="4"/>
    <n v="1048"/>
    <n v="4192"/>
    <n v="1634.88"/>
    <s v="Electronics"/>
    <x v="28"/>
  </r>
  <r>
    <n v="541"/>
    <n v="371"/>
    <n v="48"/>
    <n v="4"/>
    <n v="7076"/>
    <n v="28304"/>
    <n v="9340.32"/>
    <s v="Toys"/>
    <x v="20"/>
  </r>
  <r>
    <n v="542"/>
    <n v="371"/>
    <n v="11"/>
    <n v="1"/>
    <n v="2007"/>
    <n v="2007"/>
    <n v="873.04"/>
    <s v="Fashion"/>
    <x v="29"/>
  </r>
  <r>
    <n v="543"/>
    <n v="372"/>
    <n v="5"/>
    <n v="1"/>
    <n v="1185"/>
    <n v="1185"/>
    <n v="444.38"/>
    <s v="Electronics"/>
    <x v="21"/>
  </r>
  <r>
    <n v="544"/>
    <n v="372"/>
    <n v="18"/>
    <n v="2"/>
    <n v="2966"/>
    <n v="5932"/>
    <n v="1957.56"/>
    <s v="Fashion"/>
    <x v="30"/>
  </r>
  <r>
    <n v="545"/>
    <n v="373"/>
    <n v="12"/>
    <n v="2"/>
    <n v="2144"/>
    <n v="4288"/>
    <n v="1800.96"/>
    <s v="Fashion"/>
    <x v="22"/>
  </r>
  <r>
    <n v="546"/>
    <n v="373"/>
    <n v="25"/>
    <n v="3"/>
    <n v="3925"/>
    <n v="11775"/>
    <n v="4415.6400000000003"/>
    <s v="Home Appliances"/>
    <x v="31"/>
  </r>
  <r>
    <n v="547"/>
    <n v="374"/>
    <n v="19"/>
    <n v="3"/>
    <n v="3103"/>
    <n v="9309"/>
    <n v="2932.32"/>
    <s v="Fashion"/>
    <x v="23"/>
  </r>
  <r>
    <n v="548"/>
    <n v="374"/>
    <n v="32"/>
    <n v="4"/>
    <n v="4884"/>
    <n v="19536"/>
    <n v="8205.1200000000008"/>
    <s v="Books"/>
    <x v="32"/>
  </r>
  <r>
    <n v="549"/>
    <n v="375"/>
    <n v="26"/>
    <n v="4"/>
    <n v="4062"/>
    <n v="16248"/>
    <n v="5849.2800000000007"/>
    <s v="Home &amp; Kitchen"/>
    <x v="24"/>
  </r>
  <r>
    <n v="550"/>
    <n v="375"/>
    <n v="39"/>
    <n v="1"/>
    <n v="5843"/>
    <n v="5843"/>
    <n v="1840.54"/>
    <s v="Sports"/>
    <x v="33"/>
  </r>
  <r>
    <n v="551"/>
    <n v="376"/>
    <n v="33"/>
    <n v="1"/>
    <n v="5021"/>
    <n v="5021"/>
    <n v="2033.5"/>
    <s v="Books"/>
    <x v="25"/>
  </r>
  <r>
    <n v="552"/>
    <n v="376"/>
    <n v="46"/>
    <n v="2"/>
    <n v="6802"/>
    <n v="13604"/>
    <n v="4897.4400000000005"/>
    <s v="Toys"/>
    <x v="34"/>
  </r>
  <r>
    <n v="553"/>
    <n v="377"/>
    <n v="40"/>
    <n v="2"/>
    <n v="5980"/>
    <n v="11960"/>
    <n v="5382"/>
    <s v="Sports"/>
    <x v="26"/>
  </r>
  <r>
    <n v="554"/>
    <n v="377"/>
    <n v="3"/>
    <n v="3"/>
    <n v="911"/>
    <n v="2733"/>
    <n v="1106.8500000000001"/>
    <s v="Electronics"/>
    <x v="35"/>
  </r>
  <r>
    <n v="555"/>
    <n v="378"/>
    <n v="47"/>
    <n v="3"/>
    <n v="6939"/>
    <n v="20817"/>
    <n v="7181.8499999999995"/>
    <s v="Toys"/>
    <x v="27"/>
  </r>
  <r>
    <n v="556"/>
    <n v="378"/>
    <n v="10"/>
    <n v="4"/>
    <n v="1870"/>
    <n v="7480"/>
    <n v="3366"/>
    <s v="Electronics"/>
    <x v="36"/>
  </r>
  <r>
    <n v="557"/>
    <n v="379"/>
    <n v="4"/>
    <n v="4"/>
    <n v="1048"/>
    <n v="4192"/>
    <n v="1634.88"/>
    <s v="Electronics"/>
    <x v="28"/>
  </r>
  <r>
    <n v="558"/>
    <n v="379"/>
    <n v="17"/>
    <n v="1"/>
    <n v="2829"/>
    <n v="2829"/>
    <n v="976"/>
    <s v="Fashion"/>
    <x v="37"/>
  </r>
  <r>
    <n v="559"/>
    <n v="380"/>
    <n v="11"/>
    <n v="1"/>
    <n v="2007"/>
    <n v="2007"/>
    <n v="873.04"/>
    <s v="Fashion"/>
    <x v="29"/>
  </r>
  <r>
    <n v="560"/>
    <n v="380"/>
    <n v="24"/>
    <n v="2"/>
    <n v="3788"/>
    <n v="7576"/>
    <n v="2954.6400000000003"/>
    <s v="Home Appliances"/>
    <x v="38"/>
  </r>
  <r>
    <n v="561"/>
    <n v="381"/>
    <n v="18"/>
    <n v="2"/>
    <n v="2966"/>
    <n v="5932"/>
    <n v="1957.56"/>
    <s v="Fashion"/>
    <x v="30"/>
  </r>
  <r>
    <n v="562"/>
    <n v="381"/>
    <n v="31"/>
    <n v="3"/>
    <n v="4747"/>
    <n v="14241"/>
    <n v="6194.82"/>
    <s v="Books"/>
    <x v="39"/>
  </r>
  <r>
    <n v="563"/>
    <n v="382"/>
    <n v="25"/>
    <n v="3"/>
    <n v="3925"/>
    <n v="11775"/>
    <n v="4415.6400000000003"/>
    <s v="Home Appliances"/>
    <x v="31"/>
  </r>
  <r>
    <n v="564"/>
    <n v="382"/>
    <n v="38"/>
    <n v="4"/>
    <n v="5706"/>
    <n v="22824"/>
    <n v="7531.92"/>
    <s v="Sports"/>
    <x v="40"/>
  </r>
  <r>
    <n v="565"/>
    <n v="383"/>
    <n v="32"/>
    <n v="4"/>
    <n v="4884"/>
    <n v="19536"/>
    <n v="8205.1200000000008"/>
    <s v="Books"/>
    <x v="32"/>
  </r>
  <r>
    <n v="566"/>
    <n v="383"/>
    <n v="45"/>
    <n v="1"/>
    <n v="6665"/>
    <n v="6665"/>
    <n v="2499.38"/>
    <s v="Beauty"/>
    <x v="41"/>
  </r>
  <r>
    <n v="567"/>
    <n v="384"/>
    <n v="39"/>
    <n v="1"/>
    <n v="5843"/>
    <n v="5843"/>
    <n v="1840.54"/>
    <s v="Sports"/>
    <x v="33"/>
  </r>
  <r>
    <n v="568"/>
    <n v="384"/>
    <n v="2"/>
    <n v="2"/>
    <n v="774"/>
    <n v="1548"/>
    <n v="650.16"/>
    <s v="Electronics"/>
    <x v="42"/>
  </r>
  <r>
    <n v="569"/>
    <n v="385"/>
    <n v="46"/>
    <n v="2"/>
    <n v="6802"/>
    <n v="13604"/>
    <n v="4897.4400000000005"/>
    <s v="Toys"/>
    <x v="34"/>
  </r>
  <r>
    <n v="570"/>
    <n v="385"/>
    <n v="9"/>
    <n v="3"/>
    <n v="1733"/>
    <n v="5199"/>
    <n v="1637.6700000000003"/>
    <s v="Electronics"/>
    <x v="43"/>
  </r>
  <r>
    <n v="571"/>
    <n v="386"/>
    <n v="3"/>
    <n v="3"/>
    <n v="911"/>
    <n v="2733"/>
    <n v="1106.8500000000001"/>
    <s v="Electronics"/>
    <x v="35"/>
  </r>
  <r>
    <n v="572"/>
    <n v="386"/>
    <n v="16"/>
    <n v="4"/>
    <n v="2692"/>
    <n v="10768"/>
    <n v="3876.4799999999996"/>
    <s v="Fashion"/>
    <x v="44"/>
  </r>
  <r>
    <n v="573"/>
    <n v="387"/>
    <n v="10"/>
    <n v="4"/>
    <n v="1870"/>
    <n v="7480"/>
    <n v="3366"/>
    <s v="Electronics"/>
    <x v="36"/>
  </r>
  <r>
    <n v="574"/>
    <n v="387"/>
    <n v="23"/>
    <n v="1"/>
    <n v="3651"/>
    <n v="3651"/>
    <n v="1478.65"/>
    <s v="Home Appliances"/>
    <x v="45"/>
  </r>
  <r>
    <n v="575"/>
    <n v="388"/>
    <n v="17"/>
    <n v="1"/>
    <n v="2829"/>
    <n v="2829"/>
    <n v="976"/>
    <s v="Fashion"/>
    <x v="37"/>
  </r>
  <r>
    <n v="576"/>
    <n v="388"/>
    <n v="30"/>
    <n v="2"/>
    <n v="4610"/>
    <n v="9220"/>
    <n v="4149"/>
    <s v="Furniture"/>
    <x v="46"/>
  </r>
  <r>
    <n v="577"/>
    <n v="389"/>
    <n v="24"/>
    <n v="2"/>
    <n v="3788"/>
    <n v="7576"/>
    <n v="2954.6400000000003"/>
    <s v="Home Appliances"/>
    <x v="38"/>
  </r>
  <r>
    <n v="578"/>
    <n v="389"/>
    <n v="37"/>
    <n v="3"/>
    <n v="5569"/>
    <n v="16707"/>
    <n v="5763.9000000000005"/>
    <s v="Sports"/>
    <x v="47"/>
  </r>
  <r>
    <n v="579"/>
    <n v="390"/>
    <n v="31"/>
    <n v="3"/>
    <n v="4747"/>
    <n v="14241"/>
    <n v="6194.82"/>
    <s v="Books"/>
    <x v="39"/>
  </r>
  <r>
    <n v="580"/>
    <n v="390"/>
    <n v="44"/>
    <n v="4"/>
    <n v="6528"/>
    <n v="26112"/>
    <n v="10183.68"/>
    <s v="Beauty"/>
    <x v="48"/>
  </r>
  <r>
    <n v="581"/>
    <n v="391"/>
    <n v="38"/>
    <n v="4"/>
    <n v="5706"/>
    <n v="22824"/>
    <n v="7531.92"/>
    <s v="Sports"/>
    <x v="40"/>
  </r>
  <r>
    <n v="582"/>
    <n v="391"/>
    <n v="1"/>
    <n v="1"/>
    <n v="637"/>
    <n v="637"/>
    <n v="277.08999999999997"/>
    <s v="Electronics"/>
    <x v="49"/>
  </r>
  <r>
    <n v="583"/>
    <n v="392"/>
    <n v="45"/>
    <n v="1"/>
    <n v="6665"/>
    <n v="6665"/>
    <n v="2499.38"/>
    <s v="Beauty"/>
    <x v="41"/>
  </r>
  <r>
    <n v="584"/>
    <n v="392"/>
    <n v="8"/>
    <n v="2"/>
    <n v="1596"/>
    <n v="3192"/>
    <n v="1053.3600000000001"/>
    <s v="Electronics"/>
    <x v="0"/>
  </r>
  <r>
    <n v="585"/>
    <n v="393"/>
    <n v="2"/>
    <n v="2"/>
    <n v="774"/>
    <n v="1548"/>
    <n v="650.16"/>
    <s v="Electronics"/>
    <x v="42"/>
  </r>
  <r>
    <n v="586"/>
    <n v="393"/>
    <n v="15"/>
    <n v="3"/>
    <n v="2555"/>
    <n v="7665"/>
    <n v="2874.3599999999997"/>
    <s v="Fashion"/>
    <x v="2"/>
  </r>
  <r>
    <n v="587"/>
    <n v="394"/>
    <n v="9"/>
    <n v="3"/>
    <n v="1733"/>
    <n v="5199"/>
    <n v="1637.6700000000003"/>
    <s v="Electronics"/>
    <x v="43"/>
  </r>
  <r>
    <n v="588"/>
    <n v="394"/>
    <n v="22"/>
    <n v="4"/>
    <n v="3514"/>
    <n v="14056"/>
    <n v="5903.52"/>
    <s v="Home Appliances"/>
    <x v="4"/>
  </r>
  <r>
    <n v="589"/>
    <n v="395"/>
    <n v="16"/>
    <n v="4"/>
    <n v="2692"/>
    <n v="10768"/>
    <n v="3876.4799999999996"/>
    <s v="Fashion"/>
    <x v="44"/>
  </r>
  <r>
    <n v="590"/>
    <n v="395"/>
    <n v="29"/>
    <n v="1"/>
    <n v="4473"/>
    <n v="4473"/>
    <n v="1408.9899999999998"/>
    <s v="Furniture"/>
    <x v="6"/>
  </r>
  <r>
    <n v="591"/>
    <n v="396"/>
    <n v="23"/>
    <n v="1"/>
    <n v="3651"/>
    <n v="3651"/>
    <n v="1478.65"/>
    <s v="Home Appliances"/>
    <x v="45"/>
  </r>
  <r>
    <n v="592"/>
    <n v="396"/>
    <n v="36"/>
    <n v="2"/>
    <n v="5432"/>
    <n v="10864"/>
    <n v="3911.04"/>
    <s v="Sports"/>
    <x v="8"/>
  </r>
  <r>
    <n v="593"/>
    <n v="397"/>
    <n v="30"/>
    <n v="2"/>
    <n v="4610"/>
    <n v="9220"/>
    <n v="4149"/>
    <s v="Furniture"/>
    <x v="46"/>
  </r>
  <r>
    <n v="594"/>
    <n v="397"/>
    <n v="43"/>
    <n v="3"/>
    <n v="6391"/>
    <n v="19173"/>
    <n v="7765.0499999999993"/>
    <s v="Beauty"/>
    <x v="10"/>
  </r>
  <r>
    <n v="595"/>
    <n v="398"/>
    <n v="37"/>
    <n v="3"/>
    <n v="5569"/>
    <n v="16707"/>
    <n v="5763.9000000000005"/>
    <s v="Sports"/>
    <x v="47"/>
  </r>
  <r>
    <n v="596"/>
    <n v="398"/>
    <n v="50"/>
    <n v="4"/>
    <n v="7350"/>
    <n v="29400"/>
    <n v="13230"/>
    <s v="Toys"/>
    <x v="12"/>
  </r>
  <r>
    <n v="597"/>
    <n v="399"/>
    <n v="44"/>
    <n v="4"/>
    <n v="6528"/>
    <n v="26112"/>
    <n v="10183.68"/>
    <s v="Beauty"/>
    <x v="48"/>
  </r>
  <r>
    <n v="598"/>
    <n v="399"/>
    <n v="7"/>
    <n v="1"/>
    <n v="1459"/>
    <n v="1459"/>
    <n v="503.35"/>
    <s v="Electronics"/>
    <x v="14"/>
  </r>
  <r>
    <n v="599"/>
    <n v="400"/>
    <n v="1"/>
    <n v="1"/>
    <n v="637"/>
    <n v="637"/>
    <n v="277.08999999999997"/>
    <s v="Electronics"/>
    <x v="49"/>
  </r>
  <r>
    <n v="600"/>
    <n v="400"/>
    <n v="14"/>
    <n v="2"/>
    <n v="2418"/>
    <n v="4836"/>
    <n v="1886.04"/>
    <s v="Fashion"/>
    <x v="16"/>
  </r>
  <r>
    <n v="601"/>
    <n v="401"/>
    <n v="8"/>
    <n v="2"/>
    <n v="1596"/>
    <n v="3192"/>
    <n v="1053.3600000000001"/>
    <s v="Electronics"/>
    <x v="0"/>
  </r>
  <r>
    <n v="602"/>
    <n v="401"/>
    <n v="21"/>
    <n v="3"/>
    <n v="3377"/>
    <n v="10131"/>
    <n v="4406.97"/>
    <s v="Home Appliances"/>
    <x v="1"/>
  </r>
  <r>
    <n v="603"/>
    <n v="402"/>
    <n v="15"/>
    <n v="3"/>
    <n v="2555"/>
    <n v="7665"/>
    <n v="2874.3599999999997"/>
    <s v="Fashion"/>
    <x v="2"/>
  </r>
  <r>
    <n v="604"/>
    <n v="402"/>
    <n v="28"/>
    <n v="4"/>
    <n v="4336"/>
    <n v="17344"/>
    <n v="5723.52"/>
    <s v="Home &amp; Kitchen"/>
    <x v="3"/>
  </r>
  <r>
    <n v="605"/>
    <n v="403"/>
    <n v="22"/>
    <n v="4"/>
    <n v="3514"/>
    <n v="14056"/>
    <n v="5903.52"/>
    <s v="Home Appliances"/>
    <x v="4"/>
  </r>
  <r>
    <n v="606"/>
    <n v="403"/>
    <n v="35"/>
    <n v="1"/>
    <n v="5295"/>
    <n v="5295"/>
    <n v="1985.62"/>
    <s v="Books"/>
    <x v="5"/>
  </r>
  <r>
    <n v="607"/>
    <n v="404"/>
    <n v="29"/>
    <n v="1"/>
    <n v="4473"/>
    <n v="4473"/>
    <n v="1408.9899999999998"/>
    <s v="Furniture"/>
    <x v="6"/>
  </r>
  <r>
    <n v="608"/>
    <n v="404"/>
    <n v="42"/>
    <n v="2"/>
    <n v="6254"/>
    <n v="12508"/>
    <n v="5253.36"/>
    <s v="Beauty"/>
    <x v="7"/>
  </r>
  <r>
    <n v="609"/>
    <n v="405"/>
    <n v="36"/>
    <n v="2"/>
    <n v="5432"/>
    <n v="10864"/>
    <n v="3911.04"/>
    <s v="Sports"/>
    <x v="8"/>
  </r>
  <r>
    <n v="610"/>
    <n v="405"/>
    <n v="49"/>
    <n v="3"/>
    <n v="7213"/>
    <n v="21639"/>
    <n v="6816.27"/>
    <s v="Toys"/>
    <x v="9"/>
  </r>
  <r>
    <n v="611"/>
    <n v="406"/>
    <n v="43"/>
    <n v="3"/>
    <n v="6391"/>
    <n v="19173"/>
    <n v="7765.0499999999993"/>
    <s v="Beauty"/>
    <x v="10"/>
  </r>
  <r>
    <n v="612"/>
    <n v="406"/>
    <n v="6"/>
    <n v="4"/>
    <n v="1322"/>
    <n v="5288"/>
    <n v="1903.6799999999998"/>
    <s v="Electronics"/>
    <x v="11"/>
  </r>
  <r>
    <n v="613"/>
    <n v="407"/>
    <n v="50"/>
    <n v="4"/>
    <n v="7350"/>
    <n v="29400"/>
    <n v="13230"/>
    <s v="Toys"/>
    <x v="12"/>
  </r>
  <r>
    <n v="614"/>
    <n v="407"/>
    <n v="13"/>
    <n v="1"/>
    <n v="2281"/>
    <n v="2281"/>
    <n v="923.8"/>
    <s v="Fashion"/>
    <x v="13"/>
  </r>
  <r>
    <n v="615"/>
    <n v="408"/>
    <n v="7"/>
    <n v="1"/>
    <n v="1459"/>
    <n v="1459"/>
    <n v="503.35"/>
    <s v="Electronics"/>
    <x v="14"/>
  </r>
  <r>
    <n v="616"/>
    <n v="408"/>
    <n v="20"/>
    <n v="2"/>
    <n v="3240"/>
    <n v="6480"/>
    <n v="2916"/>
    <s v="Fashion"/>
    <x v="15"/>
  </r>
  <r>
    <n v="617"/>
    <n v="409"/>
    <n v="14"/>
    <n v="2"/>
    <n v="2418"/>
    <n v="4836"/>
    <n v="1886.04"/>
    <s v="Fashion"/>
    <x v="16"/>
  </r>
  <r>
    <n v="618"/>
    <n v="409"/>
    <n v="27"/>
    <n v="3"/>
    <n v="4199"/>
    <n v="12597"/>
    <n v="4345.9500000000007"/>
    <s v="Home &amp; Kitchen"/>
    <x v="17"/>
  </r>
  <r>
    <n v="619"/>
    <n v="410"/>
    <n v="21"/>
    <n v="3"/>
    <n v="3377"/>
    <n v="10131"/>
    <n v="4406.97"/>
    <s v="Home Appliances"/>
    <x v="1"/>
  </r>
  <r>
    <n v="620"/>
    <n v="410"/>
    <n v="34"/>
    <n v="4"/>
    <n v="5158"/>
    <n v="20632"/>
    <n v="8046.48"/>
    <s v="Books"/>
    <x v="18"/>
  </r>
  <r>
    <n v="621"/>
    <n v="411"/>
    <n v="28"/>
    <n v="4"/>
    <n v="4336"/>
    <n v="17344"/>
    <n v="5723.52"/>
    <s v="Home &amp; Kitchen"/>
    <x v="3"/>
  </r>
  <r>
    <n v="622"/>
    <n v="411"/>
    <n v="41"/>
    <n v="1"/>
    <n v="6117"/>
    <n v="6117"/>
    <n v="2660.89"/>
    <s v="Beauty"/>
    <x v="19"/>
  </r>
  <r>
    <n v="623"/>
    <n v="412"/>
    <n v="35"/>
    <n v="1"/>
    <n v="5295"/>
    <n v="5295"/>
    <n v="1985.62"/>
    <s v="Books"/>
    <x v="5"/>
  </r>
  <r>
    <n v="624"/>
    <n v="412"/>
    <n v="48"/>
    <n v="2"/>
    <n v="7076"/>
    <n v="14152"/>
    <n v="4670.16"/>
    <s v="Toys"/>
    <x v="20"/>
  </r>
  <r>
    <n v="625"/>
    <n v="413"/>
    <n v="42"/>
    <n v="2"/>
    <n v="6254"/>
    <n v="12508"/>
    <n v="5253.36"/>
    <s v="Beauty"/>
    <x v="7"/>
  </r>
  <r>
    <n v="626"/>
    <n v="413"/>
    <n v="5"/>
    <n v="3"/>
    <n v="1185"/>
    <n v="3555"/>
    <n v="1333.1399999999999"/>
    <s v="Electronics"/>
    <x v="21"/>
  </r>
  <r>
    <n v="627"/>
    <n v="414"/>
    <n v="49"/>
    <n v="3"/>
    <n v="7213"/>
    <n v="21639"/>
    <n v="6816.27"/>
    <s v="Toys"/>
    <x v="9"/>
  </r>
  <r>
    <n v="628"/>
    <n v="414"/>
    <n v="12"/>
    <n v="4"/>
    <n v="2144"/>
    <n v="8576"/>
    <n v="3601.92"/>
    <s v="Fashion"/>
    <x v="22"/>
  </r>
  <r>
    <n v="629"/>
    <n v="415"/>
    <n v="6"/>
    <n v="4"/>
    <n v="1322"/>
    <n v="5288"/>
    <n v="1903.6799999999998"/>
    <s v="Electronics"/>
    <x v="11"/>
  </r>
  <r>
    <n v="630"/>
    <n v="415"/>
    <n v="19"/>
    <n v="1"/>
    <n v="3103"/>
    <n v="3103"/>
    <n v="977.44"/>
    <s v="Fashion"/>
    <x v="23"/>
  </r>
  <r>
    <n v="631"/>
    <n v="416"/>
    <n v="13"/>
    <n v="1"/>
    <n v="2281"/>
    <n v="2281"/>
    <n v="923.8"/>
    <s v="Fashion"/>
    <x v="13"/>
  </r>
  <r>
    <n v="632"/>
    <n v="416"/>
    <n v="26"/>
    <n v="2"/>
    <n v="4062"/>
    <n v="8124"/>
    <n v="2924.6400000000003"/>
    <s v="Home &amp; Kitchen"/>
    <x v="24"/>
  </r>
  <r>
    <n v="633"/>
    <n v="417"/>
    <n v="20"/>
    <n v="2"/>
    <n v="3240"/>
    <n v="6480"/>
    <n v="2916"/>
    <s v="Fashion"/>
    <x v="15"/>
  </r>
  <r>
    <n v="634"/>
    <n v="417"/>
    <n v="33"/>
    <n v="3"/>
    <n v="5021"/>
    <n v="15063"/>
    <n v="6100.5"/>
    <s v="Books"/>
    <x v="25"/>
  </r>
  <r>
    <n v="635"/>
    <n v="418"/>
    <n v="27"/>
    <n v="3"/>
    <n v="4199"/>
    <n v="12597"/>
    <n v="4345.9500000000007"/>
    <s v="Home &amp; Kitchen"/>
    <x v="17"/>
  </r>
  <r>
    <n v="636"/>
    <n v="418"/>
    <n v="40"/>
    <n v="4"/>
    <n v="5980"/>
    <n v="23920"/>
    <n v="10764"/>
    <s v="Sports"/>
    <x v="26"/>
  </r>
  <r>
    <n v="637"/>
    <n v="419"/>
    <n v="34"/>
    <n v="4"/>
    <n v="5158"/>
    <n v="20632"/>
    <n v="8046.48"/>
    <s v="Books"/>
    <x v="18"/>
  </r>
  <r>
    <n v="638"/>
    <n v="419"/>
    <n v="47"/>
    <n v="1"/>
    <n v="6939"/>
    <n v="6939"/>
    <n v="2393.9499999999998"/>
    <s v="Toys"/>
    <x v="27"/>
  </r>
  <r>
    <n v="639"/>
    <n v="420"/>
    <n v="41"/>
    <n v="1"/>
    <n v="6117"/>
    <n v="6117"/>
    <n v="2660.89"/>
    <s v="Beauty"/>
    <x v="19"/>
  </r>
  <r>
    <n v="640"/>
    <n v="420"/>
    <n v="4"/>
    <n v="2"/>
    <n v="1048"/>
    <n v="2096"/>
    <n v="817.44"/>
    <s v="Electronics"/>
    <x v="28"/>
  </r>
  <r>
    <n v="641"/>
    <n v="421"/>
    <n v="48"/>
    <n v="2"/>
    <n v="7076"/>
    <n v="14152"/>
    <n v="4670.16"/>
    <s v="Toys"/>
    <x v="20"/>
  </r>
  <r>
    <n v="642"/>
    <n v="421"/>
    <n v="11"/>
    <n v="3"/>
    <n v="2007"/>
    <n v="6021"/>
    <n v="2619.12"/>
    <s v="Fashion"/>
    <x v="29"/>
  </r>
  <r>
    <n v="643"/>
    <n v="422"/>
    <n v="5"/>
    <n v="3"/>
    <n v="1185"/>
    <n v="3555"/>
    <n v="1333.1399999999999"/>
    <s v="Electronics"/>
    <x v="21"/>
  </r>
  <r>
    <n v="644"/>
    <n v="422"/>
    <n v="18"/>
    <n v="4"/>
    <n v="2966"/>
    <n v="11864"/>
    <n v="3915.12"/>
    <s v="Fashion"/>
    <x v="30"/>
  </r>
  <r>
    <n v="645"/>
    <n v="423"/>
    <n v="12"/>
    <n v="4"/>
    <n v="2144"/>
    <n v="8576"/>
    <n v="3601.92"/>
    <s v="Fashion"/>
    <x v="22"/>
  </r>
  <r>
    <n v="646"/>
    <n v="423"/>
    <n v="25"/>
    <n v="1"/>
    <n v="3925"/>
    <n v="3925"/>
    <n v="1471.88"/>
    <s v="Home Appliances"/>
    <x v="31"/>
  </r>
  <r>
    <n v="647"/>
    <n v="424"/>
    <n v="19"/>
    <n v="1"/>
    <n v="3103"/>
    <n v="3103"/>
    <n v="977.44"/>
    <s v="Fashion"/>
    <x v="23"/>
  </r>
  <r>
    <n v="648"/>
    <n v="424"/>
    <n v="32"/>
    <n v="2"/>
    <n v="4884"/>
    <n v="9768"/>
    <n v="4102.5600000000004"/>
    <s v="Books"/>
    <x v="32"/>
  </r>
  <r>
    <n v="649"/>
    <n v="425"/>
    <n v="26"/>
    <n v="2"/>
    <n v="4062"/>
    <n v="8124"/>
    <n v="2924.6400000000003"/>
    <s v="Home &amp; Kitchen"/>
    <x v="24"/>
  </r>
  <r>
    <n v="650"/>
    <n v="425"/>
    <n v="39"/>
    <n v="3"/>
    <n v="5843"/>
    <n v="17529"/>
    <n v="5521.62"/>
    <s v="Sports"/>
    <x v="33"/>
  </r>
  <r>
    <n v="651"/>
    <n v="426"/>
    <n v="33"/>
    <n v="3"/>
    <n v="5021"/>
    <n v="15063"/>
    <n v="6100.5"/>
    <s v="Books"/>
    <x v="25"/>
  </r>
  <r>
    <n v="652"/>
    <n v="426"/>
    <n v="46"/>
    <n v="4"/>
    <n v="6802"/>
    <n v="27208"/>
    <n v="9794.880000000001"/>
    <s v="Toys"/>
    <x v="34"/>
  </r>
  <r>
    <n v="653"/>
    <n v="427"/>
    <n v="40"/>
    <n v="4"/>
    <n v="5980"/>
    <n v="23920"/>
    <n v="10764"/>
    <s v="Sports"/>
    <x v="26"/>
  </r>
  <r>
    <n v="654"/>
    <n v="427"/>
    <n v="3"/>
    <n v="1"/>
    <n v="911"/>
    <n v="911"/>
    <n v="368.95000000000005"/>
    <s v="Electronics"/>
    <x v="35"/>
  </r>
  <r>
    <n v="655"/>
    <n v="428"/>
    <n v="47"/>
    <n v="1"/>
    <n v="6939"/>
    <n v="6939"/>
    <n v="2393.9499999999998"/>
    <s v="Toys"/>
    <x v="27"/>
  </r>
  <r>
    <n v="656"/>
    <n v="428"/>
    <n v="10"/>
    <n v="2"/>
    <n v="1870"/>
    <n v="3740"/>
    <n v="1683"/>
    <s v="Electronics"/>
    <x v="36"/>
  </r>
  <r>
    <n v="657"/>
    <n v="429"/>
    <n v="4"/>
    <n v="2"/>
    <n v="1048"/>
    <n v="2096"/>
    <n v="817.44"/>
    <s v="Electronics"/>
    <x v="28"/>
  </r>
  <r>
    <n v="658"/>
    <n v="429"/>
    <n v="17"/>
    <n v="3"/>
    <n v="2829"/>
    <n v="8487"/>
    <n v="2928"/>
    <s v="Fashion"/>
    <x v="37"/>
  </r>
  <r>
    <n v="659"/>
    <n v="430"/>
    <n v="11"/>
    <n v="3"/>
    <n v="2007"/>
    <n v="6021"/>
    <n v="2619.12"/>
    <s v="Fashion"/>
    <x v="29"/>
  </r>
  <r>
    <n v="660"/>
    <n v="430"/>
    <n v="24"/>
    <n v="4"/>
    <n v="3788"/>
    <n v="15152"/>
    <n v="5909.2800000000007"/>
    <s v="Home Appliances"/>
    <x v="38"/>
  </r>
  <r>
    <n v="661"/>
    <n v="431"/>
    <n v="18"/>
    <n v="4"/>
    <n v="2966"/>
    <n v="11864"/>
    <n v="3915.12"/>
    <s v="Fashion"/>
    <x v="30"/>
  </r>
  <r>
    <n v="662"/>
    <n v="431"/>
    <n v="31"/>
    <n v="1"/>
    <n v="4747"/>
    <n v="4747"/>
    <n v="2064.94"/>
    <s v="Books"/>
    <x v="39"/>
  </r>
  <r>
    <n v="663"/>
    <n v="432"/>
    <n v="25"/>
    <n v="1"/>
    <n v="3925"/>
    <n v="3925"/>
    <n v="1471.88"/>
    <s v="Home Appliances"/>
    <x v="31"/>
  </r>
  <r>
    <n v="664"/>
    <n v="432"/>
    <n v="38"/>
    <n v="2"/>
    <n v="5706"/>
    <n v="11412"/>
    <n v="3765.96"/>
    <s v="Sports"/>
    <x v="40"/>
  </r>
  <r>
    <n v="665"/>
    <n v="433"/>
    <n v="32"/>
    <n v="2"/>
    <n v="4884"/>
    <n v="9768"/>
    <n v="4102.5600000000004"/>
    <s v="Books"/>
    <x v="32"/>
  </r>
  <r>
    <n v="666"/>
    <n v="433"/>
    <n v="45"/>
    <n v="3"/>
    <n v="6665"/>
    <n v="19995"/>
    <n v="7498.14"/>
    <s v="Beauty"/>
    <x v="41"/>
  </r>
  <r>
    <n v="667"/>
    <n v="434"/>
    <n v="39"/>
    <n v="3"/>
    <n v="5843"/>
    <n v="17529"/>
    <n v="5521.62"/>
    <s v="Sports"/>
    <x v="33"/>
  </r>
  <r>
    <n v="668"/>
    <n v="434"/>
    <n v="2"/>
    <n v="4"/>
    <n v="774"/>
    <n v="3096"/>
    <n v="1300.32"/>
    <s v="Electronics"/>
    <x v="42"/>
  </r>
  <r>
    <n v="669"/>
    <n v="435"/>
    <n v="46"/>
    <n v="4"/>
    <n v="6802"/>
    <n v="27208"/>
    <n v="9794.880000000001"/>
    <s v="Toys"/>
    <x v="34"/>
  </r>
  <r>
    <n v="670"/>
    <n v="435"/>
    <n v="9"/>
    <n v="1"/>
    <n v="1733"/>
    <n v="1733"/>
    <n v="545.8900000000001"/>
    <s v="Electronics"/>
    <x v="43"/>
  </r>
  <r>
    <n v="671"/>
    <n v="436"/>
    <n v="3"/>
    <n v="1"/>
    <n v="911"/>
    <n v="911"/>
    <n v="368.95000000000005"/>
    <s v="Electronics"/>
    <x v="35"/>
  </r>
  <r>
    <n v="672"/>
    <n v="436"/>
    <n v="16"/>
    <n v="2"/>
    <n v="2692"/>
    <n v="5384"/>
    <n v="1938.2399999999998"/>
    <s v="Fashion"/>
    <x v="44"/>
  </r>
  <r>
    <n v="673"/>
    <n v="437"/>
    <n v="10"/>
    <n v="2"/>
    <n v="1870"/>
    <n v="3740"/>
    <n v="1683"/>
    <s v="Electronics"/>
    <x v="36"/>
  </r>
  <r>
    <n v="674"/>
    <n v="437"/>
    <n v="23"/>
    <n v="3"/>
    <n v="3651"/>
    <n v="10953"/>
    <n v="4435.9500000000007"/>
    <s v="Home Appliances"/>
    <x v="45"/>
  </r>
  <r>
    <n v="675"/>
    <n v="438"/>
    <n v="17"/>
    <n v="3"/>
    <n v="2829"/>
    <n v="8487"/>
    <n v="2928"/>
    <s v="Fashion"/>
    <x v="37"/>
  </r>
  <r>
    <n v="676"/>
    <n v="438"/>
    <n v="30"/>
    <n v="4"/>
    <n v="4610"/>
    <n v="18440"/>
    <n v="8298"/>
    <s v="Furniture"/>
    <x v="46"/>
  </r>
  <r>
    <n v="677"/>
    <n v="439"/>
    <n v="24"/>
    <n v="4"/>
    <n v="3788"/>
    <n v="15152"/>
    <n v="5909.2800000000007"/>
    <s v="Home Appliances"/>
    <x v="38"/>
  </r>
  <r>
    <n v="678"/>
    <n v="439"/>
    <n v="37"/>
    <n v="1"/>
    <n v="5569"/>
    <n v="5569"/>
    <n v="1921.3000000000002"/>
    <s v="Sports"/>
    <x v="47"/>
  </r>
  <r>
    <n v="679"/>
    <n v="440"/>
    <n v="31"/>
    <n v="1"/>
    <n v="4747"/>
    <n v="4747"/>
    <n v="2064.94"/>
    <s v="Books"/>
    <x v="39"/>
  </r>
  <r>
    <n v="680"/>
    <n v="440"/>
    <n v="44"/>
    <n v="2"/>
    <n v="6528"/>
    <n v="13056"/>
    <n v="5091.84"/>
    <s v="Beauty"/>
    <x v="48"/>
  </r>
  <r>
    <n v="681"/>
    <n v="441"/>
    <n v="38"/>
    <n v="2"/>
    <n v="5706"/>
    <n v="11412"/>
    <n v="3765.96"/>
    <s v="Sports"/>
    <x v="40"/>
  </r>
  <r>
    <n v="682"/>
    <n v="441"/>
    <n v="1"/>
    <n v="3"/>
    <n v="637"/>
    <n v="1911"/>
    <n v="831.27"/>
    <s v="Electronics"/>
    <x v="49"/>
  </r>
  <r>
    <n v="683"/>
    <n v="442"/>
    <n v="45"/>
    <n v="3"/>
    <n v="6665"/>
    <n v="19995"/>
    <n v="7498.14"/>
    <s v="Beauty"/>
    <x v="41"/>
  </r>
  <r>
    <n v="684"/>
    <n v="442"/>
    <n v="8"/>
    <n v="4"/>
    <n v="1596"/>
    <n v="6384"/>
    <n v="2106.7200000000003"/>
    <s v="Electronics"/>
    <x v="0"/>
  </r>
  <r>
    <n v="685"/>
    <n v="443"/>
    <n v="2"/>
    <n v="4"/>
    <n v="774"/>
    <n v="3096"/>
    <n v="1300.32"/>
    <s v="Electronics"/>
    <x v="42"/>
  </r>
  <r>
    <n v="686"/>
    <n v="443"/>
    <n v="15"/>
    <n v="1"/>
    <n v="2555"/>
    <n v="2555"/>
    <n v="958.11999999999989"/>
    <s v="Fashion"/>
    <x v="2"/>
  </r>
  <r>
    <n v="687"/>
    <n v="444"/>
    <n v="9"/>
    <n v="1"/>
    <n v="1733"/>
    <n v="1733"/>
    <n v="545.8900000000001"/>
    <s v="Electronics"/>
    <x v="43"/>
  </r>
  <r>
    <n v="688"/>
    <n v="444"/>
    <n v="22"/>
    <n v="2"/>
    <n v="3514"/>
    <n v="7028"/>
    <n v="2951.76"/>
    <s v="Home Appliances"/>
    <x v="4"/>
  </r>
  <r>
    <n v="689"/>
    <n v="445"/>
    <n v="16"/>
    <n v="2"/>
    <n v="2692"/>
    <n v="5384"/>
    <n v="1938.2399999999998"/>
    <s v="Fashion"/>
    <x v="44"/>
  </r>
  <r>
    <n v="690"/>
    <n v="445"/>
    <n v="29"/>
    <n v="3"/>
    <n v="4473"/>
    <n v="13419"/>
    <n v="4226.9699999999993"/>
    <s v="Furniture"/>
    <x v="6"/>
  </r>
  <r>
    <n v="691"/>
    <n v="446"/>
    <n v="23"/>
    <n v="3"/>
    <n v="3651"/>
    <n v="10953"/>
    <n v="4435.9500000000007"/>
    <s v="Home Appliances"/>
    <x v="45"/>
  </r>
  <r>
    <n v="692"/>
    <n v="446"/>
    <n v="36"/>
    <n v="4"/>
    <n v="5432"/>
    <n v="21728"/>
    <n v="7822.08"/>
    <s v="Sports"/>
    <x v="8"/>
  </r>
  <r>
    <n v="693"/>
    <n v="447"/>
    <n v="30"/>
    <n v="4"/>
    <n v="4610"/>
    <n v="18440"/>
    <n v="8298"/>
    <s v="Furniture"/>
    <x v="46"/>
  </r>
  <r>
    <n v="694"/>
    <n v="447"/>
    <n v="43"/>
    <n v="1"/>
    <n v="6391"/>
    <n v="6391"/>
    <n v="2588.35"/>
    <s v="Beauty"/>
    <x v="10"/>
  </r>
  <r>
    <n v="695"/>
    <n v="448"/>
    <n v="37"/>
    <n v="1"/>
    <n v="5569"/>
    <n v="5569"/>
    <n v="1921.3000000000002"/>
    <s v="Sports"/>
    <x v="47"/>
  </r>
  <r>
    <n v="696"/>
    <n v="448"/>
    <n v="50"/>
    <n v="2"/>
    <n v="7350"/>
    <n v="14700"/>
    <n v="6615"/>
    <s v="Toys"/>
    <x v="12"/>
  </r>
  <r>
    <n v="697"/>
    <n v="449"/>
    <n v="44"/>
    <n v="2"/>
    <n v="6528"/>
    <n v="13056"/>
    <n v="5091.84"/>
    <s v="Beauty"/>
    <x v="48"/>
  </r>
  <r>
    <n v="698"/>
    <n v="449"/>
    <n v="7"/>
    <n v="3"/>
    <n v="1459"/>
    <n v="4377"/>
    <n v="1510.0500000000002"/>
    <s v="Electronics"/>
    <x v="14"/>
  </r>
  <r>
    <n v="699"/>
    <n v="450"/>
    <n v="1"/>
    <n v="3"/>
    <n v="637"/>
    <n v="1911"/>
    <n v="831.27"/>
    <s v="Electronics"/>
    <x v="49"/>
  </r>
  <r>
    <n v="700"/>
    <n v="450"/>
    <n v="14"/>
    <n v="4"/>
    <n v="2418"/>
    <n v="9672"/>
    <n v="3772.08"/>
    <s v="Fashion"/>
    <x v="16"/>
  </r>
  <r>
    <n v="701"/>
    <n v="451"/>
    <n v="8"/>
    <n v="4"/>
    <n v="1596"/>
    <n v="6384"/>
    <n v="2106.7200000000003"/>
    <s v="Electronics"/>
    <x v="0"/>
  </r>
  <r>
    <n v="702"/>
    <n v="451"/>
    <n v="21"/>
    <n v="1"/>
    <n v="3377"/>
    <n v="3377"/>
    <n v="1468.99"/>
    <s v="Home Appliances"/>
    <x v="1"/>
  </r>
  <r>
    <n v="703"/>
    <n v="452"/>
    <n v="15"/>
    <n v="1"/>
    <n v="2555"/>
    <n v="2555"/>
    <n v="958.11999999999989"/>
    <s v="Fashion"/>
    <x v="2"/>
  </r>
  <r>
    <n v="704"/>
    <n v="452"/>
    <n v="28"/>
    <n v="2"/>
    <n v="4336"/>
    <n v="8672"/>
    <n v="2861.76"/>
    <s v="Home &amp; Kitchen"/>
    <x v="3"/>
  </r>
  <r>
    <n v="705"/>
    <n v="453"/>
    <n v="22"/>
    <n v="2"/>
    <n v="3514"/>
    <n v="7028"/>
    <n v="2951.76"/>
    <s v="Home Appliances"/>
    <x v="4"/>
  </r>
  <r>
    <n v="706"/>
    <n v="453"/>
    <n v="35"/>
    <n v="3"/>
    <n v="5295"/>
    <n v="15885"/>
    <n v="5956.86"/>
    <s v="Books"/>
    <x v="5"/>
  </r>
  <r>
    <n v="707"/>
    <n v="454"/>
    <n v="29"/>
    <n v="3"/>
    <n v="4473"/>
    <n v="13419"/>
    <n v="4226.9699999999993"/>
    <s v="Furniture"/>
    <x v="6"/>
  </r>
  <r>
    <n v="708"/>
    <n v="454"/>
    <n v="42"/>
    <n v="4"/>
    <n v="6254"/>
    <n v="25016"/>
    <n v="10506.72"/>
    <s v="Beauty"/>
    <x v="7"/>
  </r>
  <r>
    <n v="709"/>
    <n v="455"/>
    <n v="36"/>
    <n v="4"/>
    <n v="5432"/>
    <n v="21728"/>
    <n v="7822.08"/>
    <s v="Sports"/>
    <x v="8"/>
  </r>
  <r>
    <n v="710"/>
    <n v="455"/>
    <n v="49"/>
    <n v="1"/>
    <n v="7213"/>
    <n v="7213"/>
    <n v="2272.09"/>
    <s v="Toys"/>
    <x v="9"/>
  </r>
  <r>
    <n v="711"/>
    <n v="456"/>
    <n v="43"/>
    <n v="1"/>
    <n v="6391"/>
    <n v="6391"/>
    <n v="2588.35"/>
    <s v="Beauty"/>
    <x v="10"/>
  </r>
  <r>
    <n v="712"/>
    <n v="456"/>
    <n v="6"/>
    <n v="2"/>
    <n v="1322"/>
    <n v="2644"/>
    <n v="951.83999999999992"/>
    <s v="Electronics"/>
    <x v="11"/>
  </r>
  <r>
    <n v="713"/>
    <n v="457"/>
    <n v="50"/>
    <n v="2"/>
    <n v="7350"/>
    <n v="14700"/>
    <n v="6615"/>
    <s v="Toys"/>
    <x v="12"/>
  </r>
  <r>
    <n v="714"/>
    <n v="457"/>
    <n v="13"/>
    <n v="3"/>
    <n v="2281"/>
    <n v="6843"/>
    <n v="2771.3999999999996"/>
    <s v="Fashion"/>
    <x v="13"/>
  </r>
  <r>
    <n v="715"/>
    <n v="458"/>
    <n v="7"/>
    <n v="3"/>
    <n v="1459"/>
    <n v="4377"/>
    <n v="1510.0500000000002"/>
    <s v="Electronics"/>
    <x v="14"/>
  </r>
  <r>
    <n v="716"/>
    <n v="458"/>
    <n v="20"/>
    <n v="4"/>
    <n v="3240"/>
    <n v="12960"/>
    <n v="5832"/>
    <s v="Fashion"/>
    <x v="15"/>
  </r>
  <r>
    <n v="717"/>
    <n v="459"/>
    <n v="14"/>
    <n v="4"/>
    <n v="2418"/>
    <n v="9672"/>
    <n v="3772.08"/>
    <s v="Fashion"/>
    <x v="16"/>
  </r>
  <r>
    <n v="718"/>
    <n v="459"/>
    <n v="27"/>
    <n v="1"/>
    <n v="4199"/>
    <n v="4199"/>
    <n v="1448.65"/>
    <s v="Home &amp; Kitchen"/>
    <x v="17"/>
  </r>
  <r>
    <n v="719"/>
    <n v="460"/>
    <n v="21"/>
    <n v="1"/>
    <n v="3377"/>
    <n v="3377"/>
    <n v="1468.99"/>
    <s v="Home Appliances"/>
    <x v="1"/>
  </r>
  <r>
    <n v="720"/>
    <n v="460"/>
    <n v="34"/>
    <n v="2"/>
    <n v="5158"/>
    <n v="10316"/>
    <n v="4023.24"/>
    <s v="Books"/>
    <x v="18"/>
  </r>
  <r>
    <n v="721"/>
    <n v="461"/>
    <n v="28"/>
    <n v="2"/>
    <n v="4336"/>
    <n v="8672"/>
    <n v="2861.76"/>
    <s v="Home &amp; Kitchen"/>
    <x v="3"/>
  </r>
  <r>
    <n v="722"/>
    <n v="461"/>
    <n v="41"/>
    <n v="3"/>
    <n v="6117"/>
    <n v="18351"/>
    <n v="7982.67"/>
    <s v="Beauty"/>
    <x v="19"/>
  </r>
  <r>
    <n v="723"/>
    <n v="462"/>
    <n v="35"/>
    <n v="3"/>
    <n v="5295"/>
    <n v="15885"/>
    <n v="5956.86"/>
    <s v="Books"/>
    <x v="5"/>
  </r>
  <r>
    <n v="724"/>
    <n v="462"/>
    <n v="48"/>
    <n v="4"/>
    <n v="7076"/>
    <n v="28304"/>
    <n v="9340.32"/>
    <s v="Toys"/>
    <x v="20"/>
  </r>
  <r>
    <n v="725"/>
    <n v="463"/>
    <n v="42"/>
    <n v="4"/>
    <n v="6254"/>
    <n v="25016"/>
    <n v="10506.72"/>
    <s v="Beauty"/>
    <x v="7"/>
  </r>
  <r>
    <n v="726"/>
    <n v="463"/>
    <n v="5"/>
    <n v="1"/>
    <n v="1185"/>
    <n v="1185"/>
    <n v="444.38"/>
    <s v="Electronics"/>
    <x v="21"/>
  </r>
  <r>
    <n v="727"/>
    <n v="464"/>
    <n v="49"/>
    <n v="1"/>
    <n v="7213"/>
    <n v="7213"/>
    <n v="2272.09"/>
    <s v="Toys"/>
    <x v="9"/>
  </r>
  <r>
    <n v="728"/>
    <n v="464"/>
    <n v="12"/>
    <n v="2"/>
    <n v="2144"/>
    <n v="4288"/>
    <n v="1800.96"/>
    <s v="Fashion"/>
    <x v="22"/>
  </r>
  <r>
    <n v="729"/>
    <n v="465"/>
    <n v="6"/>
    <n v="2"/>
    <n v="1322"/>
    <n v="2644"/>
    <n v="951.83999999999992"/>
    <s v="Electronics"/>
    <x v="11"/>
  </r>
  <r>
    <n v="730"/>
    <n v="465"/>
    <n v="19"/>
    <n v="3"/>
    <n v="3103"/>
    <n v="9309"/>
    <n v="2932.32"/>
    <s v="Fashion"/>
    <x v="23"/>
  </r>
  <r>
    <n v="731"/>
    <n v="466"/>
    <n v="13"/>
    <n v="3"/>
    <n v="2281"/>
    <n v="6843"/>
    <n v="2771.3999999999996"/>
    <s v="Fashion"/>
    <x v="13"/>
  </r>
  <r>
    <n v="732"/>
    <n v="466"/>
    <n v="26"/>
    <n v="4"/>
    <n v="4062"/>
    <n v="16248"/>
    <n v="5849.2800000000007"/>
    <s v="Home &amp; Kitchen"/>
    <x v="24"/>
  </r>
  <r>
    <n v="733"/>
    <n v="467"/>
    <n v="20"/>
    <n v="4"/>
    <n v="3240"/>
    <n v="12960"/>
    <n v="5832"/>
    <s v="Fashion"/>
    <x v="15"/>
  </r>
  <r>
    <n v="734"/>
    <n v="467"/>
    <n v="33"/>
    <n v="1"/>
    <n v="5021"/>
    <n v="5021"/>
    <n v="2033.5"/>
    <s v="Books"/>
    <x v="25"/>
  </r>
  <r>
    <n v="735"/>
    <n v="468"/>
    <n v="27"/>
    <n v="1"/>
    <n v="4199"/>
    <n v="4199"/>
    <n v="1448.65"/>
    <s v="Home &amp; Kitchen"/>
    <x v="17"/>
  </r>
  <r>
    <n v="736"/>
    <n v="468"/>
    <n v="40"/>
    <n v="2"/>
    <n v="5980"/>
    <n v="11960"/>
    <n v="5382"/>
    <s v="Sports"/>
    <x v="26"/>
  </r>
  <r>
    <n v="737"/>
    <n v="469"/>
    <n v="34"/>
    <n v="2"/>
    <n v="5158"/>
    <n v="10316"/>
    <n v="4023.24"/>
    <s v="Books"/>
    <x v="18"/>
  </r>
  <r>
    <n v="738"/>
    <n v="469"/>
    <n v="47"/>
    <n v="3"/>
    <n v="6939"/>
    <n v="20817"/>
    <n v="7181.8499999999995"/>
    <s v="Toys"/>
    <x v="27"/>
  </r>
  <r>
    <n v="739"/>
    <n v="470"/>
    <n v="41"/>
    <n v="3"/>
    <n v="6117"/>
    <n v="18351"/>
    <n v="7982.67"/>
    <s v="Beauty"/>
    <x v="19"/>
  </r>
  <r>
    <n v="740"/>
    <n v="470"/>
    <n v="4"/>
    <n v="4"/>
    <n v="1048"/>
    <n v="4192"/>
    <n v="1634.88"/>
    <s v="Electronics"/>
    <x v="28"/>
  </r>
  <r>
    <n v="741"/>
    <n v="471"/>
    <n v="48"/>
    <n v="4"/>
    <n v="7076"/>
    <n v="28304"/>
    <n v="9340.32"/>
    <s v="Toys"/>
    <x v="20"/>
  </r>
  <r>
    <n v="742"/>
    <n v="471"/>
    <n v="11"/>
    <n v="1"/>
    <n v="2007"/>
    <n v="2007"/>
    <n v="873.04"/>
    <s v="Fashion"/>
    <x v="29"/>
  </r>
  <r>
    <n v="743"/>
    <n v="472"/>
    <n v="5"/>
    <n v="1"/>
    <n v="1185"/>
    <n v="1185"/>
    <n v="444.38"/>
    <s v="Electronics"/>
    <x v="21"/>
  </r>
  <r>
    <n v="744"/>
    <n v="472"/>
    <n v="18"/>
    <n v="2"/>
    <n v="2966"/>
    <n v="5932"/>
    <n v="1957.56"/>
    <s v="Fashion"/>
    <x v="30"/>
  </r>
  <r>
    <n v="745"/>
    <n v="473"/>
    <n v="12"/>
    <n v="2"/>
    <n v="2144"/>
    <n v="4288"/>
    <n v="1800.96"/>
    <s v="Fashion"/>
    <x v="22"/>
  </r>
  <r>
    <n v="746"/>
    <n v="473"/>
    <n v="25"/>
    <n v="3"/>
    <n v="3925"/>
    <n v="11775"/>
    <n v="4415.6400000000003"/>
    <s v="Home Appliances"/>
    <x v="31"/>
  </r>
  <r>
    <n v="747"/>
    <n v="474"/>
    <n v="19"/>
    <n v="3"/>
    <n v="3103"/>
    <n v="9309"/>
    <n v="2932.32"/>
    <s v="Fashion"/>
    <x v="23"/>
  </r>
  <r>
    <n v="748"/>
    <n v="474"/>
    <n v="32"/>
    <n v="4"/>
    <n v="4884"/>
    <n v="19536"/>
    <n v="8205.1200000000008"/>
    <s v="Books"/>
    <x v="32"/>
  </r>
  <r>
    <n v="749"/>
    <n v="475"/>
    <n v="26"/>
    <n v="4"/>
    <n v="4062"/>
    <n v="16248"/>
    <n v="5849.2800000000007"/>
    <s v="Home &amp; Kitchen"/>
    <x v="24"/>
  </r>
  <r>
    <n v="750"/>
    <n v="475"/>
    <n v="39"/>
    <n v="1"/>
    <n v="5843"/>
    <n v="5843"/>
    <n v="1840.54"/>
    <s v="Sports"/>
    <x v="33"/>
  </r>
  <r>
    <n v="751"/>
    <n v="476"/>
    <n v="33"/>
    <n v="1"/>
    <n v="5021"/>
    <n v="5021"/>
    <n v="2033.5"/>
    <s v="Books"/>
    <x v="25"/>
  </r>
  <r>
    <n v="752"/>
    <n v="476"/>
    <n v="46"/>
    <n v="2"/>
    <n v="6802"/>
    <n v="13604"/>
    <n v="4897.4400000000005"/>
    <s v="Toys"/>
    <x v="34"/>
  </r>
  <r>
    <n v="753"/>
    <n v="477"/>
    <n v="40"/>
    <n v="2"/>
    <n v="5980"/>
    <n v="11960"/>
    <n v="5382"/>
    <s v="Sports"/>
    <x v="26"/>
  </r>
  <r>
    <n v="754"/>
    <n v="477"/>
    <n v="3"/>
    <n v="3"/>
    <n v="911"/>
    <n v="2733"/>
    <n v="1106.8500000000001"/>
    <s v="Electronics"/>
    <x v="35"/>
  </r>
  <r>
    <n v="755"/>
    <n v="478"/>
    <n v="47"/>
    <n v="3"/>
    <n v="6939"/>
    <n v="20817"/>
    <n v="7181.8499999999995"/>
    <s v="Toys"/>
    <x v="27"/>
  </r>
  <r>
    <n v="756"/>
    <n v="478"/>
    <n v="10"/>
    <n v="4"/>
    <n v="1870"/>
    <n v="7480"/>
    <n v="3366"/>
    <s v="Electronics"/>
    <x v="36"/>
  </r>
  <r>
    <n v="757"/>
    <n v="479"/>
    <n v="4"/>
    <n v="4"/>
    <n v="1048"/>
    <n v="4192"/>
    <n v="1634.88"/>
    <s v="Electronics"/>
    <x v="28"/>
  </r>
  <r>
    <n v="758"/>
    <n v="479"/>
    <n v="17"/>
    <n v="1"/>
    <n v="2829"/>
    <n v="2829"/>
    <n v="976"/>
    <s v="Fashion"/>
    <x v="37"/>
  </r>
  <r>
    <n v="759"/>
    <n v="480"/>
    <n v="11"/>
    <n v="1"/>
    <n v="2007"/>
    <n v="2007"/>
    <n v="873.04"/>
    <s v="Fashion"/>
    <x v="29"/>
  </r>
  <r>
    <n v="760"/>
    <n v="480"/>
    <n v="24"/>
    <n v="2"/>
    <n v="3788"/>
    <n v="7576"/>
    <n v="2954.6400000000003"/>
    <s v="Home Appliances"/>
    <x v="38"/>
  </r>
  <r>
    <n v="761"/>
    <n v="481"/>
    <n v="18"/>
    <n v="2"/>
    <n v="2966"/>
    <n v="5932"/>
    <n v="1957.56"/>
    <s v="Fashion"/>
    <x v="30"/>
  </r>
  <r>
    <n v="762"/>
    <n v="481"/>
    <n v="31"/>
    <n v="3"/>
    <n v="4747"/>
    <n v="14241"/>
    <n v="6194.82"/>
    <s v="Books"/>
    <x v="39"/>
  </r>
  <r>
    <n v="763"/>
    <n v="482"/>
    <n v="25"/>
    <n v="3"/>
    <n v="3925"/>
    <n v="11775"/>
    <n v="4415.6400000000003"/>
    <s v="Home Appliances"/>
    <x v="31"/>
  </r>
  <r>
    <n v="764"/>
    <n v="482"/>
    <n v="38"/>
    <n v="4"/>
    <n v="5706"/>
    <n v="22824"/>
    <n v="7531.92"/>
    <s v="Sports"/>
    <x v="40"/>
  </r>
  <r>
    <n v="765"/>
    <n v="483"/>
    <n v="32"/>
    <n v="4"/>
    <n v="4884"/>
    <n v="19536"/>
    <n v="8205.1200000000008"/>
    <s v="Books"/>
    <x v="32"/>
  </r>
  <r>
    <n v="766"/>
    <n v="483"/>
    <n v="45"/>
    <n v="1"/>
    <n v="6665"/>
    <n v="6665"/>
    <n v="2499.38"/>
    <s v="Beauty"/>
    <x v="41"/>
  </r>
  <r>
    <n v="767"/>
    <n v="484"/>
    <n v="39"/>
    <n v="1"/>
    <n v="5843"/>
    <n v="5843"/>
    <n v="1840.54"/>
    <s v="Sports"/>
    <x v="33"/>
  </r>
  <r>
    <n v="768"/>
    <n v="484"/>
    <n v="2"/>
    <n v="2"/>
    <n v="774"/>
    <n v="1548"/>
    <n v="650.16"/>
    <s v="Electronics"/>
    <x v="42"/>
  </r>
  <r>
    <n v="769"/>
    <n v="485"/>
    <n v="46"/>
    <n v="2"/>
    <n v="6802"/>
    <n v="13604"/>
    <n v="4897.4400000000005"/>
    <s v="Toys"/>
    <x v="34"/>
  </r>
  <r>
    <n v="770"/>
    <n v="485"/>
    <n v="9"/>
    <n v="3"/>
    <n v="1733"/>
    <n v="5199"/>
    <n v="1637.6700000000003"/>
    <s v="Electronics"/>
    <x v="43"/>
  </r>
  <r>
    <n v="771"/>
    <n v="486"/>
    <n v="3"/>
    <n v="3"/>
    <n v="911"/>
    <n v="2733"/>
    <n v="1106.8500000000001"/>
    <s v="Electronics"/>
    <x v="35"/>
  </r>
  <r>
    <n v="772"/>
    <n v="486"/>
    <n v="16"/>
    <n v="4"/>
    <n v="2692"/>
    <n v="10768"/>
    <n v="3876.4799999999996"/>
    <s v="Fashion"/>
    <x v="44"/>
  </r>
  <r>
    <n v="773"/>
    <n v="487"/>
    <n v="10"/>
    <n v="4"/>
    <n v="1870"/>
    <n v="7480"/>
    <n v="3366"/>
    <s v="Electronics"/>
    <x v="36"/>
  </r>
  <r>
    <n v="774"/>
    <n v="487"/>
    <n v="23"/>
    <n v="1"/>
    <n v="3651"/>
    <n v="3651"/>
    <n v="1478.65"/>
    <s v="Home Appliances"/>
    <x v="45"/>
  </r>
  <r>
    <n v="775"/>
    <n v="488"/>
    <n v="17"/>
    <n v="1"/>
    <n v="2829"/>
    <n v="2829"/>
    <n v="976"/>
    <s v="Fashion"/>
    <x v="37"/>
  </r>
  <r>
    <n v="776"/>
    <n v="488"/>
    <n v="30"/>
    <n v="2"/>
    <n v="4610"/>
    <n v="9220"/>
    <n v="4149"/>
    <s v="Furniture"/>
    <x v="46"/>
  </r>
  <r>
    <n v="777"/>
    <n v="489"/>
    <n v="24"/>
    <n v="2"/>
    <n v="3788"/>
    <n v="7576"/>
    <n v="2954.6400000000003"/>
    <s v="Home Appliances"/>
    <x v="38"/>
  </r>
  <r>
    <n v="778"/>
    <n v="489"/>
    <n v="37"/>
    <n v="3"/>
    <n v="5569"/>
    <n v="16707"/>
    <n v="5763.9000000000005"/>
    <s v="Sports"/>
    <x v="47"/>
  </r>
  <r>
    <n v="779"/>
    <n v="490"/>
    <n v="31"/>
    <n v="3"/>
    <n v="4747"/>
    <n v="14241"/>
    <n v="6194.82"/>
    <s v="Books"/>
    <x v="39"/>
  </r>
  <r>
    <n v="780"/>
    <n v="490"/>
    <n v="44"/>
    <n v="4"/>
    <n v="6528"/>
    <n v="26112"/>
    <n v="10183.68"/>
    <s v="Beauty"/>
    <x v="48"/>
  </r>
  <r>
    <n v="781"/>
    <n v="491"/>
    <n v="38"/>
    <n v="4"/>
    <n v="5706"/>
    <n v="22824"/>
    <n v="7531.92"/>
    <s v="Sports"/>
    <x v="40"/>
  </r>
  <r>
    <n v="782"/>
    <n v="491"/>
    <n v="1"/>
    <n v="1"/>
    <n v="637"/>
    <n v="637"/>
    <n v="277.08999999999997"/>
    <s v="Electronics"/>
    <x v="49"/>
  </r>
  <r>
    <n v="783"/>
    <n v="492"/>
    <n v="45"/>
    <n v="1"/>
    <n v="6665"/>
    <n v="6665"/>
    <n v="2499.38"/>
    <s v="Beauty"/>
    <x v="41"/>
  </r>
  <r>
    <n v="784"/>
    <n v="492"/>
    <n v="8"/>
    <n v="2"/>
    <n v="1596"/>
    <n v="3192"/>
    <n v="1053.3600000000001"/>
    <s v="Electronics"/>
    <x v="0"/>
  </r>
  <r>
    <n v="785"/>
    <n v="493"/>
    <n v="2"/>
    <n v="2"/>
    <n v="774"/>
    <n v="1548"/>
    <n v="650.16"/>
    <s v="Electronics"/>
    <x v="42"/>
  </r>
  <r>
    <n v="786"/>
    <n v="493"/>
    <n v="15"/>
    <n v="3"/>
    <n v="2555"/>
    <n v="7665"/>
    <n v="2874.3599999999997"/>
    <s v="Fashion"/>
    <x v="2"/>
  </r>
  <r>
    <n v="787"/>
    <n v="494"/>
    <n v="9"/>
    <n v="3"/>
    <n v="1733"/>
    <n v="5199"/>
    <n v="1637.6700000000003"/>
    <s v="Electronics"/>
    <x v="43"/>
  </r>
  <r>
    <n v="788"/>
    <n v="494"/>
    <n v="22"/>
    <n v="4"/>
    <n v="3514"/>
    <n v="14056"/>
    <n v="5903.52"/>
    <s v="Home Appliances"/>
    <x v="4"/>
  </r>
  <r>
    <n v="789"/>
    <n v="495"/>
    <n v="16"/>
    <n v="4"/>
    <n v="2692"/>
    <n v="10768"/>
    <n v="3876.4799999999996"/>
    <s v="Fashion"/>
    <x v="44"/>
  </r>
  <r>
    <n v="790"/>
    <n v="495"/>
    <n v="29"/>
    <n v="1"/>
    <n v="4473"/>
    <n v="4473"/>
    <n v="1408.9899999999998"/>
    <s v="Furniture"/>
    <x v="6"/>
  </r>
  <r>
    <n v="791"/>
    <n v="496"/>
    <n v="23"/>
    <n v="1"/>
    <n v="3651"/>
    <n v="3651"/>
    <n v="1478.65"/>
    <s v="Home Appliances"/>
    <x v="45"/>
  </r>
  <r>
    <n v="792"/>
    <n v="496"/>
    <n v="36"/>
    <n v="2"/>
    <n v="5432"/>
    <n v="10864"/>
    <n v="3911.04"/>
    <s v="Sports"/>
    <x v="8"/>
  </r>
  <r>
    <n v="793"/>
    <n v="497"/>
    <n v="30"/>
    <n v="2"/>
    <n v="4610"/>
    <n v="9220"/>
    <n v="4149"/>
    <s v="Furniture"/>
    <x v="46"/>
  </r>
  <r>
    <n v="794"/>
    <n v="497"/>
    <n v="43"/>
    <n v="3"/>
    <n v="6391"/>
    <n v="19173"/>
    <n v="7765.0499999999993"/>
    <s v="Beauty"/>
    <x v="10"/>
  </r>
  <r>
    <n v="795"/>
    <n v="498"/>
    <n v="37"/>
    <n v="3"/>
    <n v="5569"/>
    <n v="16707"/>
    <n v="5763.9000000000005"/>
    <s v="Sports"/>
    <x v="47"/>
  </r>
  <r>
    <n v="796"/>
    <n v="498"/>
    <n v="50"/>
    <n v="4"/>
    <n v="7350"/>
    <n v="29400"/>
    <n v="13230"/>
    <s v="Toys"/>
    <x v="12"/>
  </r>
  <r>
    <n v="797"/>
    <n v="499"/>
    <n v="44"/>
    <n v="4"/>
    <n v="6528"/>
    <n v="26112"/>
    <n v="10183.68"/>
    <s v="Beauty"/>
    <x v="48"/>
  </r>
  <r>
    <n v="798"/>
    <n v="499"/>
    <n v="7"/>
    <n v="1"/>
    <n v="1459"/>
    <n v="1459"/>
    <n v="503.35"/>
    <s v="Electronics"/>
    <x v="14"/>
  </r>
  <r>
    <n v="799"/>
    <n v="500"/>
    <n v="1"/>
    <n v="1"/>
    <n v="637"/>
    <n v="637"/>
    <n v="277.08999999999997"/>
    <s v="Electronics"/>
    <x v="49"/>
  </r>
  <r>
    <n v="800"/>
    <n v="500"/>
    <n v="14"/>
    <n v="2"/>
    <n v="2418"/>
    <n v="4836"/>
    <n v="1886.04"/>
    <s v="Fashion"/>
    <x v="16"/>
  </r>
  <r>
    <n v="801"/>
    <n v="501"/>
    <n v="8"/>
    <n v="2"/>
    <n v="1596"/>
    <n v="3192"/>
    <n v="1053.3600000000001"/>
    <s v="Electronics"/>
    <x v="0"/>
  </r>
  <r>
    <n v="802"/>
    <n v="501"/>
    <n v="21"/>
    <n v="3"/>
    <n v="3377"/>
    <n v="10131"/>
    <n v="4406.97"/>
    <s v="Home Appliances"/>
    <x v="1"/>
  </r>
  <r>
    <n v="803"/>
    <n v="502"/>
    <n v="15"/>
    <n v="3"/>
    <n v="2555"/>
    <n v="7665"/>
    <n v="2874.3599999999997"/>
    <s v="Fashion"/>
    <x v="2"/>
  </r>
  <r>
    <n v="804"/>
    <n v="502"/>
    <n v="28"/>
    <n v="4"/>
    <n v="4336"/>
    <n v="17344"/>
    <n v="5723.52"/>
    <s v="Home &amp; Kitchen"/>
    <x v="3"/>
  </r>
  <r>
    <n v="805"/>
    <n v="503"/>
    <n v="22"/>
    <n v="4"/>
    <n v="3514"/>
    <n v="14056"/>
    <n v="5903.52"/>
    <s v="Home Appliances"/>
    <x v="4"/>
  </r>
  <r>
    <n v="806"/>
    <n v="503"/>
    <n v="35"/>
    <n v="1"/>
    <n v="5295"/>
    <n v="5295"/>
    <n v="1985.62"/>
    <s v="Books"/>
    <x v="5"/>
  </r>
  <r>
    <n v="807"/>
    <n v="504"/>
    <n v="29"/>
    <n v="1"/>
    <n v="4473"/>
    <n v="4473"/>
    <n v="1408.9899999999998"/>
    <s v="Furniture"/>
    <x v="6"/>
  </r>
  <r>
    <n v="808"/>
    <n v="504"/>
    <n v="42"/>
    <n v="2"/>
    <n v="6254"/>
    <n v="12508"/>
    <n v="5253.36"/>
    <s v="Beauty"/>
    <x v="7"/>
  </r>
  <r>
    <n v="809"/>
    <n v="505"/>
    <n v="36"/>
    <n v="2"/>
    <n v="5432"/>
    <n v="10864"/>
    <n v="3911.04"/>
    <s v="Sports"/>
    <x v="8"/>
  </r>
  <r>
    <n v="810"/>
    <n v="505"/>
    <n v="49"/>
    <n v="3"/>
    <n v="7213"/>
    <n v="21639"/>
    <n v="6816.27"/>
    <s v="Toys"/>
    <x v="9"/>
  </r>
  <r>
    <n v="811"/>
    <n v="506"/>
    <n v="43"/>
    <n v="3"/>
    <n v="6391"/>
    <n v="19173"/>
    <n v="7765.0499999999993"/>
    <s v="Beauty"/>
    <x v="10"/>
  </r>
  <r>
    <n v="812"/>
    <n v="506"/>
    <n v="6"/>
    <n v="4"/>
    <n v="1322"/>
    <n v="5288"/>
    <n v="1903.6799999999998"/>
    <s v="Electronics"/>
    <x v="11"/>
  </r>
  <r>
    <n v="813"/>
    <n v="507"/>
    <n v="50"/>
    <n v="4"/>
    <n v="7350"/>
    <n v="29400"/>
    <n v="13230"/>
    <s v="Toys"/>
    <x v="12"/>
  </r>
  <r>
    <n v="814"/>
    <n v="507"/>
    <n v="13"/>
    <n v="1"/>
    <n v="2281"/>
    <n v="2281"/>
    <n v="923.8"/>
    <s v="Fashion"/>
    <x v="13"/>
  </r>
  <r>
    <n v="815"/>
    <n v="508"/>
    <n v="7"/>
    <n v="1"/>
    <n v="1459"/>
    <n v="1459"/>
    <n v="503.35"/>
    <s v="Electronics"/>
    <x v="14"/>
  </r>
  <r>
    <n v="816"/>
    <n v="508"/>
    <n v="20"/>
    <n v="2"/>
    <n v="3240"/>
    <n v="6480"/>
    <n v="2916"/>
    <s v="Fashion"/>
    <x v="15"/>
  </r>
  <r>
    <n v="817"/>
    <n v="509"/>
    <n v="14"/>
    <n v="2"/>
    <n v="2418"/>
    <n v="4836"/>
    <n v="1886.04"/>
    <s v="Fashion"/>
    <x v="16"/>
  </r>
  <r>
    <n v="818"/>
    <n v="509"/>
    <n v="27"/>
    <n v="3"/>
    <n v="4199"/>
    <n v="12597"/>
    <n v="4345.9500000000007"/>
    <s v="Home &amp; Kitchen"/>
    <x v="17"/>
  </r>
  <r>
    <n v="819"/>
    <n v="510"/>
    <n v="21"/>
    <n v="3"/>
    <n v="3377"/>
    <n v="10131"/>
    <n v="4406.97"/>
    <s v="Home Appliances"/>
    <x v="1"/>
  </r>
  <r>
    <n v="820"/>
    <n v="510"/>
    <n v="34"/>
    <n v="4"/>
    <n v="5158"/>
    <n v="20632"/>
    <n v="8046.48"/>
    <s v="Books"/>
    <x v="18"/>
  </r>
  <r>
    <n v="821"/>
    <n v="511"/>
    <n v="28"/>
    <n v="4"/>
    <n v="4336"/>
    <n v="17344"/>
    <n v="5723.52"/>
    <s v="Home &amp; Kitchen"/>
    <x v="3"/>
  </r>
  <r>
    <n v="822"/>
    <n v="511"/>
    <n v="41"/>
    <n v="1"/>
    <n v="6117"/>
    <n v="6117"/>
    <n v="2660.89"/>
    <s v="Beauty"/>
    <x v="19"/>
  </r>
  <r>
    <n v="823"/>
    <n v="512"/>
    <n v="35"/>
    <n v="1"/>
    <n v="5295"/>
    <n v="5295"/>
    <n v="1985.62"/>
    <s v="Books"/>
    <x v="5"/>
  </r>
  <r>
    <n v="824"/>
    <n v="512"/>
    <n v="48"/>
    <n v="2"/>
    <n v="7076"/>
    <n v="14152"/>
    <n v="4670.16"/>
    <s v="Toys"/>
    <x v="20"/>
  </r>
  <r>
    <n v="825"/>
    <n v="513"/>
    <n v="42"/>
    <n v="2"/>
    <n v="6254"/>
    <n v="12508"/>
    <n v="5253.36"/>
    <s v="Beauty"/>
    <x v="7"/>
  </r>
  <r>
    <n v="826"/>
    <n v="513"/>
    <n v="5"/>
    <n v="3"/>
    <n v="1185"/>
    <n v="3555"/>
    <n v="1333.1399999999999"/>
    <s v="Electronics"/>
    <x v="21"/>
  </r>
  <r>
    <n v="827"/>
    <n v="514"/>
    <n v="49"/>
    <n v="3"/>
    <n v="7213"/>
    <n v="21639"/>
    <n v="6816.27"/>
    <s v="Toys"/>
    <x v="9"/>
  </r>
  <r>
    <n v="828"/>
    <n v="514"/>
    <n v="12"/>
    <n v="4"/>
    <n v="2144"/>
    <n v="8576"/>
    <n v="3601.92"/>
    <s v="Fashion"/>
    <x v="22"/>
  </r>
  <r>
    <n v="829"/>
    <n v="515"/>
    <n v="6"/>
    <n v="4"/>
    <n v="1322"/>
    <n v="5288"/>
    <n v="1903.6799999999998"/>
    <s v="Electronics"/>
    <x v="11"/>
  </r>
  <r>
    <n v="830"/>
    <n v="515"/>
    <n v="19"/>
    <n v="1"/>
    <n v="3103"/>
    <n v="3103"/>
    <n v="977.44"/>
    <s v="Fashion"/>
    <x v="23"/>
  </r>
  <r>
    <n v="831"/>
    <n v="516"/>
    <n v="13"/>
    <n v="1"/>
    <n v="2281"/>
    <n v="2281"/>
    <n v="923.8"/>
    <s v="Fashion"/>
    <x v="13"/>
  </r>
  <r>
    <n v="832"/>
    <n v="516"/>
    <n v="26"/>
    <n v="2"/>
    <n v="4062"/>
    <n v="8124"/>
    <n v="2924.6400000000003"/>
    <s v="Home &amp; Kitchen"/>
    <x v="24"/>
  </r>
  <r>
    <n v="833"/>
    <n v="517"/>
    <n v="20"/>
    <n v="2"/>
    <n v="3240"/>
    <n v="6480"/>
    <n v="2916"/>
    <s v="Fashion"/>
    <x v="15"/>
  </r>
  <r>
    <n v="834"/>
    <n v="517"/>
    <n v="33"/>
    <n v="3"/>
    <n v="5021"/>
    <n v="15063"/>
    <n v="6100.5"/>
    <s v="Books"/>
    <x v="25"/>
  </r>
  <r>
    <n v="835"/>
    <n v="518"/>
    <n v="27"/>
    <n v="3"/>
    <n v="4199"/>
    <n v="12597"/>
    <n v="4345.9500000000007"/>
    <s v="Home &amp; Kitchen"/>
    <x v="17"/>
  </r>
  <r>
    <n v="836"/>
    <n v="518"/>
    <n v="40"/>
    <n v="4"/>
    <n v="5980"/>
    <n v="23920"/>
    <n v="10764"/>
    <s v="Sports"/>
    <x v="26"/>
  </r>
  <r>
    <n v="837"/>
    <n v="519"/>
    <n v="34"/>
    <n v="4"/>
    <n v="5158"/>
    <n v="20632"/>
    <n v="8046.48"/>
    <s v="Books"/>
    <x v="18"/>
  </r>
  <r>
    <n v="838"/>
    <n v="519"/>
    <n v="47"/>
    <n v="1"/>
    <n v="6939"/>
    <n v="6939"/>
    <n v="2393.9499999999998"/>
    <s v="Toys"/>
    <x v="27"/>
  </r>
  <r>
    <n v="839"/>
    <n v="520"/>
    <n v="41"/>
    <n v="1"/>
    <n v="6117"/>
    <n v="6117"/>
    <n v="2660.89"/>
    <s v="Beauty"/>
    <x v="19"/>
  </r>
  <r>
    <n v="840"/>
    <n v="520"/>
    <n v="4"/>
    <n v="2"/>
    <n v="1048"/>
    <n v="2096"/>
    <n v="817.44"/>
    <s v="Electronics"/>
    <x v="28"/>
  </r>
  <r>
    <n v="841"/>
    <n v="521"/>
    <n v="48"/>
    <n v="2"/>
    <n v="7076"/>
    <n v="14152"/>
    <n v="4670.16"/>
    <s v="Toys"/>
    <x v="20"/>
  </r>
  <r>
    <n v="842"/>
    <n v="521"/>
    <n v="11"/>
    <n v="3"/>
    <n v="2007"/>
    <n v="6021"/>
    <n v="2619.12"/>
    <s v="Fashion"/>
    <x v="29"/>
  </r>
  <r>
    <n v="843"/>
    <n v="522"/>
    <n v="5"/>
    <n v="3"/>
    <n v="1185"/>
    <n v="3555"/>
    <n v="1333.1399999999999"/>
    <s v="Electronics"/>
    <x v="21"/>
  </r>
  <r>
    <n v="844"/>
    <n v="522"/>
    <n v="18"/>
    <n v="4"/>
    <n v="2966"/>
    <n v="11864"/>
    <n v="3915.12"/>
    <s v="Fashion"/>
    <x v="30"/>
  </r>
  <r>
    <n v="845"/>
    <n v="523"/>
    <n v="12"/>
    <n v="4"/>
    <n v="2144"/>
    <n v="8576"/>
    <n v="3601.92"/>
    <s v="Fashion"/>
    <x v="22"/>
  </r>
  <r>
    <n v="846"/>
    <n v="523"/>
    <n v="25"/>
    <n v="1"/>
    <n v="3925"/>
    <n v="3925"/>
    <n v="1471.88"/>
    <s v="Home Appliances"/>
    <x v="31"/>
  </r>
  <r>
    <n v="847"/>
    <n v="524"/>
    <n v="19"/>
    <n v="1"/>
    <n v="3103"/>
    <n v="3103"/>
    <n v="977.44"/>
    <s v="Fashion"/>
    <x v="23"/>
  </r>
  <r>
    <n v="848"/>
    <n v="524"/>
    <n v="32"/>
    <n v="2"/>
    <n v="4884"/>
    <n v="9768"/>
    <n v="4102.5600000000004"/>
    <s v="Books"/>
    <x v="32"/>
  </r>
  <r>
    <n v="849"/>
    <n v="525"/>
    <n v="26"/>
    <n v="2"/>
    <n v="4062"/>
    <n v="8124"/>
    <n v="2924.6400000000003"/>
    <s v="Home &amp; Kitchen"/>
    <x v="24"/>
  </r>
  <r>
    <n v="850"/>
    <n v="525"/>
    <n v="39"/>
    <n v="3"/>
    <n v="5843"/>
    <n v="17529"/>
    <n v="5521.62"/>
    <s v="Sports"/>
    <x v="33"/>
  </r>
  <r>
    <n v="851"/>
    <n v="526"/>
    <n v="33"/>
    <n v="3"/>
    <n v="5021"/>
    <n v="15063"/>
    <n v="6100.5"/>
    <s v="Books"/>
    <x v="25"/>
  </r>
  <r>
    <n v="852"/>
    <n v="526"/>
    <n v="46"/>
    <n v="4"/>
    <n v="6802"/>
    <n v="27208"/>
    <n v="9794.880000000001"/>
    <s v="Toys"/>
    <x v="34"/>
  </r>
  <r>
    <n v="853"/>
    <n v="527"/>
    <n v="40"/>
    <n v="4"/>
    <n v="5980"/>
    <n v="23920"/>
    <n v="10764"/>
    <s v="Sports"/>
    <x v="26"/>
  </r>
  <r>
    <n v="854"/>
    <n v="527"/>
    <n v="3"/>
    <n v="1"/>
    <n v="911"/>
    <n v="911"/>
    <n v="368.95000000000005"/>
    <s v="Electronics"/>
    <x v="35"/>
  </r>
  <r>
    <n v="855"/>
    <n v="528"/>
    <n v="47"/>
    <n v="1"/>
    <n v="6939"/>
    <n v="6939"/>
    <n v="2393.9499999999998"/>
    <s v="Toys"/>
    <x v="27"/>
  </r>
  <r>
    <n v="856"/>
    <n v="528"/>
    <n v="10"/>
    <n v="2"/>
    <n v="1870"/>
    <n v="3740"/>
    <n v="1683"/>
    <s v="Electronics"/>
    <x v="36"/>
  </r>
  <r>
    <n v="857"/>
    <n v="529"/>
    <n v="4"/>
    <n v="2"/>
    <n v="1048"/>
    <n v="2096"/>
    <n v="817.44"/>
    <s v="Electronics"/>
    <x v="28"/>
  </r>
  <r>
    <n v="858"/>
    <n v="529"/>
    <n v="17"/>
    <n v="3"/>
    <n v="2829"/>
    <n v="8487"/>
    <n v="2928"/>
    <s v="Fashion"/>
    <x v="37"/>
  </r>
  <r>
    <n v="859"/>
    <n v="530"/>
    <n v="11"/>
    <n v="3"/>
    <n v="2007"/>
    <n v="6021"/>
    <n v="2619.12"/>
    <s v="Fashion"/>
    <x v="29"/>
  </r>
  <r>
    <n v="860"/>
    <n v="530"/>
    <n v="24"/>
    <n v="4"/>
    <n v="3788"/>
    <n v="15152"/>
    <n v="5909.2800000000007"/>
    <s v="Home Appliances"/>
    <x v="38"/>
  </r>
  <r>
    <n v="861"/>
    <n v="531"/>
    <n v="18"/>
    <n v="4"/>
    <n v="2966"/>
    <n v="11864"/>
    <n v="3915.12"/>
    <s v="Fashion"/>
    <x v="30"/>
  </r>
  <r>
    <n v="862"/>
    <n v="531"/>
    <n v="31"/>
    <n v="1"/>
    <n v="4747"/>
    <n v="4747"/>
    <n v="2064.94"/>
    <s v="Books"/>
    <x v="39"/>
  </r>
  <r>
    <n v="863"/>
    <n v="532"/>
    <n v="25"/>
    <n v="1"/>
    <n v="3925"/>
    <n v="3925"/>
    <n v="1471.88"/>
    <s v="Home Appliances"/>
    <x v="31"/>
  </r>
  <r>
    <n v="864"/>
    <n v="532"/>
    <n v="38"/>
    <n v="2"/>
    <n v="5706"/>
    <n v="11412"/>
    <n v="3765.96"/>
    <s v="Sports"/>
    <x v="40"/>
  </r>
  <r>
    <n v="865"/>
    <n v="533"/>
    <n v="32"/>
    <n v="2"/>
    <n v="4884"/>
    <n v="9768"/>
    <n v="4102.5600000000004"/>
    <s v="Books"/>
    <x v="32"/>
  </r>
  <r>
    <n v="866"/>
    <n v="533"/>
    <n v="45"/>
    <n v="3"/>
    <n v="6665"/>
    <n v="19995"/>
    <n v="7498.14"/>
    <s v="Beauty"/>
    <x v="41"/>
  </r>
  <r>
    <n v="867"/>
    <n v="534"/>
    <n v="39"/>
    <n v="3"/>
    <n v="5843"/>
    <n v="17529"/>
    <n v="5521.62"/>
    <s v="Sports"/>
    <x v="33"/>
  </r>
  <r>
    <n v="868"/>
    <n v="534"/>
    <n v="2"/>
    <n v="4"/>
    <n v="774"/>
    <n v="3096"/>
    <n v="1300.32"/>
    <s v="Electronics"/>
    <x v="42"/>
  </r>
  <r>
    <n v="869"/>
    <n v="535"/>
    <n v="46"/>
    <n v="4"/>
    <n v="6802"/>
    <n v="27208"/>
    <n v="9794.880000000001"/>
    <s v="Toys"/>
    <x v="34"/>
  </r>
  <r>
    <n v="870"/>
    <n v="535"/>
    <n v="9"/>
    <n v="1"/>
    <n v="1733"/>
    <n v="1733"/>
    <n v="545.8900000000001"/>
    <s v="Electronics"/>
    <x v="43"/>
  </r>
  <r>
    <n v="871"/>
    <n v="536"/>
    <n v="3"/>
    <n v="1"/>
    <n v="911"/>
    <n v="911"/>
    <n v="368.95000000000005"/>
    <s v="Electronics"/>
    <x v="35"/>
  </r>
  <r>
    <n v="872"/>
    <n v="536"/>
    <n v="16"/>
    <n v="2"/>
    <n v="2692"/>
    <n v="5384"/>
    <n v="1938.2399999999998"/>
    <s v="Fashion"/>
    <x v="44"/>
  </r>
  <r>
    <n v="873"/>
    <n v="537"/>
    <n v="10"/>
    <n v="2"/>
    <n v="1870"/>
    <n v="3740"/>
    <n v="1683"/>
    <s v="Electronics"/>
    <x v="36"/>
  </r>
  <r>
    <n v="874"/>
    <n v="537"/>
    <n v="23"/>
    <n v="3"/>
    <n v="3651"/>
    <n v="10953"/>
    <n v="4435.9500000000007"/>
    <s v="Home Appliances"/>
    <x v="45"/>
  </r>
  <r>
    <n v="875"/>
    <n v="538"/>
    <n v="17"/>
    <n v="3"/>
    <n v="2829"/>
    <n v="8487"/>
    <n v="2928"/>
    <s v="Fashion"/>
    <x v="37"/>
  </r>
  <r>
    <n v="876"/>
    <n v="538"/>
    <n v="30"/>
    <n v="4"/>
    <n v="4610"/>
    <n v="18440"/>
    <n v="8298"/>
    <s v="Furniture"/>
    <x v="46"/>
  </r>
  <r>
    <n v="877"/>
    <n v="539"/>
    <n v="24"/>
    <n v="4"/>
    <n v="3788"/>
    <n v="15152"/>
    <n v="5909.2800000000007"/>
    <s v="Home Appliances"/>
    <x v="38"/>
  </r>
  <r>
    <n v="878"/>
    <n v="539"/>
    <n v="37"/>
    <n v="1"/>
    <n v="5569"/>
    <n v="5569"/>
    <n v="1921.3000000000002"/>
    <s v="Sports"/>
    <x v="47"/>
  </r>
  <r>
    <n v="879"/>
    <n v="540"/>
    <n v="31"/>
    <n v="1"/>
    <n v="4747"/>
    <n v="4747"/>
    <n v="2064.94"/>
    <s v="Books"/>
    <x v="39"/>
  </r>
  <r>
    <n v="880"/>
    <n v="540"/>
    <n v="44"/>
    <n v="2"/>
    <n v="6528"/>
    <n v="13056"/>
    <n v="5091.84"/>
    <s v="Beauty"/>
    <x v="48"/>
  </r>
  <r>
    <n v="881"/>
    <n v="541"/>
    <n v="38"/>
    <n v="2"/>
    <n v="5706"/>
    <n v="11412"/>
    <n v="3765.96"/>
    <s v="Sports"/>
    <x v="40"/>
  </r>
  <r>
    <n v="882"/>
    <n v="541"/>
    <n v="1"/>
    <n v="3"/>
    <n v="637"/>
    <n v="1911"/>
    <n v="831.27"/>
    <s v="Electronics"/>
    <x v="49"/>
  </r>
  <r>
    <n v="883"/>
    <n v="542"/>
    <n v="45"/>
    <n v="3"/>
    <n v="6665"/>
    <n v="19995"/>
    <n v="7498.14"/>
    <s v="Beauty"/>
    <x v="41"/>
  </r>
  <r>
    <n v="884"/>
    <n v="542"/>
    <n v="8"/>
    <n v="4"/>
    <n v="1596"/>
    <n v="6384"/>
    <n v="2106.7200000000003"/>
    <s v="Electronics"/>
    <x v="0"/>
  </r>
  <r>
    <n v="885"/>
    <n v="543"/>
    <n v="2"/>
    <n v="4"/>
    <n v="774"/>
    <n v="3096"/>
    <n v="1300.32"/>
    <s v="Electronics"/>
    <x v="42"/>
  </r>
  <r>
    <n v="886"/>
    <n v="543"/>
    <n v="15"/>
    <n v="1"/>
    <n v="2555"/>
    <n v="2555"/>
    <n v="958.11999999999989"/>
    <s v="Fashion"/>
    <x v="2"/>
  </r>
  <r>
    <n v="887"/>
    <n v="544"/>
    <n v="9"/>
    <n v="1"/>
    <n v="1733"/>
    <n v="1733"/>
    <n v="545.8900000000001"/>
    <s v="Electronics"/>
    <x v="43"/>
  </r>
  <r>
    <n v="888"/>
    <n v="544"/>
    <n v="22"/>
    <n v="2"/>
    <n v="3514"/>
    <n v="7028"/>
    <n v="2951.76"/>
    <s v="Home Appliances"/>
    <x v="4"/>
  </r>
  <r>
    <n v="889"/>
    <n v="545"/>
    <n v="16"/>
    <n v="2"/>
    <n v="2692"/>
    <n v="5384"/>
    <n v="1938.2399999999998"/>
    <s v="Fashion"/>
    <x v="44"/>
  </r>
  <r>
    <n v="890"/>
    <n v="545"/>
    <n v="29"/>
    <n v="3"/>
    <n v="4473"/>
    <n v="13419"/>
    <n v="4226.9699999999993"/>
    <s v="Furniture"/>
    <x v="6"/>
  </r>
  <r>
    <n v="891"/>
    <n v="546"/>
    <n v="23"/>
    <n v="3"/>
    <n v="3651"/>
    <n v="10953"/>
    <n v="4435.9500000000007"/>
    <s v="Home Appliances"/>
    <x v="45"/>
  </r>
  <r>
    <n v="892"/>
    <n v="546"/>
    <n v="36"/>
    <n v="4"/>
    <n v="5432"/>
    <n v="21728"/>
    <n v="7822.08"/>
    <s v="Sports"/>
    <x v="8"/>
  </r>
  <r>
    <n v="893"/>
    <n v="547"/>
    <n v="30"/>
    <n v="4"/>
    <n v="4610"/>
    <n v="18440"/>
    <n v="8298"/>
    <s v="Furniture"/>
    <x v="46"/>
  </r>
  <r>
    <n v="894"/>
    <n v="547"/>
    <n v="43"/>
    <n v="1"/>
    <n v="6391"/>
    <n v="6391"/>
    <n v="2588.35"/>
    <s v="Beauty"/>
    <x v="10"/>
  </r>
  <r>
    <n v="895"/>
    <n v="548"/>
    <n v="37"/>
    <n v="1"/>
    <n v="5569"/>
    <n v="5569"/>
    <n v="1921.3000000000002"/>
    <s v="Sports"/>
    <x v="47"/>
  </r>
  <r>
    <n v="896"/>
    <n v="548"/>
    <n v="50"/>
    <n v="2"/>
    <n v="7350"/>
    <n v="14700"/>
    <n v="6615"/>
    <s v="Toys"/>
    <x v="12"/>
  </r>
  <r>
    <n v="897"/>
    <n v="549"/>
    <n v="44"/>
    <n v="2"/>
    <n v="6528"/>
    <n v="13056"/>
    <n v="5091.84"/>
    <s v="Beauty"/>
    <x v="48"/>
  </r>
  <r>
    <n v="898"/>
    <n v="549"/>
    <n v="7"/>
    <n v="3"/>
    <n v="1459"/>
    <n v="4377"/>
    <n v="1510.0500000000002"/>
    <s v="Electronics"/>
    <x v="14"/>
  </r>
  <r>
    <n v="899"/>
    <n v="550"/>
    <n v="1"/>
    <n v="3"/>
    <n v="637"/>
    <n v="1911"/>
    <n v="831.27"/>
    <s v="Electronics"/>
    <x v="49"/>
  </r>
  <r>
    <n v="900"/>
    <n v="550"/>
    <n v="14"/>
    <n v="4"/>
    <n v="2418"/>
    <n v="9672"/>
    <n v="3772.08"/>
    <s v="Fashion"/>
    <x v="16"/>
  </r>
  <r>
    <n v="901"/>
    <n v="551"/>
    <n v="8"/>
    <n v="4"/>
    <n v="1596"/>
    <n v="6384"/>
    <n v="2106.7200000000003"/>
    <s v="Electronics"/>
    <x v="0"/>
  </r>
  <r>
    <n v="902"/>
    <n v="551"/>
    <n v="21"/>
    <n v="1"/>
    <n v="3377"/>
    <n v="3377"/>
    <n v="1468.99"/>
    <s v="Home Appliances"/>
    <x v="1"/>
  </r>
  <r>
    <n v="903"/>
    <n v="552"/>
    <n v="15"/>
    <n v="1"/>
    <n v="2555"/>
    <n v="2555"/>
    <n v="958.11999999999989"/>
    <s v="Fashion"/>
    <x v="2"/>
  </r>
  <r>
    <n v="904"/>
    <n v="552"/>
    <n v="28"/>
    <n v="2"/>
    <n v="4336"/>
    <n v="8672"/>
    <n v="2861.76"/>
    <s v="Home &amp; Kitchen"/>
    <x v="3"/>
  </r>
  <r>
    <n v="905"/>
    <n v="553"/>
    <n v="22"/>
    <n v="2"/>
    <n v="3514"/>
    <n v="7028"/>
    <n v="2951.76"/>
    <s v="Home Appliances"/>
    <x v="4"/>
  </r>
  <r>
    <n v="906"/>
    <n v="553"/>
    <n v="35"/>
    <n v="3"/>
    <n v="5295"/>
    <n v="15885"/>
    <n v="5956.86"/>
    <s v="Books"/>
    <x v="5"/>
  </r>
  <r>
    <n v="907"/>
    <n v="554"/>
    <n v="29"/>
    <n v="3"/>
    <n v="4473"/>
    <n v="13419"/>
    <n v="4226.9699999999993"/>
    <s v="Furniture"/>
    <x v="6"/>
  </r>
  <r>
    <n v="908"/>
    <n v="554"/>
    <n v="42"/>
    <n v="4"/>
    <n v="6254"/>
    <n v="25016"/>
    <n v="10506.72"/>
    <s v="Beauty"/>
    <x v="7"/>
  </r>
  <r>
    <n v="909"/>
    <n v="555"/>
    <n v="36"/>
    <n v="4"/>
    <n v="5432"/>
    <n v="21728"/>
    <n v="7822.08"/>
    <s v="Sports"/>
    <x v="8"/>
  </r>
  <r>
    <n v="910"/>
    <n v="555"/>
    <n v="49"/>
    <n v="1"/>
    <n v="7213"/>
    <n v="7213"/>
    <n v="2272.09"/>
    <s v="Toys"/>
    <x v="9"/>
  </r>
  <r>
    <n v="911"/>
    <n v="556"/>
    <n v="43"/>
    <n v="1"/>
    <n v="6391"/>
    <n v="6391"/>
    <n v="2588.35"/>
    <s v="Beauty"/>
    <x v="10"/>
  </r>
  <r>
    <n v="912"/>
    <n v="556"/>
    <n v="6"/>
    <n v="2"/>
    <n v="1322"/>
    <n v="2644"/>
    <n v="951.83999999999992"/>
    <s v="Electronics"/>
    <x v="11"/>
  </r>
  <r>
    <n v="913"/>
    <n v="557"/>
    <n v="50"/>
    <n v="2"/>
    <n v="7350"/>
    <n v="14700"/>
    <n v="6615"/>
    <s v="Toys"/>
    <x v="12"/>
  </r>
  <r>
    <n v="914"/>
    <n v="557"/>
    <n v="13"/>
    <n v="3"/>
    <n v="2281"/>
    <n v="6843"/>
    <n v="2771.3999999999996"/>
    <s v="Fashion"/>
    <x v="13"/>
  </r>
  <r>
    <n v="915"/>
    <n v="558"/>
    <n v="7"/>
    <n v="3"/>
    <n v="1459"/>
    <n v="4377"/>
    <n v="1510.0500000000002"/>
    <s v="Electronics"/>
    <x v="14"/>
  </r>
  <r>
    <n v="916"/>
    <n v="558"/>
    <n v="20"/>
    <n v="4"/>
    <n v="3240"/>
    <n v="12960"/>
    <n v="5832"/>
    <s v="Fashion"/>
    <x v="15"/>
  </r>
  <r>
    <n v="917"/>
    <n v="559"/>
    <n v="14"/>
    <n v="4"/>
    <n v="2418"/>
    <n v="9672"/>
    <n v="3772.08"/>
    <s v="Fashion"/>
    <x v="16"/>
  </r>
  <r>
    <n v="918"/>
    <n v="559"/>
    <n v="27"/>
    <n v="1"/>
    <n v="4199"/>
    <n v="4199"/>
    <n v="1448.65"/>
    <s v="Home &amp; Kitchen"/>
    <x v="17"/>
  </r>
  <r>
    <n v="919"/>
    <n v="560"/>
    <n v="21"/>
    <n v="1"/>
    <n v="3377"/>
    <n v="3377"/>
    <n v="1468.99"/>
    <s v="Home Appliances"/>
    <x v="1"/>
  </r>
  <r>
    <n v="920"/>
    <n v="560"/>
    <n v="34"/>
    <n v="2"/>
    <n v="5158"/>
    <n v="10316"/>
    <n v="4023.24"/>
    <s v="Books"/>
    <x v="18"/>
  </r>
  <r>
    <n v="921"/>
    <n v="561"/>
    <n v="28"/>
    <n v="2"/>
    <n v="4336"/>
    <n v="8672"/>
    <n v="2861.76"/>
    <s v="Home &amp; Kitchen"/>
    <x v="3"/>
  </r>
  <r>
    <n v="922"/>
    <n v="561"/>
    <n v="41"/>
    <n v="3"/>
    <n v="6117"/>
    <n v="18351"/>
    <n v="7982.67"/>
    <s v="Beauty"/>
    <x v="19"/>
  </r>
  <r>
    <n v="923"/>
    <n v="562"/>
    <n v="35"/>
    <n v="3"/>
    <n v="5295"/>
    <n v="15885"/>
    <n v="5956.86"/>
    <s v="Books"/>
    <x v="5"/>
  </r>
  <r>
    <n v="924"/>
    <n v="562"/>
    <n v="48"/>
    <n v="4"/>
    <n v="7076"/>
    <n v="28304"/>
    <n v="9340.32"/>
    <s v="Toys"/>
    <x v="20"/>
  </r>
  <r>
    <n v="925"/>
    <n v="563"/>
    <n v="42"/>
    <n v="4"/>
    <n v="6254"/>
    <n v="25016"/>
    <n v="10506.72"/>
    <s v="Beauty"/>
    <x v="7"/>
  </r>
  <r>
    <n v="926"/>
    <n v="563"/>
    <n v="5"/>
    <n v="1"/>
    <n v="1185"/>
    <n v="1185"/>
    <n v="444.38"/>
    <s v="Electronics"/>
    <x v="21"/>
  </r>
  <r>
    <n v="927"/>
    <n v="564"/>
    <n v="49"/>
    <n v="1"/>
    <n v="7213"/>
    <n v="7213"/>
    <n v="2272.09"/>
    <s v="Toys"/>
    <x v="9"/>
  </r>
  <r>
    <n v="928"/>
    <n v="564"/>
    <n v="12"/>
    <n v="2"/>
    <n v="2144"/>
    <n v="4288"/>
    <n v="1800.96"/>
    <s v="Fashion"/>
    <x v="22"/>
  </r>
  <r>
    <n v="929"/>
    <n v="565"/>
    <n v="6"/>
    <n v="2"/>
    <n v="1322"/>
    <n v="2644"/>
    <n v="951.83999999999992"/>
    <s v="Electronics"/>
    <x v="11"/>
  </r>
  <r>
    <n v="930"/>
    <n v="565"/>
    <n v="19"/>
    <n v="3"/>
    <n v="3103"/>
    <n v="9309"/>
    <n v="2932.32"/>
    <s v="Fashion"/>
    <x v="23"/>
  </r>
  <r>
    <n v="931"/>
    <n v="566"/>
    <n v="13"/>
    <n v="3"/>
    <n v="2281"/>
    <n v="6843"/>
    <n v="2771.3999999999996"/>
    <s v="Fashion"/>
    <x v="13"/>
  </r>
  <r>
    <n v="932"/>
    <n v="566"/>
    <n v="26"/>
    <n v="4"/>
    <n v="4062"/>
    <n v="16248"/>
    <n v="5849.2800000000007"/>
    <s v="Home &amp; Kitchen"/>
    <x v="24"/>
  </r>
  <r>
    <n v="933"/>
    <n v="567"/>
    <n v="20"/>
    <n v="4"/>
    <n v="3240"/>
    <n v="12960"/>
    <n v="5832"/>
    <s v="Fashion"/>
    <x v="15"/>
  </r>
  <r>
    <n v="934"/>
    <n v="567"/>
    <n v="33"/>
    <n v="1"/>
    <n v="5021"/>
    <n v="5021"/>
    <n v="2033.5"/>
    <s v="Books"/>
    <x v="25"/>
  </r>
  <r>
    <n v="935"/>
    <n v="568"/>
    <n v="27"/>
    <n v="1"/>
    <n v="4199"/>
    <n v="4199"/>
    <n v="1448.65"/>
    <s v="Home &amp; Kitchen"/>
    <x v="17"/>
  </r>
  <r>
    <n v="936"/>
    <n v="568"/>
    <n v="40"/>
    <n v="2"/>
    <n v="5980"/>
    <n v="11960"/>
    <n v="5382"/>
    <s v="Sports"/>
    <x v="26"/>
  </r>
  <r>
    <n v="937"/>
    <n v="569"/>
    <n v="34"/>
    <n v="2"/>
    <n v="5158"/>
    <n v="10316"/>
    <n v="4023.24"/>
    <s v="Books"/>
    <x v="18"/>
  </r>
  <r>
    <n v="938"/>
    <n v="569"/>
    <n v="47"/>
    <n v="3"/>
    <n v="6939"/>
    <n v="20817"/>
    <n v="7181.8499999999995"/>
    <s v="Toys"/>
    <x v="27"/>
  </r>
  <r>
    <n v="939"/>
    <n v="570"/>
    <n v="41"/>
    <n v="3"/>
    <n v="6117"/>
    <n v="18351"/>
    <n v="7982.67"/>
    <s v="Beauty"/>
    <x v="19"/>
  </r>
  <r>
    <n v="940"/>
    <n v="570"/>
    <n v="4"/>
    <n v="4"/>
    <n v="1048"/>
    <n v="4192"/>
    <n v="1634.88"/>
    <s v="Electronics"/>
    <x v="28"/>
  </r>
  <r>
    <n v="941"/>
    <n v="571"/>
    <n v="48"/>
    <n v="4"/>
    <n v="7076"/>
    <n v="28304"/>
    <n v="9340.32"/>
    <s v="Toys"/>
    <x v="20"/>
  </r>
  <r>
    <n v="942"/>
    <n v="571"/>
    <n v="11"/>
    <n v="1"/>
    <n v="2007"/>
    <n v="2007"/>
    <n v="873.04"/>
    <s v="Fashion"/>
    <x v="29"/>
  </r>
  <r>
    <n v="943"/>
    <n v="572"/>
    <n v="5"/>
    <n v="1"/>
    <n v="1185"/>
    <n v="1185"/>
    <n v="444.38"/>
    <s v="Electronics"/>
    <x v="21"/>
  </r>
  <r>
    <n v="944"/>
    <n v="572"/>
    <n v="18"/>
    <n v="2"/>
    <n v="2966"/>
    <n v="5932"/>
    <n v="1957.56"/>
    <s v="Fashion"/>
    <x v="30"/>
  </r>
  <r>
    <n v="945"/>
    <n v="573"/>
    <n v="12"/>
    <n v="2"/>
    <n v="2144"/>
    <n v="4288"/>
    <n v="1800.96"/>
    <s v="Fashion"/>
    <x v="22"/>
  </r>
  <r>
    <n v="946"/>
    <n v="573"/>
    <n v="25"/>
    <n v="3"/>
    <n v="3925"/>
    <n v="11775"/>
    <n v="4415.6400000000003"/>
    <s v="Home Appliances"/>
    <x v="31"/>
  </r>
  <r>
    <n v="947"/>
    <n v="574"/>
    <n v="19"/>
    <n v="3"/>
    <n v="3103"/>
    <n v="9309"/>
    <n v="2932.32"/>
    <s v="Fashion"/>
    <x v="23"/>
  </r>
  <r>
    <n v="948"/>
    <n v="574"/>
    <n v="32"/>
    <n v="4"/>
    <n v="4884"/>
    <n v="19536"/>
    <n v="8205.1200000000008"/>
    <s v="Books"/>
    <x v="32"/>
  </r>
  <r>
    <n v="949"/>
    <n v="575"/>
    <n v="26"/>
    <n v="4"/>
    <n v="4062"/>
    <n v="16248"/>
    <n v="5849.2800000000007"/>
    <s v="Home &amp; Kitchen"/>
    <x v="24"/>
  </r>
  <r>
    <n v="950"/>
    <n v="575"/>
    <n v="39"/>
    <n v="1"/>
    <n v="5843"/>
    <n v="5843"/>
    <n v="1840.54"/>
    <s v="Sports"/>
    <x v="33"/>
  </r>
  <r>
    <n v="951"/>
    <n v="576"/>
    <n v="33"/>
    <n v="1"/>
    <n v="5021"/>
    <n v="5021"/>
    <n v="2033.5"/>
    <s v="Books"/>
    <x v="25"/>
  </r>
  <r>
    <n v="952"/>
    <n v="576"/>
    <n v="46"/>
    <n v="2"/>
    <n v="6802"/>
    <n v="13604"/>
    <n v="4897.4400000000005"/>
    <s v="Toys"/>
    <x v="34"/>
  </r>
  <r>
    <n v="953"/>
    <n v="577"/>
    <n v="40"/>
    <n v="2"/>
    <n v="5980"/>
    <n v="11960"/>
    <n v="5382"/>
    <s v="Sports"/>
    <x v="26"/>
  </r>
  <r>
    <n v="954"/>
    <n v="577"/>
    <n v="3"/>
    <n v="3"/>
    <n v="911"/>
    <n v="2733"/>
    <n v="1106.8500000000001"/>
    <s v="Electronics"/>
    <x v="35"/>
  </r>
  <r>
    <n v="955"/>
    <n v="578"/>
    <n v="47"/>
    <n v="3"/>
    <n v="6939"/>
    <n v="20817"/>
    <n v="7181.8499999999995"/>
    <s v="Toys"/>
    <x v="27"/>
  </r>
  <r>
    <n v="956"/>
    <n v="578"/>
    <n v="10"/>
    <n v="4"/>
    <n v="1870"/>
    <n v="7480"/>
    <n v="3366"/>
    <s v="Electronics"/>
    <x v="36"/>
  </r>
  <r>
    <n v="957"/>
    <n v="579"/>
    <n v="4"/>
    <n v="4"/>
    <n v="1048"/>
    <n v="4192"/>
    <n v="1634.88"/>
    <s v="Electronics"/>
    <x v="28"/>
  </r>
  <r>
    <n v="958"/>
    <n v="579"/>
    <n v="17"/>
    <n v="1"/>
    <n v="2829"/>
    <n v="2829"/>
    <n v="976"/>
    <s v="Fashion"/>
    <x v="37"/>
  </r>
  <r>
    <n v="959"/>
    <n v="580"/>
    <n v="11"/>
    <n v="1"/>
    <n v="2007"/>
    <n v="2007"/>
    <n v="873.04"/>
    <s v="Fashion"/>
    <x v="29"/>
  </r>
  <r>
    <n v="960"/>
    <n v="580"/>
    <n v="24"/>
    <n v="2"/>
    <n v="3788"/>
    <n v="7576"/>
    <n v="2954.6400000000003"/>
    <s v="Home Appliances"/>
    <x v="38"/>
  </r>
  <r>
    <n v="961"/>
    <n v="581"/>
    <n v="18"/>
    <n v="2"/>
    <n v="2966"/>
    <n v="5932"/>
    <n v="1957.56"/>
    <s v="Fashion"/>
    <x v="30"/>
  </r>
  <r>
    <n v="962"/>
    <n v="581"/>
    <n v="31"/>
    <n v="3"/>
    <n v="4747"/>
    <n v="14241"/>
    <n v="6194.82"/>
    <s v="Books"/>
    <x v="39"/>
  </r>
  <r>
    <n v="963"/>
    <n v="582"/>
    <n v="25"/>
    <n v="3"/>
    <n v="3925"/>
    <n v="11775"/>
    <n v="4415.6400000000003"/>
    <s v="Home Appliances"/>
    <x v="31"/>
  </r>
  <r>
    <n v="964"/>
    <n v="582"/>
    <n v="38"/>
    <n v="4"/>
    <n v="5706"/>
    <n v="22824"/>
    <n v="7531.92"/>
    <s v="Sports"/>
    <x v="40"/>
  </r>
  <r>
    <n v="965"/>
    <n v="583"/>
    <n v="32"/>
    <n v="4"/>
    <n v="4884"/>
    <n v="19536"/>
    <n v="8205.1200000000008"/>
    <s v="Books"/>
    <x v="32"/>
  </r>
  <r>
    <n v="966"/>
    <n v="583"/>
    <n v="45"/>
    <n v="1"/>
    <n v="6665"/>
    <n v="6665"/>
    <n v="2499.38"/>
    <s v="Beauty"/>
    <x v="41"/>
  </r>
  <r>
    <n v="967"/>
    <n v="584"/>
    <n v="39"/>
    <n v="1"/>
    <n v="5843"/>
    <n v="5843"/>
    <n v="1840.54"/>
    <s v="Sports"/>
    <x v="33"/>
  </r>
  <r>
    <n v="968"/>
    <n v="584"/>
    <n v="2"/>
    <n v="2"/>
    <n v="774"/>
    <n v="1548"/>
    <n v="650.16"/>
    <s v="Electronics"/>
    <x v="42"/>
  </r>
  <r>
    <n v="969"/>
    <n v="585"/>
    <n v="46"/>
    <n v="2"/>
    <n v="6802"/>
    <n v="13604"/>
    <n v="4897.4400000000005"/>
    <s v="Toys"/>
    <x v="34"/>
  </r>
  <r>
    <n v="970"/>
    <n v="585"/>
    <n v="9"/>
    <n v="3"/>
    <n v="1733"/>
    <n v="5199"/>
    <n v="1637.6700000000003"/>
    <s v="Electronics"/>
    <x v="43"/>
  </r>
  <r>
    <n v="971"/>
    <n v="586"/>
    <n v="3"/>
    <n v="3"/>
    <n v="911"/>
    <n v="2733"/>
    <n v="1106.8500000000001"/>
    <s v="Electronics"/>
    <x v="35"/>
  </r>
  <r>
    <n v="972"/>
    <n v="586"/>
    <n v="16"/>
    <n v="4"/>
    <n v="2692"/>
    <n v="10768"/>
    <n v="3876.4799999999996"/>
    <s v="Fashion"/>
    <x v="44"/>
  </r>
  <r>
    <n v="973"/>
    <n v="587"/>
    <n v="10"/>
    <n v="4"/>
    <n v="1870"/>
    <n v="7480"/>
    <n v="3366"/>
    <s v="Electronics"/>
    <x v="36"/>
  </r>
  <r>
    <n v="974"/>
    <n v="587"/>
    <n v="23"/>
    <n v="1"/>
    <n v="3651"/>
    <n v="3651"/>
    <n v="1478.65"/>
    <s v="Home Appliances"/>
    <x v="45"/>
  </r>
  <r>
    <n v="975"/>
    <n v="588"/>
    <n v="17"/>
    <n v="1"/>
    <n v="2829"/>
    <n v="2829"/>
    <n v="976"/>
    <s v="Fashion"/>
    <x v="37"/>
  </r>
  <r>
    <n v="976"/>
    <n v="588"/>
    <n v="30"/>
    <n v="2"/>
    <n v="4610"/>
    <n v="9220"/>
    <n v="4149"/>
    <s v="Furniture"/>
    <x v="46"/>
  </r>
  <r>
    <n v="977"/>
    <n v="589"/>
    <n v="24"/>
    <n v="2"/>
    <n v="3788"/>
    <n v="7576"/>
    <n v="2954.6400000000003"/>
    <s v="Home Appliances"/>
    <x v="38"/>
  </r>
  <r>
    <n v="978"/>
    <n v="589"/>
    <n v="37"/>
    <n v="3"/>
    <n v="5569"/>
    <n v="16707"/>
    <n v="5763.9000000000005"/>
    <s v="Sports"/>
    <x v="47"/>
  </r>
  <r>
    <n v="979"/>
    <n v="590"/>
    <n v="31"/>
    <n v="3"/>
    <n v="4747"/>
    <n v="14241"/>
    <n v="6194.82"/>
    <s v="Books"/>
    <x v="39"/>
  </r>
  <r>
    <n v="980"/>
    <n v="590"/>
    <n v="44"/>
    <n v="4"/>
    <n v="6528"/>
    <n v="26112"/>
    <n v="10183.68"/>
    <s v="Beauty"/>
    <x v="48"/>
  </r>
  <r>
    <n v="981"/>
    <n v="591"/>
    <n v="38"/>
    <n v="4"/>
    <n v="5706"/>
    <n v="22824"/>
    <n v="7531.92"/>
    <s v="Sports"/>
    <x v="40"/>
  </r>
  <r>
    <n v="982"/>
    <n v="591"/>
    <n v="1"/>
    <n v="1"/>
    <n v="637"/>
    <n v="637"/>
    <n v="277.08999999999997"/>
    <s v="Electronics"/>
    <x v="49"/>
  </r>
  <r>
    <n v="983"/>
    <n v="592"/>
    <n v="45"/>
    <n v="1"/>
    <n v="6665"/>
    <n v="6665"/>
    <n v="2499.38"/>
    <s v="Beauty"/>
    <x v="41"/>
  </r>
  <r>
    <n v="984"/>
    <n v="592"/>
    <n v="8"/>
    <n v="2"/>
    <n v="1596"/>
    <n v="3192"/>
    <n v="1053.3600000000001"/>
    <s v="Electronics"/>
    <x v="0"/>
  </r>
  <r>
    <n v="985"/>
    <n v="593"/>
    <n v="2"/>
    <n v="2"/>
    <n v="774"/>
    <n v="1548"/>
    <n v="650.16"/>
    <s v="Electronics"/>
    <x v="42"/>
  </r>
  <r>
    <n v="986"/>
    <n v="593"/>
    <n v="15"/>
    <n v="3"/>
    <n v="2555"/>
    <n v="7665"/>
    <n v="2874.3599999999997"/>
    <s v="Fashion"/>
    <x v="2"/>
  </r>
  <r>
    <n v="987"/>
    <n v="594"/>
    <n v="9"/>
    <n v="3"/>
    <n v="1733"/>
    <n v="5199"/>
    <n v="1637.6700000000003"/>
    <s v="Electronics"/>
    <x v="43"/>
  </r>
  <r>
    <n v="988"/>
    <n v="594"/>
    <n v="22"/>
    <n v="4"/>
    <n v="3514"/>
    <n v="14056"/>
    <n v="5903.52"/>
    <s v="Home Appliances"/>
    <x v="4"/>
  </r>
  <r>
    <n v="989"/>
    <n v="595"/>
    <n v="16"/>
    <n v="4"/>
    <n v="2692"/>
    <n v="10768"/>
    <n v="3876.4799999999996"/>
    <s v="Fashion"/>
    <x v="44"/>
  </r>
  <r>
    <n v="990"/>
    <n v="595"/>
    <n v="29"/>
    <n v="1"/>
    <n v="4473"/>
    <n v="4473"/>
    <n v="1408.9899999999998"/>
    <s v="Furniture"/>
    <x v="6"/>
  </r>
  <r>
    <n v="991"/>
    <n v="596"/>
    <n v="23"/>
    <n v="1"/>
    <n v="3651"/>
    <n v="3651"/>
    <n v="1478.65"/>
    <s v="Home Appliances"/>
    <x v="45"/>
  </r>
  <r>
    <n v="992"/>
    <n v="596"/>
    <n v="36"/>
    <n v="2"/>
    <n v="5432"/>
    <n v="10864"/>
    <n v="3911.04"/>
    <s v="Sports"/>
    <x v="8"/>
  </r>
  <r>
    <n v="993"/>
    <n v="597"/>
    <n v="30"/>
    <n v="2"/>
    <n v="4610"/>
    <n v="9220"/>
    <n v="4149"/>
    <s v="Furniture"/>
    <x v="46"/>
  </r>
  <r>
    <n v="994"/>
    <n v="597"/>
    <n v="43"/>
    <n v="3"/>
    <n v="6391"/>
    <n v="19173"/>
    <n v="7765.0499999999993"/>
    <s v="Beauty"/>
    <x v="10"/>
  </r>
  <r>
    <n v="995"/>
    <n v="598"/>
    <n v="37"/>
    <n v="3"/>
    <n v="5569"/>
    <n v="16707"/>
    <n v="5763.9000000000005"/>
    <s v="Sports"/>
    <x v="47"/>
  </r>
  <r>
    <n v="996"/>
    <n v="598"/>
    <n v="50"/>
    <n v="4"/>
    <n v="7350"/>
    <n v="29400"/>
    <n v="13230"/>
    <s v="Toys"/>
    <x v="12"/>
  </r>
  <r>
    <n v="997"/>
    <n v="599"/>
    <n v="44"/>
    <n v="4"/>
    <n v="6528"/>
    <n v="26112"/>
    <n v="10183.68"/>
    <s v="Beauty"/>
    <x v="48"/>
  </r>
  <r>
    <n v="998"/>
    <n v="599"/>
    <n v="7"/>
    <n v="1"/>
    <n v="1459"/>
    <n v="1459"/>
    <n v="503.35"/>
    <s v="Electronics"/>
    <x v="14"/>
  </r>
  <r>
    <n v="999"/>
    <n v="600"/>
    <n v="1"/>
    <n v="1"/>
    <n v="637"/>
    <n v="637"/>
    <n v="277.08999999999997"/>
    <s v="Electronics"/>
    <x v="49"/>
  </r>
  <r>
    <n v="1000"/>
    <n v="600"/>
    <n v="14"/>
    <n v="2"/>
    <n v="2418"/>
    <n v="4836"/>
    <n v="1886.04"/>
    <s v="Fashion"/>
    <x v="16"/>
  </r>
  <r>
    <m/>
    <m/>
    <m/>
    <m/>
    <m/>
    <m/>
    <m/>
    <m/>
    <x v="5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101"/>
    <n v="8"/>
    <n v="2"/>
    <n v="1596"/>
    <n v="3192"/>
    <n v="1053.3600000000001"/>
    <x v="0"/>
    <s v="Tablet"/>
    <n v="45658"/>
    <s v="Jan-2025"/>
    <n v="1"/>
    <x v="0"/>
  </r>
  <r>
    <n v="2"/>
    <n v="101"/>
    <n v="21"/>
    <n v="3"/>
    <n v="3377"/>
    <n v="10131"/>
    <n v="4406.97"/>
    <x v="1"/>
    <s v="Mixer"/>
    <n v="45658"/>
    <s v="Jan-2025"/>
    <n v="1"/>
    <x v="0"/>
  </r>
  <r>
    <n v="3"/>
    <n v="102"/>
    <n v="15"/>
    <n v="3"/>
    <n v="2555"/>
    <n v="7665"/>
    <n v="2874.3599999999997"/>
    <x v="2"/>
    <s v="Shoes"/>
    <n v="45661"/>
    <s v="Jan-2025"/>
    <n v="38"/>
    <x v="1"/>
  </r>
  <r>
    <n v="4"/>
    <n v="102"/>
    <n v="28"/>
    <n v="4"/>
    <n v="4336"/>
    <n v="17344"/>
    <n v="5723.52"/>
    <x v="3"/>
    <s v="Bottle"/>
    <n v="45661"/>
    <s v="Jan-2025"/>
    <n v="38"/>
    <x v="1"/>
  </r>
  <r>
    <n v="5"/>
    <n v="103"/>
    <n v="22"/>
    <n v="4"/>
    <n v="3514"/>
    <n v="14056"/>
    <n v="5903.52"/>
    <x v="1"/>
    <s v="Microwave"/>
    <n v="45664"/>
    <s v="Jan-2025"/>
    <n v="75"/>
    <x v="2"/>
  </r>
  <r>
    <n v="6"/>
    <n v="103"/>
    <n v="35"/>
    <n v="1"/>
    <n v="5295"/>
    <n v="5295"/>
    <n v="1985.62"/>
    <x v="4"/>
    <s v="Novel"/>
    <n v="45664"/>
    <s v="Jan-2025"/>
    <n v="75"/>
    <x v="2"/>
  </r>
  <r>
    <n v="7"/>
    <n v="104"/>
    <n v="29"/>
    <n v="1"/>
    <n v="4473"/>
    <n v="4473"/>
    <n v="1408.9899999999998"/>
    <x v="5"/>
    <s v="Chair"/>
    <n v="45667"/>
    <s v="Jan-2025"/>
    <n v="112"/>
    <x v="3"/>
  </r>
  <r>
    <n v="8"/>
    <n v="104"/>
    <n v="42"/>
    <n v="2"/>
    <n v="6254"/>
    <n v="12508"/>
    <n v="5253.36"/>
    <x v="6"/>
    <s v="Shampoo"/>
    <n v="45667"/>
    <s v="Jan-2025"/>
    <n v="112"/>
    <x v="3"/>
  </r>
  <r>
    <n v="9"/>
    <n v="105"/>
    <n v="36"/>
    <n v="2"/>
    <n v="5432"/>
    <n v="10864"/>
    <n v="3911.04"/>
    <x v="7"/>
    <s v="Cricket Bat"/>
    <n v="45670"/>
    <s v="Jan-2025"/>
    <n v="149"/>
    <x v="4"/>
  </r>
  <r>
    <n v="10"/>
    <n v="105"/>
    <n v="49"/>
    <n v="3"/>
    <n v="7213"/>
    <n v="21639"/>
    <n v="6816.27"/>
    <x v="8"/>
    <s v="Remote Car"/>
    <n v="45670"/>
    <s v="Jan-2025"/>
    <n v="149"/>
    <x v="4"/>
  </r>
  <r>
    <n v="11"/>
    <n v="106"/>
    <n v="43"/>
    <n v="3"/>
    <n v="6391"/>
    <n v="19173"/>
    <n v="7765.0499999999993"/>
    <x v="6"/>
    <s v="Perfume"/>
    <n v="45673"/>
    <s v="Jan-2025"/>
    <n v="186"/>
    <x v="5"/>
  </r>
  <r>
    <n v="12"/>
    <n v="106"/>
    <n v="6"/>
    <n v="4"/>
    <n v="1322"/>
    <n v="5288"/>
    <n v="1903.6799999999998"/>
    <x v="0"/>
    <s v="Mouse"/>
    <n v="45673"/>
    <s v="Jan-2025"/>
    <n v="186"/>
    <x v="5"/>
  </r>
  <r>
    <n v="13"/>
    <n v="107"/>
    <n v="50"/>
    <n v="4"/>
    <n v="7350"/>
    <n v="29400"/>
    <n v="13230"/>
    <x v="8"/>
    <s v="Building Blocks"/>
    <n v="45676"/>
    <s v="Jan-2025"/>
    <n v="223"/>
    <x v="6"/>
  </r>
  <r>
    <n v="14"/>
    <n v="107"/>
    <n v="13"/>
    <n v="1"/>
    <n v="2281"/>
    <n v="2281"/>
    <n v="923.8"/>
    <x v="2"/>
    <s v="Shirt"/>
    <n v="45676"/>
    <s v="Jan-2025"/>
    <n v="223"/>
    <x v="6"/>
  </r>
  <r>
    <n v="15"/>
    <n v="108"/>
    <n v="7"/>
    <n v="1"/>
    <n v="1459"/>
    <n v="1459"/>
    <n v="503.35"/>
    <x v="0"/>
    <s v="Monitor"/>
    <n v="45679"/>
    <s v="Jan-2025"/>
    <n v="260"/>
    <x v="7"/>
  </r>
  <r>
    <n v="16"/>
    <n v="108"/>
    <n v="20"/>
    <n v="2"/>
    <n v="3240"/>
    <n v="6480"/>
    <n v="2916"/>
    <x v="2"/>
    <s v="Belt"/>
    <n v="45679"/>
    <s v="Jan-2025"/>
    <n v="260"/>
    <x v="7"/>
  </r>
  <r>
    <n v="17"/>
    <n v="109"/>
    <n v="14"/>
    <n v="2"/>
    <n v="2418"/>
    <n v="4836"/>
    <n v="1886.04"/>
    <x v="2"/>
    <s v="Jacket"/>
    <n v="45682"/>
    <s v="Jan-2025"/>
    <n v="297"/>
    <x v="8"/>
  </r>
  <r>
    <n v="18"/>
    <n v="109"/>
    <n v="27"/>
    <n v="3"/>
    <n v="4199"/>
    <n v="12597"/>
    <n v="4345.9500000000007"/>
    <x v="3"/>
    <s v="Cookware Set"/>
    <n v="45682"/>
    <s v="Jan-2025"/>
    <n v="297"/>
    <x v="8"/>
  </r>
  <r>
    <n v="19"/>
    <n v="110"/>
    <n v="21"/>
    <n v="3"/>
    <n v="3377"/>
    <n v="10131"/>
    <n v="4406.97"/>
    <x v="1"/>
    <s v="Mixer"/>
    <n v="45685"/>
    <s v="Jan-2025"/>
    <n v="334"/>
    <x v="9"/>
  </r>
  <r>
    <n v="20"/>
    <n v="110"/>
    <n v="34"/>
    <n v="4"/>
    <n v="5158"/>
    <n v="20632"/>
    <n v="8046.48"/>
    <x v="4"/>
    <s v="Cookbook"/>
    <n v="45685"/>
    <s v="Jan-2025"/>
    <n v="334"/>
    <x v="9"/>
  </r>
  <r>
    <n v="21"/>
    <n v="111"/>
    <n v="28"/>
    <n v="4"/>
    <n v="4336"/>
    <n v="17344"/>
    <n v="5723.52"/>
    <x v="3"/>
    <s v="Bottle"/>
    <n v="45688"/>
    <s v="Jan-2025"/>
    <n v="371"/>
    <x v="10"/>
  </r>
  <r>
    <n v="22"/>
    <n v="111"/>
    <n v="41"/>
    <n v="1"/>
    <n v="6117"/>
    <n v="6117"/>
    <n v="2660.89"/>
    <x v="6"/>
    <s v="Face Wash"/>
    <n v="45688"/>
    <s v="Jan-2025"/>
    <n v="371"/>
    <x v="10"/>
  </r>
  <r>
    <n v="23"/>
    <n v="112"/>
    <n v="35"/>
    <n v="1"/>
    <n v="5295"/>
    <n v="5295"/>
    <n v="1985.62"/>
    <x v="4"/>
    <s v="Novel"/>
    <n v="45691"/>
    <s v="Feb-2025"/>
    <n v="408"/>
    <x v="11"/>
  </r>
  <r>
    <n v="24"/>
    <n v="112"/>
    <n v="48"/>
    <n v="2"/>
    <n v="7076"/>
    <n v="14152"/>
    <n v="4670.16"/>
    <x v="8"/>
    <s v="Board Game"/>
    <n v="45691"/>
    <s v="Feb-2025"/>
    <n v="408"/>
    <x v="11"/>
  </r>
  <r>
    <n v="25"/>
    <n v="113"/>
    <n v="42"/>
    <n v="2"/>
    <n v="6254"/>
    <n v="12508"/>
    <n v="5253.36"/>
    <x v="6"/>
    <s v="Shampoo"/>
    <n v="45694"/>
    <s v="Feb-2025"/>
    <n v="445"/>
    <x v="12"/>
  </r>
  <r>
    <n v="26"/>
    <n v="113"/>
    <n v="5"/>
    <n v="3"/>
    <n v="1185"/>
    <n v="3555"/>
    <n v="1333.1399999999999"/>
    <x v="0"/>
    <s v="Keyboard"/>
    <n v="45694"/>
    <s v="Feb-2025"/>
    <n v="445"/>
    <x v="12"/>
  </r>
  <r>
    <n v="27"/>
    <n v="114"/>
    <n v="49"/>
    <n v="3"/>
    <n v="7213"/>
    <n v="21639"/>
    <n v="6816.27"/>
    <x v="8"/>
    <s v="Remote Car"/>
    <n v="45697"/>
    <s v="Feb-2025"/>
    <n v="482"/>
    <x v="13"/>
  </r>
  <r>
    <n v="28"/>
    <n v="114"/>
    <n v="12"/>
    <n v="4"/>
    <n v="2144"/>
    <n v="8576"/>
    <n v="3601.92"/>
    <x v="2"/>
    <s v="Jeans"/>
    <n v="45697"/>
    <s v="Feb-2025"/>
    <n v="482"/>
    <x v="13"/>
  </r>
  <r>
    <n v="29"/>
    <n v="115"/>
    <n v="6"/>
    <n v="4"/>
    <n v="1322"/>
    <n v="5288"/>
    <n v="1903.6799999999998"/>
    <x v="0"/>
    <s v="Mouse"/>
    <n v="45700"/>
    <s v="Feb-2025"/>
    <n v="19"/>
    <x v="14"/>
  </r>
  <r>
    <n v="30"/>
    <n v="115"/>
    <n v="19"/>
    <n v="1"/>
    <n v="3103"/>
    <n v="3103"/>
    <n v="977.44"/>
    <x v="2"/>
    <s v="Wallet"/>
    <n v="45700"/>
    <s v="Feb-2025"/>
    <n v="19"/>
    <x v="14"/>
  </r>
  <r>
    <n v="31"/>
    <n v="116"/>
    <n v="13"/>
    <n v="1"/>
    <n v="2281"/>
    <n v="2281"/>
    <n v="923.8"/>
    <x v="2"/>
    <s v="Shirt"/>
    <n v="45703"/>
    <s v="Feb-2025"/>
    <n v="56"/>
    <x v="15"/>
  </r>
  <r>
    <n v="32"/>
    <n v="116"/>
    <n v="26"/>
    <n v="2"/>
    <n v="4062"/>
    <n v="8124"/>
    <n v="2924.6400000000003"/>
    <x v="3"/>
    <s v="Bedsheet"/>
    <n v="45703"/>
    <s v="Feb-2025"/>
    <n v="56"/>
    <x v="15"/>
  </r>
  <r>
    <n v="33"/>
    <n v="117"/>
    <n v="20"/>
    <n v="2"/>
    <n v="3240"/>
    <n v="6480"/>
    <n v="2916"/>
    <x v="2"/>
    <s v="Belt"/>
    <n v="45706"/>
    <s v="Feb-2025"/>
    <n v="93"/>
    <x v="16"/>
  </r>
  <r>
    <n v="34"/>
    <n v="117"/>
    <n v="33"/>
    <n v="3"/>
    <n v="5021"/>
    <n v="15063"/>
    <n v="6100.5"/>
    <x v="4"/>
    <s v="Pen Set"/>
    <n v="45706"/>
    <s v="Feb-2025"/>
    <n v="93"/>
    <x v="16"/>
  </r>
  <r>
    <n v="35"/>
    <n v="118"/>
    <n v="27"/>
    <n v="3"/>
    <n v="4199"/>
    <n v="12597"/>
    <n v="4345.9500000000007"/>
    <x v="3"/>
    <s v="Cookware Set"/>
    <n v="45709"/>
    <s v="Feb-2025"/>
    <n v="130"/>
    <x v="14"/>
  </r>
  <r>
    <n v="36"/>
    <n v="118"/>
    <n v="40"/>
    <n v="4"/>
    <n v="5980"/>
    <n v="23920"/>
    <n v="10764"/>
    <x v="7"/>
    <s v="Dumbbells"/>
    <n v="45709"/>
    <s v="Feb-2025"/>
    <n v="130"/>
    <x v="14"/>
  </r>
  <r>
    <n v="37"/>
    <n v="119"/>
    <n v="34"/>
    <n v="4"/>
    <n v="5158"/>
    <n v="20632"/>
    <n v="8046.48"/>
    <x v="4"/>
    <s v="Cookbook"/>
    <n v="45712"/>
    <s v="Feb-2025"/>
    <n v="167"/>
    <x v="17"/>
  </r>
  <r>
    <n v="38"/>
    <n v="119"/>
    <n v="47"/>
    <n v="1"/>
    <n v="6939"/>
    <n v="6939"/>
    <n v="2393.9499999999998"/>
    <x v="8"/>
    <s v="Puzzle"/>
    <n v="45712"/>
    <s v="Feb-2025"/>
    <n v="167"/>
    <x v="17"/>
  </r>
  <r>
    <n v="39"/>
    <n v="120"/>
    <n v="41"/>
    <n v="1"/>
    <n v="6117"/>
    <n v="6117"/>
    <n v="2660.89"/>
    <x v="6"/>
    <s v="Face Wash"/>
    <n v="45715"/>
    <s v="Feb-2025"/>
    <n v="204"/>
    <x v="18"/>
  </r>
  <r>
    <n v="40"/>
    <n v="120"/>
    <n v="4"/>
    <n v="2"/>
    <n v="1048"/>
    <n v="2096"/>
    <n v="817.44"/>
    <x v="0"/>
    <s v="Smart Watch"/>
    <n v="45715"/>
    <s v="Feb-2025"/>
    <n v="204"/>
    <x v="18"/>
  </r>
  <r>
    <n v="41"/>
    <n v="121"/>
    <n v="48"/>
    <n v="2"/>
    <n v="7076"/>
    <n v="14152"/>
    <n v="4670.16"/>
    <x v="8"/>
    <s v="Board Game"/>
    <n v="45718"/>
    <s v="Mar-2025"/>
    <n v="241"/>
    <x v="19"/>
  </r>
  <r>
    <n v="42"/>
    <n v="121"/>
    <n v="11"/>
    <n v="3"/>
    <n v="2007"/>
    <n v="6021"/>
    <n v="2619.12"/>
    <x v="2"/>
    <s v="T-Shirt"/>
    <n v="45718"/>
    <s v="Mar-2025"/>
    <n v="241"/>
    <x v="19"/>
  </r>
  <r>
    <n v="43"/>
    <n v="122"/>
    <n v="5"/>
    <n v="3"/>
    <n v="1185"/>
    <n v="3555"/>
    <n v="1333.1399999999999"/>
    <x v="0"/>
    <s v="Keyboard"/>
    <n v="45721"/>
    <s v="Mar-2025"/>
    <n v="278"/>
    <x v="20"/>
  </r>
  <r>
    <n v="44"/>
    <n v="122"/>
    <n v="18"/>
    <n v="4"/>
    <n v="2966"/>
    <n v="11864"/>
    <n v="3915.12"/>
    <x v="2"/>
    <s v="Backpack"/>
    <n v="45721"/>
    <s v="Mar-2025"/>
    <n v="278"/>
    <x v="20"/>
  </r>
  <r>
    <n v="45"/>
    <n v="123"/>
    <n v="12"/>
    <n v="4"/>
    <n v="2144"/>
    <n v="8576"/>
    <n v="3601.92"/>
    <x v="2"/>
    <s v="Jeans"/>
    <n v="45724"/>
    <s v="Mar-2025"/>
    <n v="315"/>
    <x v="21"/>
  </r>
  <r>
    <n v="46"/>
    <n v="123"/>
    <n v="25"/>
    <n v="1"/>
    <n v="3925"/>
    <n v="3925"/>
    <n v="1471.88"/>
    <x v="1"/>
    <s v="Vacuum Cleaner"/>
    <n v="45724"/>
    <s v="Mar-2025"/>
    <n v="315"/>
    <x v="21"/>
  </r>
  <r>
    <n v="47"/>
    <n v="124"/>
    <n v="19"/>
    <n v="1"/>
    <n v="3103"/>
    <n v="3103"/>
    <n v="977.44"/>
    <x v="2"/>
    <s v="Wallet"/>
    <n v="45727"/>
    <s v="Mar-2025"/>
    <n v="352"/>
    <x v="22"/>
  </r>
  <r>
    <n v="48"/>
    <n v="124"/>
    <n v="32"/>
    <n v="2"/>
    <n v="4884"/>
    <n v="9768"/>
    <n v="4102.5600000000004"/>
    <x v="4"/>
    <s v="Notebook"/>
    <n v="45727"/>
    <s v="Mar-2025"/>
    <n v="352"/>
    <x v="22"/>
  </r>
  <r>
    <n v="49"/>
    <n v="125"/>
    <n v="26"/>
    <n v="2"/>
    <n v="4062"/>
    <n v="8124"/>
    <n v="2924.6400000000003"/>
    <x v="3"/>
    <s v="Bedsheet"/>
    <n v="45730"/>
    <s v="Mar-2025"/>
    <n v="389"/>
    <x v="23"/>
  </r>
  <r>
    <n v="50"/>
    <n v="125"/>
    <n v="39"/>
    <n v="3"/>
    <n v="5843"/>
    <n v="17529"/>
    <n v="5521.62"/>
    <x v="7"/>
    <s v="Yoga Mat"/>
    <n v="45730"/>
    <s v="Mar-2025"/>
    <n v="389"/>
    <x v="23"/>
  </r>
  <r>
    <n v="51"/>
    <n v="126"/>
    <n v="33"/>
    <n v="3"/>
    <n v="5021"/>
    <n v="15063"/>
    <n v="6100.5"/>
    <x v="4"/>
    <s v="Pen Set"/>
    <n v="45733"/>
    <s v="Mar-2025"/>
    <n v="426"/>
    <x v="24"/>
  </r>
  <r>
    <n v="52"/>
    <n v="126"/>
    <n v="46"/>
    <n v="4"/>
    <n v="6802"/>
    <n v="27208"/>
    <n v="9794.880000000001"/>
    <x v="8"/>
    <s v="Toys Car"/>
    <n v="45733"/>
    <s v="Mar-2025"/>
    <n v="426"/>
    <x v="24"/>
  </r>
  <r>
    <n v="53"/>
    <n v="127"/>
    <n v="40"/>
    <n v="4"/>
    <n v="5980"/>
    <n v="23920"/>
    <n v="10764"/>
    <x v="7"/>
    <s v="Dumbbells"/>
    <n v="45736"/>
    <s v="Mar-2025"/>
    <n v="463"/>
    <x v="25"/>
  </r>
  <r>
    <n v="54"/>
    <n v="127"/>
    <n v="3"/>
    <n v="1"/>
    <n v="911"/>
    <n v="911"/>
    <n v="368.95000000000005"/>
    <x v="0"/>
    <s v="Headphones"/>
    <n v="45736"/>
    <s v="Mar-2025"/>
    <n v="463"/>
    <x v="25"/>
  </r>
  <r>
    <n v="55"/>
    <n v="128"/>
    <n v="47"/>
    <n v="1"/>
    <n v="6939"/>
    <n v="6939"/>
    <n v="2393.9499999999998"/>
    <x v="8"/>
    <s v="Puzzle"/>
    <n v="45739"/>
    <s v="Mar-2025"/>
    <n v="500"/>
    <x v="26"/>
  </r>
  <r>
    <n v="56"/>
    <n v="128"/>
    <n v="10"/>
    <n v="2"/>
    <n v="1870"/>
    <n v="3740"/>
    <n v="1683"/>
    <x v="0"/>
    <s v="Earbuds"/>
    <n v="45739"/>
    <s v="Mar-2025"/>
    <n v="500"/>
    <x v="26"/>
  </r>
  <r>
    <n v="57"/>
    <n v="129"/>
    <n v="4"/>
    <n v="2"/>
    <n v="1048"/>
    <n v="2096"/>
    <n v="817.44"/>
    <x v="0"/>
    <s v="Smart Watch"/>
    <n v="45742"/>
    <s v="Mar-2025"/>
    <n v="37"/>
    <x v="27"/>
  </r>
  <r>
    <n v="58"/>
    <n v="129"/>
    <n v="17"/>
    <n v="3"/>
    <n v="2829"/>
    <n v="8487"/>
    <n v="2928"/>
    <x v="2"/>
    <s v="Dress"/>
    <n v="45742"/>
    <s v="Mar-2025"/>
    <n v="37"/>
    <x v="27"/>
  </r>
  <r>
    <n v="59"/>
    <n v="130"/>
    <n v="11"/>
    <n v="3"/>
    <n v="2007"/>
    <n v="6021"/>
    <n v="2619.12"/>
    <x v="2"/>
    <s v="T-Shirt"/>
    <n v="45745"/>
    <s v="Mar-2025"/>
    <n v="74"/>
    <x v="28"/>
  </r>
  <r>
    <n v="60"/>
    <n v="130"/>
    <n v="24"/>
    <n v="4"/>
    <n v="3788"/>
    <n v="15152"/>
    <n v="5909.2800000000007"/>
    <x v="1"/>
    <s v="Iron"/>
    <n v="45745"/>
    <s v="Mar-2025"/>
    <n v="74"/>
    <x v="28"/>
  </r>
  <r>
    <n v="61"/>
    <n v="131"/>
    <n v="18"/>
    <n v="4"/>
    <n v="2966"/>
    <n v="11864"/>
    <n v="3915.12"/>
    <x v="2"/>
    <s v="Backpack"/>
    <n v="45748"/>
    <s v="Apr-2025"/>
    <n v="111"/>
    <x v="29"/>
  </r>
  <r>
    <n v="62"/>
    <n v="131"/>
    <n v="31"/>
    <n v="1"/>
    <n v="4747"/>
    <n v="4747"/>
    <n v="2064.94"/>
    <x v="4"/>
    <s v="Book"/>
    <n v="45748"/>
    <s v="Apr-2025"/>
    <n v="111"/>
    <x v="29"/>
  </r>
  <r>
    <n v="63"/>
    <n v="132"/>
    <n v="25"/>
    <n v="1"/>
    <n v="3925"/>
    <n v="3925"/>
    <n v="1471.88"/>
    <x v="1"/>
    <s v="Vacuum Cleaner"/>
    <n v="45751"/>
    <s v="Apr-2025"/>
    <n v="148"/>
    <x v="30"/>
  </r>
  <r>
    <n v="64"/>
    <n v="132"/>
    <n v="38"/>
    <n v="2"/>
    <n v="5706"/>
    <n v="11412"/>
    <n v="3765.96"/>
    <x v="7"/>
    <s v="Badminton Racket"/>
    <n v="45751"/>
    <s v="Apr-2025"/>
    <n v="148"/>
    <x v="30"/>
  </r>
  <r>
    <n v="65"/>
    <n v="133"/>
    <n v="32"/>
    <n v="2"/>
    <n v="4884"/>
    <n v="9768"/>
    <n v="4102.5600000000004"/>
    <x v="4"/>
    <s v="Notebook"/>
    <n v="45754"/>
    <s v="Apr-2025"/>
    <n v="185"/>
    <x v="18"/>
  </r>
  <r>
    <n v="66"/>
    <n v="133"/>
    <n v="45"/>
    <n v="3"/>
    <n v="6665"/>
    <n v="19995"/>
    <n v="7498.14"/>
    <x v="6"/>
    <s v="Sunscreen"/>
    <n v="45754"/>
    <s v="Apr-2025"/>
    <n v="185"/>
    <x v="18"/>
  </r>
  <r>
    <n v="67"/>
    <n v="134"/>
    <n v="39"/>
    <n v="3"/>
    <n v="5843"/>
    <n v="17529"/>
    <n v="5521.62"/>
    <x v="7"/>
    <s v="Yoga Mat"/>
    <n v="45757"/>
    <s v="Apr-2025"/>
    <n v="222"/>
    <x v="31"/>
  </r>
  <r>
    <n v="68"/>
    <n v="134"/>
    <n v="2"/>
    <n v="4"/>
    <n v="774"/>
    <n v="3096"/>
    <n v="1300.32"/>
    <x v="0"/>
    <s v="Mobile"/>
    <n v="45757"/>
    <s v="Apr-2025"/>
    <n v="222"/>
    <x v="31"/>
  </r>
  <r>
    <n v="69"/>
    <n v="135"/>
    <n v="46"/>
    <n v="4"/>
    <n v="6802"/>
    <n v="27208"/>
    <n v="9794.880000000001"/>
    <x v="8"/>
    <s v="Toys Car"/>
    <n v="45760"/>
    <s v="Apr-2025"/>
    <n v="259"/>
    <x v="32"/>
  </r>
  <r>
    <n v="70"/>
    <n v="135"/>
    <n v="9"/>
    <n v="1"/>
    <n v="1733"/>
    <n v="1733"/>
    <n v="545.8900000000001"/>
    <x v="0"/>
    <s v="Power Bank"/>
    <n v="45760"/>
    <s v="Apr-2025"/>
    <n v="259"/>
    <x v="32"/>
  </r>
  <r>
    <n v="71"/>
    <n v="136"/>
    <n v="3"/>
    <n v="1"/>
    <n v="911"/>
    <n v="911"/>
    <n v="368.95000000000005"/>
    <x v="0"/>
    <s v="Headphones"/>
    <n v="45763"/>
    <s v="Apr-2025"/>
    <n v="296"/>
    <x v="33"/>
  </r>
  <r>
    <n v="72"/>
    <n v="136"/>
    <n v="16"/>
    <n v="2"/>
    <n v="2692"/>
    <n v="5384"/>
    <n v="1938.2399999999998"/>
    <x v="2"/>
    <s v="Saree"/>
    <n v="45763"/>
    <s v="Apr-2025"/>
    <n v="296"/>
    <x v="33"/>
  </r>
  <r>
    <n v="73"/>
    <n v="137"/>
    <n v="10"/>
    <n v="2"/>
    <n v="1870"/>
    <n v="3740"/>
    <n v="1683"/>
    <x v="0"/>
    <s v="Earbuds"/>
    <n v="45766"/>
    <s v="Apr-2025"/>
    <n v="333"/>
    <x v="28"/>
  </r>
  <r>
    <n v="74"/>
    <n v="137"/>
    <n v="23"/>
    <n v="3"/>
    <n v="3651"/>
    <n v="10953"/>
    <n v="4435.9500000000007"/>
    <x v="1"/>
    <s v="Fan"/>
    <n v="45766"/>
    <s v="Apr-2025"/>
    <n v="333"/>
    <x v="28"/>
  </r>
  <r>
    <n v="75"/>
    <n v="138"/>
    <n v="17"/>
    <n v="3"/>
    <n v="2829"/>
    <n v="8487"/>
    <n v="2928"/>
    <x v="2"/>
    <s v="Dress"/>
    <n v="45769"/>
    <s v="Apr-2025"/>
    <n v="370"/>
    <x v="34"/>
  </r>
  <r>
    <n v="76"/>
    <n v="138"/>
    <n v="30"/>
    <n v="4"/>
    <n v="4610"/>
    <n v="18440"/>
    <n v="8298"/>
    <x v="5"/>
    <s v="Table"/>
    <n v="45769"/>
    <s v="Apr-2025"/>
    <n v="370"/>
    <x v="34"/>
  </r>
  <r>
    <n v="77"/>
    <n v="139"/>
    <n v="24"/>
    <n v="4"/>
    <n v="3788"/>
    <n v="15152"/>
    <n v="5909.2800000000007"/>
    <x v="1"/>
    <s v="Iron"/>
    <n v="45772"/>
    <s v="Apr-2025"/>
    <n v="407"/>
    <x v="35"/>
  </r>
  <r>
    <n v="78"/>
    <n v="139"/>
    <n v="37"/>
    <n v="1"/>
    <n v="5569"/>
    <n v="5569"/>
    <n v="1921.3000000000002"/>
    <x v="7"/>
    <s v="Football"/>
    <n v="45772"/>
    <s v="Apr-2025"/>
    <n v="407"/>
    <x v="35"/>
  </r>
  <r>
    <n v="79"/>
    <n v="140"/>
    <n v="31"/>
    <n v="1"/>
    <n v="4747"/>
    <n v="4747"/>
    <n v="2064.94"/>
    <x v="4"/>
    <s v="Book"/>
    <n v="45775"/>
    <s v="Apr-2025"/>
    <n v="444"/>
    <x v="36"/>
  </r>
  <r>
    <n v="80"/>
    <n v="140"/>
    <n v="44"/>
    <n v="2"/>
    <n v="6528"/>
    <n v="13056"/>
    <n v="5091.84"/>
    <x v="6"/>
    <s v="Moisturizer"/>
    <n v="45775"/>
    <s v="Apr-2025"/>
    <n v="444"/>
    <x v="36"/>
  </r>
  <r>
    <n v="81"/>
    <n v="141"/>
    <n v="38"/>
    <n v="2"/>
    <n v="5706"/>
    <n v="11412"/>
    <n v="3765.96"/>
    <x v="7"/>
    <s v="Badminton Racket"/>
    <n v="45778"/>
    <s v="May-2025"/>
    <n v="481"/>
    <x v="37"/>
  </r>
  <r>
    <n v="82"/>
    <n v="141"/>
    <n v="1"/>
    <n v="3"/>
    <n v="637"/>
    <n v="1911"/>
    <n v="831.27"/>
    <x v="0"/>
    <s v="Laptop"/>
    <n v="45778"/>
    <s v="May-2025"/>
    <n v="481"/>
    <x v="37"/>
  </r>
  <r>
    <n v="83"/>
    <n v="142"/>
    <n v="45"/>
    <n v="3"/>
    <n v="6665"/>
    <n v="19995"/>
    <n v="7498.14"/>
    <x v="6"/>
    <s v="Sunscreen"/>
    <n v="45781"/>
    <s v="May-2025"/>
    <n v="18"/>
    <x v="38"/>
  </r>
  <r>
    <n v="84"/>
    <n v="142"/>
    <n v="8"/>
    <n v="4"/>
    <n v="1596"/>
    <n v="6384"/>
    <n v="2106.7200000000003"/>
    <x v="0"/>
    <s v="Tablet"/>
    <n v="45781"/>
    <s v="May-2025"/>
    <n v="18"/>
    <x v="38"/>
  </r>
  <r>
    <n v="85"/>
    <n v="143"/>
    <n v="2"/>
    <n v="4"/>
    <n v="774"/>
    <n v="3096"/>
    <n v="1300.32"/>
    <x v="0"/>
    <s v="Mobile"/>
    <n v="45784"/>
    <s v="May-2025"/>
    <n v="55"/>
    <x v="39"/>
  </r>
  <r>
    <n v="86"/>
    <n v="143"/>
    <n v="15"/>
    <n v="1"/>
    <n v="2555"/>
    <n v="2555"/>
    <n v="958.11999999999989"/>
    <x v="2"/>
    <s v="Shoes"/>
    <n v="45784"/>
    <s v="May-2025"/>
    <n v="55"/>
    <x v="39"/>
  </r>
  <r>
    <n v="87"/>
    <n v="144"/>
    <n v="9"/>
    <n v="1"/>
    <n v="1733"/>
    <n v="1733"/>
    <n v="545.8900000000001"/>
    <x v="0"/>
    <s v="Power Bank"/>
    <n v="45787"/>
    <s v="May-2025"/>
    <n v="92"/>
    <x v="40"/>
  </r>
  <r>
    <n v="88"/>
    <n v="144"/>
    <n v="22"/>
    <n v="2"/>
    <n v="3514"/>
    <n v="7028"/>
    <n v="2951.76"/>
    <x v="1"/>
    <s v="Microwave"/>
    <n v="45787"/>
    <s v="May-2025"/>
    <n v="92"/>
    <x v="40"/>
  </r>
  <r>
    <n v="89"/>
    <n v="145"/>
    <n v="16"/>
    <n v="2"/>
    <n v="2692"/>
    <n v="5384"/>
    <n v="1938.2399999999998"/>
    <x v="2"/>
    <s v="Saree"/>
    <n v="45790"/>
    <s v="May-2025"/>
    <n v="129"/>
    <x v="41"/>
  </r>
  <r>
    <n v="90"/>
    <n v="145"/>
    <n v="29"/>
    <n v="3"/>
    <n v="4473"/>
    <n v="13419"/>
    <n v="4226.9699999999993"/>
    <x v="5"/>
    <s v="Chair"/>
    <n v="45790"/>
    <s v="May-2025"/>
    <n v="129"/>
    <x v="41"/>
  </r>
  <r>
    <n v="91"/>
    <n v="146"/>
    <n v="23"/>
    <n v="3"/>
    <n v="3651"/>
    <n v="10953"/>
    <n v="4435.9500000000007"/>
    <x v="1"/>
    <s v="Fan"/>
    <n v="45793"/>
    <s v="May-2025"/>
    <n v="166"/>
    <x v="42"/>
  </r>
  <r>
    <n v="92"/>
    <n v="146"/>
    <n v="36"/>
    <n v="4"/>
    <n v="5432"/>
    <n v="21728"/>
    <n v="7822.08"/>
    <x v="7"/>
    <s v="Cricket Bat"/>
    <n v="45793"/>
    <s v="May-2025"/>
    <n v="166"/>
    <x v="42"/>
  </r>
  <r>
    <n v="93"/>
    <n v="147"/>
    <n v="30"/>
    <n v="4"/>
    <n v="4610"/>
    <n v="18440"/>
    <n v="8298"/>
    <x v="5"/>
    <s v="Table"/>
    <n v="45796"/>
    <s v="May-2025"/>
    <n v="203"/>
    <x v="43"/>
  </r>
  <r>
    <n v="94"/>
    <n v="147"/>
    <n v="43"/>
    <n v="1"/>
    <n v="6391"/>
    <n v="6391"/>
    <n v="2588.35"/>
    <x v="6"/>
    <s v="Perfume"/>
    <n v="45796"/>
    <s v="May-2025"/>
    <n v="203"/>
    <x v="43"/>
  </r>
  <r>
    <n v="95"/>
    <n v="148"/>
    <n v="37"/>
    <n v="1"/>
    <n v="5569"/>
    <n v="5569"/>
    <n v="1921.3000000000002"/>
    <x v="7"/>
    <s v="Football"/>
    <n v="45799"/>
    <s v="May-2025"/>
    <n v="240"/>
    <x v="44"/>
  </r>
  <r>
    <n v="96"/>
    <n v="148"/>
    <n v="50"/>
    <n v="2"/>
    <n v="7350"/>
    <n v="14700"/>
    <n v="6615"/>
    <x v="8"/>
    <s v="Building Blocks"/>
    <n v="45799"/>
    <s v="May-2025"/>
    <n v="240"/>
    <x v="44"/>
  </r>
  <r>
    <n v="97"/>
    <n v="149"/>
    <n v="44"/>
    <n v="2"/>
    <n v="6528"/>
    <n v="13056"/>
    <n v="5091.84"/>
    <x v="6"/>
    <s v="Moisturizer"/>
    <n v="45802"/>
    <s v="May-2025"/>
    <n v="277"/>
    <x v="45"/>
  </r>
  <r>
    <n v="98"/>
    <n v="149"/>
    <n v="7"/>
    <n v="3"/>
    <n v="1459"/>
    <n v="4377"/>
    <n v="1510.0500000000002"/>
    <x v="0"/>
    <s v="Monitor"/>
    <n v="45802"/>
    <s v="May-2025"/>
    <n v="277"/>
    <x v="45"/>
  </r>
  <r>
    <n v="99"/>
    <n v="150"/>
    <n v="1"/>
    <n v="3"/>
    <n v="637"/>
    <n v="1911"/>
    <n v="831.27"/>
    <x v="0"/>
    <s v="Laptop"/>
    <n v="45805"/>
    <s v="May-2025"/>
    <n v="314"/>
    <x v="46"/>
  </r>
  <r>
    <n v="100"/>
    <n v="150"/>
    <n v="14"/>
    <n v="4"/>
    <n v="2418"/>
    <n v="9672"/>
    <n v="3772.08"/>
    <x v="2"/>
    <s v="Jacket"/>
    <n v="45805"/>
    <s v="May-2025"/>
    <n v="314"/>
    <x v="46"/>
  </r>
  <r>
    <n v="101"/>
    <n v="151"/>
    <n v="8"/>
    <n v="4"/>
    <n v="1596"/>
    <n v="6384"/>
    <n v="2106.7200000000003"/>
    <x v="0"/>
    <s v="Tablet"/>
    <n v="45808"/>
    <s v="May-2025"/>
    <n v="351"/>
    <x v="47"/>
  </r>
  <r>
    <n v="102"/>
    <n v="151"/>
    <n v="21"/>
    <n v="1"/>
    <n v="3377"/>
    <n v="3377"/>
    <n v="1468.99"/>
    <x v="1"/>
    <s v="Mixer"/>
    <n v="45808"/>
    <s v="May-2025"/>
    <n v="351"/>
    <x v="47"/>
  </r>
  <r>
    <n v="103"/>
    <n v="152"/>
    <n v="15"/>
    <n v="1"/>
    <n v="2555"/>
    <n v="2555"/>
    <n v="958.11999999999989"/>
    <x v="2"/>
    <s v="Shoes"/>
    <n v="45811"/>
    <s v="Jun-2025"/>
    <n v="388"/>
    <x v="48"/>
  </r>
  <r>
    <n v="104"/>
    <n v="152"/>
    <n v="28"/>
    <n v="2"/>
    <n v="4336"/>
    <n v="8672"/>
    <n v="2861.76"/>
    <x v="3"/>
    <s v="Bottle"/>
    <n v="45811"/>
    <s v="Jun-2025"/>
    <n v="388"/>
    <x v="48"/>
  </r>
  <r>
    <n v="105"/>
    <n v="153"/>
    <n v="22"/>
    <n v="2"/>
    <n v="3514"/>
    <n v="7028"/>
    <n v="2951.76"/>
    <x v="1"/>
    <s v="Microwave"/>
    <n v="45814"/>
    <s v="Jun-2025"/>
    <n v="425"/>
    <x v="34"/>
  </r>
  <r>
    <n v="106"/>
    <n v="153"/>
    <n v="35"/>
    <n v="3"/>
    <n v="5295"/>
    <n v="15885"/>
    <n v="5956.86"/>
    <x v="4"/>
    <s v="Novel"/>
    <n v="45814"/>
    <s v="Jun-2025"/>
    <n v="425"/>
    <x v="34"/>
  </r>
  <r>
    <n v="107"/>
    <n v="154"/>
    <n v="29"/>
    <n v="3"/>
    <n v="4473"/>
    <n v="13419"/>
    <n v="4226.9699999999993"/>
    <x v="5"/>
    <s v="Chair"/>
    <n v="45817"/>
    <s v="Jun-2025"/>
    <n v="462"/>
    <x v="49"/>
  </r>
  <r>
    <n v="108"/>
    <n v="154"/>
    <n v="42"/>
    <n v="4"/>
    <n v="6254"/>
    <n v="25016"/>
    <n v="10506.72"/>
    <x v="6"/>
    <s v="Shampoo"/>
    <n v="45817"/>
    <s v="Jun-2025"/>
    <n v="462"/>
    <x v="49"/>
  </r>
  <r>
    <n v="109"/>
    <n v="155"/>
    <n v="36"/>
    <n v="4"/>
    <n v="5432"/>
    <n v="21728"/>
    <n v="7822.08"/>
    <x v="7"/>
    <s v="Cricket Bat"/>
    <n v="45820"/>
    <s v="Jun-2025"/>
    <n v="499"/>
    <x v="50"/>
  </r>
  <r>
    <n v="110"/>
    <n v="155"/>
    <n v="49"/>
    <n v="1"/>
    <n v="7213"/>
    <n v="7213"/>
    <n v="2272.09"/>
    <x v="8"/>
    <s v="Remote Car"/>
    <n v="45820"/>
    <s v="Jun-2025"/>
    <n v="499"/>
    <x v="50"/>
  </r>
  <r>
    <n v="111"/>
    <n v="156"/>
    <n v="43"/>
    <n v="1"/>
    <n v="6391"/>
    <n v="6391"/>
    <n v="2588.35"/>
    <x v="6"/>
    <s v="Perfume"/>
    <n v="45823"/>
    <s v="Jun-2025"/>
    <n v="36"/>
    <x v="51"/>
  </r>
  <r>
    <n v="112"/>
    <n v="156"/>
    <n v="6"/>
    <n v="2"/>
    <n v="1322"/>
    <n v="2644"/>
    <n v="951.83999999999992"/>
    <x v="0"/>
    <s v="Mouse"/>
    <n v="45823"/>
    <s v="Jun-2025"/>
    <n v="36"/>
    <x v="51"/>
  </r>
  <r>
    <n v="113"/>
    <n v="157"/>
    <n v="50"/>
    <n v="2"/>
    <n v="7350"/>
    <n v="14700"/>
    <n v="6615"/>
    <x v="8"/>
    <s v="Building Blocks"/>
    <n v="45826"/>
    <s v="Jun-2025"/>
    <n v="73"/>
    <x v="52"/>
  </r>
  <r>
    <n v="114"/>
    <n v="157"/>
    <n v="13"/>
    <n v="3"/>
    <n v="2281"/>
    <n v="6843"/>
    <n v="2771.3999999999996"/>
    <x v="2"/>
    <s v="Shirt"/>
    <n v="45826"/>
    <s v="Jun-2025"/>
    <n v="73"/>
    <x v="52"/>
  </r>
  <r>
    <n v="115"/>
    <n v="158"/>
    <n v="7"/>
    <n v="3"/>
    <n v="1459"/>
    <n v="4377"/>
    <n v="1510.0500000000002"/>
    <x v="0"/>
    <s v="Monitor"/>
    <n v="45829"/>
    <s v="Jun-2025"/>
    <n v="110"/>
    <x v="53"/>
  </r>
  <r>
    <n v="116"/>
    <n v="158"/>
    <n v="20"/>
    <n v="4"/>
    <n v="3240"/>
    <n v="12960"/>
    <n v="5832"/>
    <x v="2"/>
    <s v="Belt"/>
    <n v="45829"/>
    <s v="Jun-2025"/>
    <n v="110"/>
    <x v="53"/>
  </r>
  <r>
    <n v="117"/>
    <n v="159"/>
    <n v="14"/>
    <n v="4"/>
    <n v="2418"/>
    <n v="9672"/>
    <n v="3772.08"/>
    <x v="2"/>
    <s v="Jacket"/>
    <n v="45832"/>
    <s v="Jun-2025"/>
    <n v="147"/>
    <x v="54"/>
  </r>
  <r>
    <n v="118"/>
    <n v="159"/>
    <n v="27"/>
    <n v="1"/>
    <n v="4199"/>
    <n v="4199"/>
    <n v="1448.65"/>
    <x v="3"/>
    <s v="Cookware Set"/>
    <n v="45832"/>
    <s v="Jun-2025"/>
    <n v="147"/>
    <x v="54"/>
  </r>
  <r>
    <n v="119"/>
    <n v="160"/>
    <n v="21"/>
    <n v="1"/>
    <n v="3377"/>
    <n v="3377"/>
    <n v="1468.99"/>
    <x v="1"/>
    <s v="Mixer"/>
    <n v="45835"/>
    <s v="Jun-2025"/>
    <n v="184"/>
    <x v="55"/>
  </r>
  <r>
    <n v="120"/>
    <n v="160"/>
    <n v="34"/>
    <n v="2"/>
    <n v="5158"/>
    <n v="10316"/>
    <n v="4023.24"/>
    <x v="4"/>
    <s v="Cookbook"/>
    <n v="45835"/>
    <s v="Jun-2025"/>
    <n v="184"/>
    <x v="55"/>
  </r>
  <r>
    <n v="121"/>
    <n v="161"/>
    <n v="28"/>
    <n v="2"/>
    <n v="4336"/>
    <n v="8672"/>
    <n v="2861.76"/>
    <x v="3"/>
    <s v="Bottle"/>
    <n v="45838"/>
    <s v="Jun-2025"/>
    <n v="221"/>
    <x v="56"/>
  </r>
  <r>
    <n v="122"/>
    <n v="161"/>
    <n v="41"/>
    <n v="3"/>
    <n v="6117"/>
    <n v="18351"/>
    <n v="7982.67"/>
    <x v="6"/>
    <s v="Face Wash"/>
    <n v="45838"/>
    <s v="Jun-2025"/>
    <n v="221"/>
    <x v="56"/>
  </r>
  <r>
    <n v="123"/>
    <n v="162"/>
    <n v="35"/>
    <n v="3"/>
    <n v="5295"/>
    <n v="15885"/>
    <n v="5956.86"/>
    <x v="4"/>
    <s v="Novel"/>
    <n v="45841"/>
    <s v="Jul-2025"/>
    <n v="258"/>
    <x v="57"/>
  </r>
  <r>
    <n v="124"/>
    <n v="162"/>
    <n v="48"/>
    <n v="4"/>
    <n v="7076"/>
    <n v="28304"/>
    <n v="9340.32"/>
    <x v="8"/>
    <s v="Board Game"/>
    <n v="45841"/>
    <s v="Jul-2025"/>
    <n v="258"/>
    <x v="57"/>
  </r>
  <r>
    <n v="125"/>
    <n v="163"/>
    <n v="42"/>
    <n v="4"/>
    <n v="6254"/>
    <n v="25016"/>
    <n v="10506.72"/>
    <x v="6"/>
    <s v="Shampoo"/>
    <n v="45844"/>
    <s v="Jul-2025"/>
    <n v="295"/>
    <x v="58"/>
  </r>
  <r>
    <n v="126"/>
    <n v="163"/>
    <n v="5"/>
    <n v="1"/>
    <n v="1185"/>
    <n v="1185"/>
    <n v="444.38"/>
    <x v="0"/>
    <s v="Keyboard"/>
    <n v="45844"/>
    <s v="Jul-2025"/>
    <n v="295"/>
    <x v="58"/>
  </r>
  <r>
    <n v="127"/>
    <n v="164"/>
    <n v="49"/>
    <n v="1"/>
    <n v="7213"/>
    <n v="7213"/>
    <n v="2272.09"/>
    <x v="8"/>
    <s v="Remote Car"/>
    <n v="45847"/>
    <s v="Jul-2025"/>
    <n v="332"/>
    <x v="59"/>
  </r>
  <r>
    <n v="128"/>
    <n v="164"/>
    <n v="12"/>
    <n v="2"/>
    <n v="2144"/>
    <n v="4288"/>
    <n v="1800.96"/>
    <x v="2"/>
    <s v="Jeans"/>
    <n v="45847"/>
    <s v="Jul-2025"/>
    <n v="332"/>
    <x v="59"/>
  </r>
  <r>
    <n v="129"/>
    <n v="165"/>
    <n v="6"/>
    <n v="2"/>
    <n v="1322"/>
    <n v="2644"/>
    <n v="951.83999999999992"/>
    <x v="0"/>
    <s v="Mouse"/>
    <n v="45850"/>
    <s v="Jul-2025"/>
    <n v="369"/>
    <x v="60"/>
  </r>
  <r>
    <n v="130"/>
    <n v="165"/>
    <n v="19"/>
    <n v="3"/>
    <n v="3103"/>
    <n v="9309"/>
    <n v="2932.32"/>
    <x v="2"/>
    <s v="Wallet"/>
    <n v="45850"/>
    <s v="Jul-2025"/>
    <n v="369"/>
    <x v="60"/>
  </r>
  <r>
    <n v="131"/>
    <n v="166"/>
    <n v="13"/>
    <n v="3"/>
    <n v="2281"/>
    <n v="6843"/>
    <n v="2771.3999999999996"/>
    <x v="2"/>
    <s v="Shirt"/>
    <n v="45853"/>
    <s v="Jul-2025"/>
    <n v="406"/>
    <x v="61"/>
  </r>
  <r>
    <n v="132"/>
    <n v="166"/>
    <n v="26"/>
    <n v="4"/>
    <n v="4062"/>
    <n v="16248"/>
    <n v="5849.2800000000007"/>
    <x v="3"/>
    <s v="Bedsheet"/>
    <n v="45853"/>
    <s v="Jul-2025"/>
    <n v="406"/>
    <x v="61"/>
  </r>
  <r>
    <n v="133"/>
    <n v="167"/>
    <n v="20"/>
    <n v="4"/>
    <n v="3240"/>
    <n v="12960"/>
    <n v="5832"/>
    <x v="2"/>
    <s v="Belt"/>
    <n v="45856"/>
    <s v="Jul-2025"/>
    <n v="443"/>
    <x v="62"/>
  </r>
  <r>
    <n v="134"/>
    <n v="167"/>
    <n v="33"/>
    <n v="1"/>
    <n v="5021"/>
    <n v="5021"/>
    <n v="2033.5"/>
    <x v="4"/>
    <s v="Pen Set"/>
    <n v="45856"/>
    <s v="Jul-2025"/>
    <n v="443"/>
    <x v="62"/>
  </r>
  <r>
    <n v="135"/>
    <n v="168"/>
    <n v="27"/>
    <n v="1"/>
    <n v="4199"/>
    <n v="4199"/>
    <n v="1448.65"/>
    <x v="3"/>
    <s v="Cookware Set"/>
    <n v="45859"/>
    <s v="Jul-2025"/>
    <n v="480"/>
    <x v="63"/>
  </r>
  <r>
    <n v="136"/>
    <n v="168"/>
    <n v="40"/>
    <n v="2"/>
    <n v="5980"/>
    <n v="11960"/>
    <n v="5382"/>
    <x v="7"/>
    <s v="Dumbbells"/>
    <n v="45859"/>
    <s v="Jul-2025"/>
    <n v="480"/>
    <x v="63"/>
  </r>
  <r>
    <n v="137"/>
    <n v="169"/>
    <n v="34"/>
    <n v="2"/>
    <n v="5158"/>
    <n v="10316"/>
    <n v="4023.24"/>
    <x v="4"/>
    <s v="Cookbook"/>
    <n v="45862"/>
    <s v="Jul-2025"/>
    <n v="17"/>
    <x v="64"/>
  </r>
  <r>
    <n v="138"/>
    <n v="169"/>
    <n v="47"/>
    <n v="3"/>
    <n v="6939"/>
    <n v="20817"/>
    <n v="7181.8499999999995"/>
    <x v="8"/>
    <s v="Puzzle"/>
    <n v="45862"/>
    <s v="Jul-2025"/>
    <n v="17"/>
    <x v="64"/>
  </r>
  <r>
    <n v="139"/>
    <n v="170"/>
    <n v="41"/>
    <n v="3"/>
    <n v="6117"/>
    <n v="18351"/>
    <n v="7982.67"/>
    <x v="6"/>
    <s v="Face Wash"/>
    <n v="45865"/>
    <s v="Jul-2025"/>
    <n v="54"/>
    <x v="65"/>
  </r>
  <r>
    <n v="140"/>
    <n v="170"/>
    <n v="4"/>
    <n v="4"/>
    <n v="1048"/>
    <n v="4192"/>
    <n v="1634.88"/>
    <x v="0"/>
    <s v="Smart Watch"/>
    <n v="45865"/>
    <s v="Jul-2025"/>
    <n v="54"/>
    <x v="65"/>
  </r>
  <r>
    <n v="141"/>
    <n v="171"/>
    <n v="48"/>
    <n v="4"/>
    <n v="7076"/>
    <n v="28304"/>
    <n v="9340.32"/>
    <x v="8"/>
    <s v="Board Game"/>
    <n v="45868"/>
    <s v="Jul-2025"/>
    <n v="91"/>
    <x v="20"/>
  </r>
  <r>
    <n v="142"/>
    <n v="171"/>
    <n v="11"/>
    <n v="1"/>
    <n v="2007"/>
    <n v="2007"/>
    <n v="873.04"/>
    <x v="2"/>
    <s v="T-Shirt"/>
    <n v="45868"/>
    <s v="Jul-2025"/>
    <n v="91"/>
    <x v="20"/>
  </r>
  <r>
    <n v="143"/>
    <n v="172"/>
    <n v="5"/>
    <n v="1"/>
    <n v="1185"/>
    <n v="1185"/>
    <n v="444.38"/>
    <x v="0"/>
    <s v="Keyboard"/>
    <n v="45871"/>
    <s v="Aug-2025"/>
    <n v="128"/>
    <x v="66"/>
  </r>
  <r>
    <n v="144"/>
    <n v="172"/>
    <n v="18"/>
    <n v="2"/>
    <n v="2966"/>
    <n v="5932"/>
    <n v="1957.56"/>
    <x v="2"/>
    <s v="Backpack"/>
    <n v="45871"/>
    <s v="Aug-2025"/>
    <n v="128"/>
    <x v="66"/>
  </r>
  <r>
    <n v="145"/>
    <n v="173"/>
    <n v="12"/>
    <n v="2"/>
    <n v="2144"/>
    <n v="4288"/>
    <n v="1800.96"/>
    <x v="2"/>
    <s v="Jeans"/>
    <n v="45874"/>
    <s v="Aug-2025"/>
    <n v="165"/>
    <x v="67"/>
  </r>
  <r>
    <n v="146"/>
    <n v="173"/>
    <n v="25"/>
    <n v="3"/>
    <n v="3925"/>
    <n v="11775"/>
    <n v="4415.6400000000003"/>
    <x v="1"/>
    <s v="Vacuum Cleaner"/>
    <n v="45874"/>
    <s v="Aug-2025"/>
    <n v="165"/>
    <x v="67"/>
  </r>
  <r>
    <n v="147"/>
    <n v="174"/>
    <n v="19"/>
    <n v="3"/>
    <n v="3103"/>
    <n v="9309"/>
    <n v="2932.32"/>
    <x v="2"/>
    <s v="Wallet"/>
    <n v="45877"/>
    <s v="Aug-2025"/>
    <n v="202"/>
    <x v="68"/>
  </r>
  <r>
    <n v="148"/>
    <n v="174"/>
    <n v="32"/>
    <n v="4"/>
    <n v="4884"/>
    <n v="19536"/>
    <n v="8205.1200000000008"/>
    <x v="4"/>
    <s v="Notebook"/>
    <n v="45877"/>
    <s v="Aug-2025"/>
    <n v="202"/>
    <x v="68"/>
  </r>
  <r>
    <n v="149"/>
    <n v="175"/>
    <n v="26"/>
    <n v="4"/>
    <n v="4062"/>
    <n v="16248"/>
    <n v="5849.2800000000007"/>
    <x v="3"/>
    <s v="Bedsheet"/>
    <n v="45880"/>
    <s v="Aug-2025"/>
    <n v="239"/>
    <x v="69"/>
  </r>
  <r>
    <n v="150"/>
    <n v="175"/>
    <n v="39"/>
    <n v="1"/>
    <n v="5843"/>
    <n v="5843"/>
    <n v="1840.54"/>
    <x v="7"/>
    <s v="Yoga Mat"/>
    <n v="45880"/>
    <s v="Aug-2025"/>
    <n v="239"/>
    <x v="69"/>
  </r>
  <r>
    <n v="151"/>
    <n v="176"/>
    <n v="33"/>
    <n v="1"/>
    <n v="5021"/>
    <n v="5021"/>
    <n v="2033.5"/>
    <x v="4"/>
    <s v="Pen Set"/>
    <n v="45883"/>
    <s v="Aug-2025"/>
    <n v="276"/>
    <x v="70"/>
  </r>
  <r>
    <n v="152"/>
    <n v="176"/>
    <n v="46"/>
    <n v="2"/>
    <n v="6802"/>
    <n v="13604"/>
    <n v="4897.4400000000005"/>
    <x v="8"/>
    <s v="Toys Car"/>
    <n v="45883"/>
    <s v="Aug-2025"/>
    <n v="276"/>
    <x v="70"/>
  </r>
  <r>
    <n v="153"/>
    <n v="177"/>
    <n v="40"/>
    <n v="2"/>
    <n v="5980"/>
    <n v="11960"/>
    <n v="5382"/>
    <x v="7"/>
    <s v="Dumbbells"/>
    <n v="45886"/>
    <s v="Aug-2025"/>
    <n v="313"/>
    <x v="71"/>
  </r>
  <r>
    <n v="154"/>
    <n v="177"/>
    <n v="3"/>
    <n v="3"/>
    <n v="911"/>
    <n v="2733"/>
    <n v="1106.8500000000001"/>
    <x v="0"/>
    <s v="Headphones"/>
    <n v="45886"/>
    <s v="Aug-2025"/>
    <n v="313"/>
    <x v="71"/>
  </r>
  <r>
    <n v="155"/>
    <n v="178"/>
    <n v="47"/>
    <n v="3"/>
    <n v="6939"/>
    <n v="20817"/>
    <n v="7181.8499999999995"/>
    <x v="8"/>
    <s v="Puzzle"/>
    <n v="45889"/>
    <s v="Aug-2025"/>
    <n v="350"/>
    <x v="72"/>
  </r>
  <r>
    <n v="156"/>
    <n v="178"/>
    <n v="10"/>
    <n v="4"/>
    <n v="1870"/>
    <n v="7480"/>
    <n v="3366"/>
    <x v="0"/>
    <s v="Earbuds"/>
    <n v="45889"/>
    <s v="Aug-2025"/>
    <n v="350"/>
    <x v="72"/>
  </r>
  <r>
    <n v="157"/>
    <n v="179"/>
    <n v="4"/>
    <n v="4"/>
    <n v="1048"/>
    <n v="4192"/>
    <n v="1634.88"/>
    <x v="0"/>
    <s v="Smart Watch"/>
    <n v="45892"/>
    <s v="Aug-2025"/>
    <n v="387"/>
    <x v="73"/>
  </r>
  <r>
    <n v="158"/>
    <n v="179"/>
    <n v="17"/>
    <n v="1"/>
    <n v="2829"/>
    <n v="2829"/>
    <n v="976"/>
    <x v="2"/>
    <s v="Dress"/>
    <n v="45892"/>
    <s v="Aug-2025"/>
    <n v="387"/>
    <x v="73"/>
  </r>
  <r>
    <n v="159"/>
    <n v="180"/>
    <n v="11"/>
    <n v="1"/>
    <n v="2007"/>
    <n v="2007"/>
    <n v="873.04"/>
    <x v="2"/>
    <s v="T-Shirt"/>
    <n v="45895"/>
    <s v="Aug-2025"/>
    <n v="424"/>
    <x v="74"/>
  </r>
  <r>
    <n v="160"/>
    <n v="180"/>
    <n v="24"/>
    <n v="2"/>
    <n v="3788"/>
    <n v="7576"/>
    <n v="2954.6400000000003"/>
    <x v="1"/>
    <s v="Iron"/>
    <n v="45895"/>
    <s v="Aug-2025"/>
    <n v="424"/>
    <x v="74"/>
  </r>
  <r>
    <n v="161"/>
    <n v="181"/>
    <n v="18"/>
    <n v="2"/>
    <n v="2966"/>
    <n v="5932"/>
    <n v="1957.56"/>
    <x v="2"/>
    <s v="Backpack"/>
    <n v="45898"/>
    <s v="Aug-2025"/>
    <n v="461"/>
    <x v="32"/>
  </r>
  <r>
    <n v="162"/>
    <n v="181"/>
    <n v="31"/>
    <n v="3"/>
    <n v="4747"/>
    <n v="14241"/>
    <n v="6194.82"/>
    <x v="4"/>
    <s v="Book"/>
    <n v="45898"/>
    <s v="Aug-2025"/>
    <n v="461"/>
    <x v="32"/>
  </r>
  <r>
    <n v="163"/>
    <n v="182"/>
    <n v="25"/>
    <n v="3"/>
    <n v="3925"/>
    <n v="11775"/>
    <n v="4415.6400000000003"/>
    <x v="1"/>
    <s v="Vacuum Cleaner"/>
    <n v="45901"/>
    <s v="Sep-2025"/>
    <n v="498"/>
    <x v="75"/>
  </r>
  <r>
    <n v="164"/>
    <n v="182"/>
    <n v="38"/>
    <n v="4"/>
    <n v="5706"/>
    <n v="22824"/>
    <n v="7531.92"/>
    <x v="7"/>
    <s v="Badminton Racket"/>
    <n v="45901"/>
    <s v="Sep-2025"/>
    <n v="498"/>
    <x v="75"/>
  </r>
  <r>
    <n v="165"/>
    <n v="183"/>
    <n v="32"/>
    <n v="4"/>
    <n v="4884"/>
    <n v="19536"/>
    <n v="8205.1200000000008"/>
    <x v="4"/>
    <s v="Notebook"/>
    <n v="45904"/>
    <s v="Sep-2025"/>
    <n v="35"/>
    <x v="57"/>
  </r>
  <r>
    <n v="166"/>
    <n v="183"/>
    <n v="45"/>
    <n v="1"/>
    <n v="6665"/>
    <n v="6665"/>
    <n v="2499.38"/>
    <x v="6"/>
    <s v="Sunscreen"/>
    <n v="45904"/>
    <s v="Sep-2025"/>
    <n v="35"/>
    <x v="57"/>
  </r>
  <r>
    <n v="167"/>
    <n v="184"/>
    <n v="39"/>
    <n v="1"/>
    <n v="5843"/>
    <n v="5843"/>
    <n v="1840.54"/>
    <x v="7"/>
    <s v="Yoga Mat"/>
    <n v="45907"/>
    <s v="Sep-2025"/>
    <n v="72"/>
    <x v="35"/>
  </r>
  <r>
    <n v="168"/>
    <n v="184"/>
    <n v="2"/>
    <n v="2"/>
    <n v="774"/>
    <n v="1548"/>
    <n v="650.16"/>
    <x v="0"/>
    <s v="Mobile"/>
    <n v="45907"/>
    <s v="Sep-2025"/>
    <n v="72"/>
    <x v="35"/>
  </r>
  <r>
    <n v="169"/>
    <n v="185"/>
    <n v="46"/>
    <n v="2"/>
    <n v="6802"/>
    <n v="13604"/>
    <n v="4897.4400000000005"/>
    <x v="8"/>
    <s v="Toys Car"/>
    <n v="45910"/>
    <s v="Sep-2025"/>
    <n v="109"/>
    <x v="76"/>
  </r>
  <r>
    <n v="170"/>
    <n v="185"/>
    <n v="9"/>
    <n v="3"/>
    <n v="1733"/>
    <n v="5199"/>
    <n v="1637.6700000000003"/>
    <x v="0"/>
    <s v="Power Bank"/>
    <n v="45910"/>
    <s v="Sep-2025"/>
    <n v="109"/>
    <x v="76"/>
  </r>
  <r>
    <n v="171"/>
    <n v="186"/>
    <n v="3"/>
    <n v="3"/>
    <n v="911"/>
    <n v="2733"/>
    <n v="1106.8500000000001"/>
    <x v="0"/>
    <s v="Headphones"/>
    <n v="45913"/>
    <s v="Sep-2025"/>
    <n v="146"/>
    <x v="77"/>
  </r>
  <r>
    <n v="172"/>
    <n v="186"/>
    <n v="16"/>
    <n v="4"/>
    <n v="2692"/>
    <n v="10768"/>
    <n v="3876.4799999999996"/>
    <x v="2"/>
    <s v="Saree"/>
    <n v="45913"/>
    <s v="Sep-2025"/>
    <n v="146"/>
    <x v="77"/>
  </r>
  <r>
    <n v="173"/>
    <n v="187"/>
    <n v="10"/>
    <n v="4"/>
    <n v="1870"/>
    <n v="7480"/>
    <n v="3366"/>
    <x v="0"/>
    <s v="Earbuds"/>
    <n v="45916"/>
    <s v="Sep-2025"/>
    <n v="183"/>
    <x v="78"/>
  </r>
  <r>
    <n v="174"/>
    <n v="187"/>
    <n v="23"/>
    <n v="1"/>
    <n v="3651"/>
    <n v="3651"/>
    <n v="1478.65"/>
    <x v="1"/>
    <s v="Fan"/>
    <n v="45916"/>
    <s v="Sep-2025"/>
    <n v="183"/>
    <x v="78"/>
  </r>
  <r>
    <n v="175"/>
    <n v="188"/>
    <n v="17"/>
    <n v="1"/>
    <n v="2829"/>
    <n v="2829"/>
    <n v="976"/>
    <x v="2"/>
    <s v="Dress"/>
    <n v="45919"/>
    <s v="Sep-2025"/>
    <n v="220"/>
    <x v="79"/>
  </r>
  <r>
    <n v="176"/>
    <n v="188"/>
    <n v="30"/>
    <n v="2"/>
    <n v="4610"/>
    <n v="9220"/>
    <n v="4149"/>
    <x v="5"/>
    <s v="Table"/>
    <n v="45919"/>
    <s v="Sep-2025"/>
    <n v="220"/>
    <x v="79"/>
  </r>
  <r>
    <n v="177"/>
    <n v="189"/>
    <n v="24"/>
    <n v="2"/>
    <n v="3788"/>
    <n v="7576"/>
    <n v="2954.6400000000003"/>
    <x v="1"/>
    <s v="Iron"/>
    <n v="45922"/>
    <s v="Sep-2025"/>
    <n v="257"/>
    <x v="80"/>
  </r>
  <r>
    <n v="178"/>
    <n v="189"/>
    <n v="37"/>
    <n v="3"/>
    <n v="5569"/>
    <n v="16707"/>
    <n v="5763.9000000000005"/>
    <x v="7"/>
    <s v="Football"/>
    <n v="45922"/>
    <s v="Sep-2025"/>
    <n v="257"/>
    <x v="80"/>
  </r>
  <r>
    <n v="179"/>
    <n v="190"/>
    <n v="31"/>
    <n v="3"/>
    <n v="4747"/>
    <n v="14241"/>
    <n v="6194.82"/>
    <x v="4"/>
    <s v="Book"/>
    <n v="45925"/>
    <s v="Sep-2025"/>
    <n v="294"/>
    <x v="81"/>
  </r>
  <r>
    <n v="180"/>
    <n v="190"/>
    <n v="44"/>
    <n v="4"/>
    <n v="6528"/>
    <n v="26112"/>
    <n v="10183.68"/>
    <x v="6"/>
    <s v="Moisturizer"/>
    <n v="45925"/>
    <s v="Sep-2025"/>
    <n v="294"/>
    <x v="81"/>
  </r>
  <r>
    <n v="181"/>
    <n v="191"/>
    <n v="38"/>
    <n v="4"/>
    <n v="5706"/>
    <n v="22824"/>
    <n v="7531.92"/>
    <x v="7"/>
    <s v="Badminton Racket"/>
    <n v="45928"/>
    <s v="Sep-2025"/>
    <n v="331"/>
    <x v="82"/>
  </r>
  <r>
    <n v="182"/>
    <n v="191"/>
    <n v="1"/>
    <n v="1"/>
    <n v="637"/>
    <n v="637"/>
    <n v="277.08999999999997"/>
    <x v="0"/>
    <s v="Laptop"/>
    <n v="45928"/>
    <s v="Sep-2025"/>
    <n v="331"/>
    <x v="82"/>
  </r>
  <r>
    <n v="183"/>
    <n v="192"/>
    <n v="45"/>
    <n v="1"/>
    <n v="6665"/>
    <n v="6665"/>
    <n v="2499.38"/>
    <x v="6"/>
    <s v="Sunscreen"/>
    <n v="45931"/>
    <s v="Oct-2025"/>
    <n v="368"/>
    <x v="83"/>
  </r>
  <r>
    <n v="184"/>
    <n v="192"/>
    <n v="8"/>
    <n v="2"/>
    <n v="1596"/>
    <n v="3192"/>
    <n v="1053.3600000000001"/>
    <x v="0"/>
    <s v="Tablet"/>
    <n v="45931"/>
    <s v="Oct-2025"/>
    <n v="368"/>
    <x v="83"/>
  </r>
  <r>
    <n v="185"/>
    <n v="193"/>
    <n v="2"/>
    <n v="2"/>
    <n v="774"/>
    <n v="1548"/>
    <n v="650.16"/>
    <x v="0"/>
    <s v="Mobile"/>
    <n v="45934"/>
    <s v="Oct-2025"/>
    <n v="405"/>
    <x v="84"/>
  </r>
  <r>
    <n v="186"/>
    <n v="193"/>
    <n v="15"/>
    <n v="3"/>
    <n v="2555"/>
    <n v="7665"/>
    <n v="2874.3599999999997"/>
    <x v="2"/>
    <s v="Shoes"/>
    <n v="45934"/>
    <s v="Oct-2025"/>
    <n v="405"/>
    <x v="84"/>
  </r>
  <r>
    <n v="187"/>
    <n v="194"/>
    <n v="9"/>
    <n v="3"/>
    <n v="1733"/>
    <n v="5199"/>
    <n v="1637.6700000000003"/>
    <x v="0"/>
    <s v="Power Bank"/>
    <n v="45937"/>
    <s v="Oct-2025"/>
    <n v="442"/>
    <x v="85"/>
  </r>
  <r>
    <n v="188"/>
    <n v="194"/>
    <n v="22"/>
    <n v="4"/>
    <n v="3514"/>
    <n v="14056"/>
    <n v="5903.52"/>
    <x v="1"/>
    <s v="Microwave"/>
    <n v="45937"/>
    <s v="Oct-2025"/>
    <n v="442"/>
    <x v="85"/>
  </r>
  <r>
    <n v="189"/>
    <n v="195"/>
    <n v="16"/>
    <n v="4"/>
    <n v="2692"/>
    <n v="10768"/>
    <n v="3876.4799999999996"/>
    <x v="2"/>
    <s v="Saree"/>
    <n v="45940"/>
    <s v="Oct-2025"/>
    <n v="479"/>
    <x v="86"/>
  </r>
  <r>
    <n v="190"/>
    <n v="195"/>
    <n v="29"/>
    <n v="1"/>
    <n v="4473"/>
    <n v="4473"/>
    <n v="1408.9899999999998"/>
    <x v="5"/>
    <s v="Chair"/>
    <n v="45940"/>
    <s v="Oct-2025"/>
    <n v="479"/>
    <x v="86"/>
  </r>
  <r>
    <n v="191"/>
    <n v="196"/>
    <n v="23"/>
    <n v="1"/>
    <n v="3651"/>
    <n v="3651"/>
    <n v="1478.65"/>
    <x v="1"/>
    <s v="Fan"/>
    <n v="45943"/>
    <s v="Oct-2025"/>
    <n v="16"/>
    <x v="87"/>
  </r>
  <r>
    <n v="192"/>
    <n v="196"/>
    <n v="36"/>
    <n v="2"/>
    <n v="5432"/>
    <n v="10864"/>
    <n v="3911.04"/>
    <x v="7"/>
    <s v="Cricket Bat"/>
    <n v="45943"/>
    <s v="Oct-2025"/>
    <n v="16"/>
    <x v="87"/>
  </r>
  <r>
    <n v="193"/>
    <n v="197"/>
    <n v="30"/>
    <n v="2"/>
    <n v="4610"/>
    <n v="9220"/>
    <n v="4149"/>
    <x v="5"/>
    <s v="Table"/>
    <n v="45946"/>
    <s v="Oct-2025"/>
    <n v="53"/>
    <x v="88"/>
  </r>
  <r>
    <n v="194"/>
    <n v="197"/>
    <n v="43"/>
    <n v="3"/>
    <n v="6391"/>
    <n v="19173"/>
    <n v="7765.0499999999993"/>
    <x v="6"/>
    <s v="Perfume"/>
    <n v="45946"/>
    <s v="Oct-2025"/>
    <n v="53"/>
    <x v="88"/>
  </r>
  <r>
    <n v="195"/>
    <n v="198"/>
    <n v="37"/>
    <n v="3"/>
    <n v="5569"/>
    <n v="16707"/>
    <n v="5763.9000000000005"/>
    <x v="7"/>
    <s v="Football"/>
    <n v="45949"/>
    <s v="Oct-2025"/>
    <n v="90"/>
    <x v="89"/>
  </r>
  <r>
    <n v="196"/>
    <n v="198"/>
    <n v="50"/>
    <n v="4"/>
    <n v="7350"/>
    <n v="29400"/>
    <n v="13230"/>
    <x v="8"/>
    <s v="Building Blocks"/>
    <n v="45949"/>
    <s v="Oct-2025"/>
    <n v="90"/>
    <x v="89"/>
  </r>
  <r>
    <n v="197"/>
    <n v="199"/>
    <n v="44"/>
    <n v="4"/>
    <n v="6528"/>
    <n v="26112"/>
    <n v="10183.68"/>
    <x v="6"/>
    <s v="Moisturizer"/>
    <n v="45952"/>
    <s v="Oct-2025"/>
    <n v="127"/>
    <x v="90"/>
  </r>
  <r>
    <n v="198"/>
    <n v="199"/>
    <n v="7"/>
    <n v="1"/>
    <n v="1459"/>
    <n v="1459"/>
    <n v="503.35"/>
    <x v="0"/>
    <s v="Monitor"/>
    <n v="45952"/>
    <s v="Oct-2025"/>
    <n v="127"/>
    <x v="90"/>
  </r>
  <r>
    <n v="199"/>
    <n v="200"/>
    <n v="1"/>
    <n v="1"/>
    <n v="637"/>
    <n v="637"/>
    <n v="277.08999999999997"/>
    <x v="0"/>
    <s v="Laptop"/>
    <n v="45955"/>
    <s v="Oct-2025"/>
    <n v="164"/>
    <x v="91"/>
  </r>
  <r>
    <n v="200"/>
    <n v="200"/>
    <n v="14"/>
    <n v="2"/>
    <n v="2418"/>
    <n v="4836"/>
    <n v="1886.04"/>
    <x v="2"/>
    <s v="Jacket"/>
    <n v="45955"/>
    <s v="Oct-2025"/>
    <n v="164"/>
    <x v="91"/>
  </r>
  <r>
    <n v="201"/>
    <n v="201"/>
    <n v="8"/>
    <n v="2"/>
    <n v="1596"/>
    <n v="3192"/>
    <n v="1053.3600000000001"/>
    <x v="0"/>
    <s v="Tablet"/>
    <n v="45958"/>
    <s v="Oct-2025"/>
    <n v="201"/>
    <x v="92"/>
  </r>
  <r>
    <n v="202"/>
    <n v="201"/>
    <n v="21"/>
    <n v="3"/>
    <n v="3377"/>
    <n v="10131"/>
    <n v="4406.97"/>
    <x v="1"/>
    <s v="Mixer"/>
    <n v="45958"/>
    <s v="Oct-2025"/>
    <n v="201"/>
    <x v="92"/>
  </r>
  <r>
    <n v="203"/>
    <n v="202"/>
    <n v="15"/>
    <n v="3"/>
    <n v="2555"/>
    <n v="7665"/>
    <n v="2874.3599999999997"/>
    <x v="2"/>
    <s v="Shoes"/>
    <n v="45961"/>
    <s v="Oct-2025"/>
    <n v="238"/>
    <x v="93"/>
  </r>
  <r>
    <n v="204"/>
    <n v="202"/>
    <n v="28"/>
    <n v="4"/>
    <n v="4336"/>
    <n v="17344"/>
    <n v="5723.52"/>
    <x v="3"/>
    <s v="Bottle"/>
    <n v="45961"/>
    <s v="Oct-2025"/>
    <n v="238"/>
    <x v="93"/>
  </r>
  <r>
    <n v="205"/>
    <n v="203"/>
    <n v="22"/>
    <n v="4"/>
    <n v="3514"/>
    <n v="14056"/>
    <n v="5903.52"/>
    <x v="1"/>
    <s v="Microwave"/>
    <n v="45964"/>
    <s v="Nov-2025"/>
    <n v="275"/>
    <x v="17"/>
  </r>
  <r>
    <n v="206"/>
    <n v="203"/>
    <n v="35"/>
    <n v="1"/>
    <n v="5295"/>
    <n v="5295"/>
    <n v="1985.62"/>
    <x v="4"/>
    <s v="Novel"/>
    <n v="45964"/>
    <s v="Nov-2025"/>
    <n v="275"/>
    <x v="17"/>
  </r>
  <r>
    <n v="207"/>
    <n v="204"/>
    <n v="29"/>
    <n v="1"/>
    <n v="4473"/>
    <n v="4473"/>
    <n v="1408.9899999999998"/>
    <x v="5"/>
    <s v="Chair"/>
    <n v="45967"/>
    <s v="Nov-2025"/>
    <n v="312"/>
    <x v="67"/>
  </r>
  <r>
    <n v="208"/>
    <n v="204"/>
    <n v="42"/>
    <n v="2"/>
    <n v="6254"/>
    <n v="12508"/>
    <n v="5253.36"/>
    <x v="6"/>
    <s v="Shampoo"/>
    <n v="45967"/>
    <s v="Nov-2025"/>
    <n v="312"/>
    <x v="67"/>
  </r>
  <r>
    <n v="209"/>
    <n v="205"/>
    <n v="36"/>
    <n v="2"/>
    <n v="5432"/>
    <n v="10864"/>
    <n v="3911.04"/>
    <x v="7"/>
    <s v="Cricket Bat"/>
    <n v="45970"/>
    <s v="Nov-2025"/>
    <n v="349"/>
    <x v="94"/>
  </r>
  <r>
    <n v="210"/>
    <n v="205"/>
    <n v="49"/>
    <n v="3"/>
    <n v="7213"/>
    <n v="21639"/>
    <n v="6816.27"/>
    <x v="8"/>
    <s v="Remote Car"/>
    <n v="45970"/>
    <s v="Nov-2025"/>
    <n v="349"/>
    <x v="94"/>
  </r>
  <r>
    <n v="211"/>
    <n v="206"/>
    <n v="43"/>
    <n v="3"/>
    <n v="6391"/>
    <n v="19173"/>
    <n v="7765.0499999999993"/>
    <x v="6"/>
    <s v="Perfume"/>
    <n v="45973"/>
    <s v="Nov-2025"/>
    <n v="386"/>
    <x v="95"/>
  </r>
  <r>
    <n v="212"/>
    <n v="206"/>
    <n v="6"/>
    <n v="4"/>
    <n v="1322"/>
    <n v="5288"/>
    <n v="1903.6799999999998"/>
    <x v="0"/>
    <s v="Mouse"/>
    <n v="45973"/>
    <s v="Nov-2025"/>
    <n v="386"/>
    <x v="95"/>
  </r>
  <r>
    <n v="213"/>
    <n v="207"/>
    <n v="50"/>
    <n v="4"/>
    <n v="7350"/>
    <n v="29400"/>
    <n v="13230"/>
    <x v="8"/>
    <s v="Building Blocks"/>
    <n v="45976"/>
    <s v="Nov-2025"/>
    <n v="423"/>
    <x v="96"/>
  </r>
  <r>
    <n v="214"/>
    <n v="207"/>
    <n v="13"/>
    <n v="1"/>
    <n v="2281"/>
    <n v="2281"/>
    <n v="923.8"/>
    <x v="2"/>
    <s v="Shirt"/>
    <n v="45976"/>
    <s v="Nov-2025"/>
    <n v="423"/>
    <x v="96"/>
  </r>
  <r>
    <n v="215"/>
    <n v="208"/>
    <n v="7"/>
    <n v="1"/>
    <n v="1459"/>
    <n v="1459"/>
    <n v="503.35"/>
    <x v="0"/>
    <s v="Monitor"/>
    <n v="45979"/>
    <s v="Nov-2025"/>
    <n v="460"/>
    <x v="97"/>
  </r>
  <r>
    <n v="216"/>
    <n v="208"/>
    <n v="20"/>
    <n v="2"/>
    <n v="3240"/>
    <n v="6480"/>
    <n v="2916"/>
    <x v="2"/>
    <s v="Belt"/>
    <n v="45979"/>
    <s v="Nov-2025"/>
    <n v="460"/>
    <x v="97"/>
  </r>
  <r>
    <n v="217"/>
    <n v="209"/>
    <n v="14"/>
    <n v="2"/>
    <n v="2418"/>
    <n v="4836"/>
    <n v="1886.04"/>
    <x v="2"/>
    <s v="Jacket"/>
    <n v="45982"/>
    <s v="Nov-2025"/>
    <n v="497"/>
    <x v="98"/>
  </r>
  <r>
    <n v="218"/>
    <n v="209"/>
    <n v="27"/>
    <n v="3"/>
    <n v="4199"/>
    <n v="12597"/>
    <n v="4345.9500000000007"/>
    <x v="3"/>
    <s v="Cookware Set"/>
    <n v="45982"/>
    <s v="Nov-2025"/>
    <n v="497"/>
    <x v="98"/>
  </r>
  <r>
    <n v="219"/>
    <n v="210"/>
    <n v="21"/>
    <n v="3"/>
    <n v="3377"/>
    <n v="10131"/>
    <n v="4406.97"/>
    <x v="1"/>
    <s v="Mixer"/>
    <n v="45985"/>
    <s v="Nov-2025"/>
    <n v="34"/>
    <x v="99"/>
  </r>
  <r>
    <n v="220"/>
    <n v="210"/>
    <n v="34"/>
    <n v="4"/>
    <n v="5158"/>
    <n v="20632"/>
    <n v="8046.48"/>
    <x v="4"/>
    <s v="Cookbook"/>
    <n v="45985"/>
    <s v="Nov-2025"/>
    <n v="34"/>
    <x v="99"/>
  </r>
  <r>
    <n v="221"/>
    <n v="211"/>
    <n v="28"/>
    <n v="4"/>
    <n v="4336"/>
    <n v="17344"/>
    <n v="5723.52"/>
    <x v="3"/>
    <s v="Bottle"/>
    <n v="45988"/>
    <s v="Nov-2025"/>
    <n v="71"/>
    <x v="100"/>
  </r>
  <r>
    <n v="222"/>
    <n v="211"/>
    <n v="41"/>
    <n v="1"/>
    <n v="6117"/>
    <n v="6117"/>
    <n v="2660.89"/>
    <x v="6"/>
    <s v="Face Wash"/>
    <n v="45988"/>
    <s v="Nov-2025"/>
    <n v="71"/>
    <x v="100"/>
  </r>
  <r>
    <n v="223"/>
    <n v="212"/>
    <n v="35"/>
    <n v="1"/>
    <n v="5295"/>
    <n v="5295"/>
    <n v="1985.62"/>
    <x v="4"/>
    <s v="Novel"/>
    <n v="45991"/>
    <s v="Nov-2025"/>
    <n v="108"/>
    <x v="101"/>
  </r>
  <r>
    <n v="224"/>
    <n v="212"/>
    <n v="48"/>
    <n v="2"/>
    <n v="7076"/>
    <n v="14152"/>
    <n v="4670.16"/>
    <x v="8"/>
    <s v="Board Game"/>
    <n v="45991"/>
    <s v="Nov-2025"/>
    <n v="108"/>
    <x v="101"/>
  </r>
  <r>
    <n v="225"/>
    <n v="213"/>
    <n v="42"/>
    <n v="2"/>
    <n v="6254"/>
    <n v="12508"/>
    <n v="5253.36"/>
    <x v="6"/>
    <s v="Shampoo"/>
    <n v="45994"/>
    <s v="Dec-2025"/>
    <n v="145"/>
    <x v="102"/>
  </r>
  <r>
    <n v="226"/>
    <n v="213"/>
    <n v="5"/>
    <n v="3"/>
    <n v="1185"/>
    <n v="3555"/>
    <n v="1333.1399999999999"/>
    <x v="0"/>
    <s v="Keyboard"/>
    <n v="45994"/>
    <s v="Dec-2025"/>
    <n v="145"/>
    <x v="102"/>
  </r>
  <r>
    <n v="227"/>
    <n v="214"/>
    <n v="49"/>
    <n v="3"/>
    <n v="7213"/>
    <n v="21639"/>
    <n v="6816.27"/>
    <x v="8"/>
    <s v="Remote Car"/>
    <n v="45997"/>
    <s v="Dec-2025"/>
    <n v="182"/>
    <x v="103"/>
  </r>
  <r>
    <n v="228"/>
    <n v="214"/>
    <n v="12"/>
    <n v="4"/>
    <n v="2144"/>
    <n v="8576"/>
    <n v="3601.92"/>
    <x v="2"/>
    <s v="Jeans"/>
    <n v="45997"/>
    <s v="Dec-2025"/>
    <n v="182"/>
    <x v="103"/>
  </r>
  <r>
    <n v="229"/>
    <n v="215"/>
    <n v="6"/>
    <n v="4"/>
    <n v="1322"/>
    <n v="5288"/>
    <n v="1903.6799999999998"/>
    <x v="0"/>
    <s v="Mouse"/>
    <n v="46000"/>
    <s v="Dec-2025"/>
    <n v="219"/>
    <x v="10"/>
  </r>
  <r>
    <n v="230"/>
    <n v="215"/>
    <n v="19"/>
    <n v="1"/>
    <n v="3103"/>
    <n v="3103"/>
    <n v="977.44"/>
    <x v="2"/>
    <s v="Wallet"/>
    <n v="46000"/>
    <s v="Dec-2025"/>
    <n v="219"/>
    <x v="10"/>
  </r>
  <r>
    <n v="231"/>
    <n v="216"/>
    <n v="13"/>
    <n v="1"/>
    <n v="2281"/>
    <n v="2281"/>
    <n v="923.8"/>
    <x v="2"/>
    <s v="Shirt"/>
    <n v="46003"/>
    <s v="Dec-2025"/>
    <n v="256"/>
    <x v="104"/>
  </r>
  <r>
    <n v="232"/>
    <n v="216"/>
    <n v="26"/>
    <n v="2"/>
    <n v="4062"/>
    <n v="8124"/>
    <n v="2924.6400000000003"/>
    <x v="3"/>
    <s v="Bedsheet"/>
    <n v="46003"/>
    <s v="Dec-2025"/>
    <n v="256"/>
    <x v="104"/>
  </r>
  <r>
    <n v="233"/>
    <n v="217"/>
    <n v="20"/>
    <n v="2"/>
    <n v="3240"/>
    <n v="6480"/>
    <n v="2916"/>
    <x v="2"/>
    <s v="Belt"/>
    <n v="46006"/>
    <s v="Dec-2025"/>
    <n v="293"/>
    <x v="40"/>
  </r>
  <r>
    <n v="234"/>
    <n v="217"/>
    <n v="33"/>
    <n v="3"/>
    <n v="5021"/>
    <n v="15063"/>
    <n v="6100.5"/>
    <x v="4"/>
    <s v="Pen Set"/>
    <n v="46006"/>
    <s v="Dec-2025"/>
    <n v="293"/>
    <x v="40"/>
  </r>
  <r>
    <n v="235"/>
    <n v="218"/>
    <n v="27"/>
    <n v="3"/>
    <n v="4199"/>
    <n v="12597"/>
    <n v="4345.9500000000007"/>
    <x v="3"/>
    <s v="Cookware Set"/>
    <n v="46009"/>
    <s v="Dec-2025"/>
    <n v="330"/>
    <x v="105"/>
  </r>
  <r>
    <n v="236"/>
    <n v="218"/>
    <n v="40"/>
    <n v="4"/>
    <n v="5980"/>
    <n v="23920"/>
    <n v="10764"/>
    <x v="7"/>
    <s v="Dumbbells"/>
    <n v="46009"/>
    <s v="Dec-2025"/>
    <n v="330"/>
    <x v="105"/>
  </r>
  <r>
    <n v="237"/>
    <n v="219"/>
    <n v="34"/>
    <n v="4"/>
    <n v="5158"/>
    <n v="20632"/>
    <n v="8046.48"/>
    <x v="4"/>
    <s v="Cookbook"/>
    <n v="46012"/>
    <s v="Dec-2025"/>
    <n v="367"/>
    <x v="106"/>
  </r>
  <r>
    <n v="238"/>
    <n v="219"/>
    <n v="47"/>
    <n v="1"/>
    <n v="6939"/>
    <n v="6939"/>
    <n v="2393.9499999999998"/>
    <x v="8"/>
    <s v="Puzzle"/>
    <n v="46012"/>
    <s v="Dec-2025"/>
    <n v="367"/>
    <x v="106"/>
  </r>
  <r>
    <n v="239"/>
    <n v="220"/>
    <n v="41"/>
    <n v="1"/>
    <n v="6117"/>
    <n v="6117"/>
    <n v="2660.89"/>
    <x v="6"/>
    <s v="Face Wash"/>
    <n v="46015"/>
    <s v="Dec-2025"/>
    <n v="404"/>
    <x v="107"/>
  </r>
  <r>
    <n v="240"/>
    <n v="220"/>
    <n v="4"/>
    <n v="2"/>
    <n v="1048"/>
    <n v="2096"/>
    <n v="817.44"/>
    <x v="0"/>
    <s v="Smart Watch"/>
    <n v="46015"/>
    <s v="Dec-2025"/>
    <n v="404"/>
    <x v="107"/>
  </r>
  <r>
    <n v="241"/>
    <n v="221"/>
    <n v="48"/>
    <n v="2"/>
    <n v="7076"/>
    <n v="14152"/>
    <n v="4670.16"/>
    <x v="8"/>
    <s v="Board Game"/>
    <n v="46018"/>
    <s v="Dec-2025"/>
    <n v="441"/>
    <x v="108"/>
  </r>
  <r>
    <n v="242"/>
    <n v="221"/>
    <n v="11"/>
    <n v="3"/>
    <n v="2007"/>
    <n v="6021"/>
    <n v="2619.12"/>
    <x v="2"/>
    <s v="T-Shirt"/>
    <n v="46018"/>
    <s v="Dec-2025"/>
    <n v="441"/>
    <x v="108"/>
  </r>
  <r>
    <n v="243"/>
    <n v="222"/>
    <n v="5"/>
    <n v="3"/>
    <n v="1185"/>
    <n v="3555"/>
    <n v="1333.1399999999999"/>
    <x v="0"/>
    <s v="Keyboard"/>
    <n v="46021"/>
    <s v="Dec-2025"/>
    <n v="478"/>
    <x v="109"/>
  </r>
  <r>
    <n v="244"/>
    <n v="222"/>
    <n v="18"/>
    <n v="4"/>
    <n v="2966"/>
    <n v="11864"/>
    <n v="3915.12"/>
    <x v="2"/>
    <s v="Backpack"/>
    <n v="46021"/>
    <s v="Dec-2025"/>
    <n v="478"/>
    <x v="109"/>
  </r>
  <r>
    <n v="245"/>
    <n v="223"/>
    <n v="12"/>
    <n v="4"/>
    <n v="2144"/>
    <n v="8576"/>
    <n v="3601.92"/>
    <x v="2"/>
    <s v="Jeans"/>
    <n v="45659"/>
    <s v="Jan-2025"/>
    <n v="15"/>
    <x v="95"/>
  </r>
  <r>
    <n v="246"/>
    <n v="223"/>
    <n v="25"/>
    <n v="1"/>
    <n v="3925"/>
    <n v="3925"/>
    <n v="1471.88"/>
    <x v="1"/>
    <s v="Vacuum Cleaner"/>
    <n v="45659"/>
    <s v="Jan-2025"/>
    <n v="15"/>
    <x v="95"/>
  </r>
  <r>
    <n v="247"/>
    <n v="224"/>
    <n v="19"/>
    <n v="1"/>
    <n v="3103"/>
    <n v="3103"/>
    <n v="977.44"/>
    <x v="2"/>
    <s v="Wallet"/>
    <n v="45662"/>
    <s v="Jan-2025"/>
    <n v="52"/>
    <x v="24"/>
  </r>
  <r>
    <n v="248"/>
    <n v="224"/>
    <n v="32"/>
    <n v="2"/>
    <n v="4884"/>
    <n v="9768"/>
    <n v="4102.5600000000004"/>
    <x v="4"/>
    <s v="Notebook"/>
    <n v="45662"/>
    <s v="Jan-2025"/>
    <n v="52"/>
    <x v="24"/>
  </r>
  <r>
    <n v="249"/>
    <n v="225"/>
    <n v="26"/>
    <n v="2"/>
    <n v="4062"/>
    <n v="8124"/>
    <n v="2924.6400000000003"/>
    <x v="3"/>
    <s v="Bedsheet"/>
    <n v="45665"/>
    <s v="Jan-2025"/>
    <n v="89"/>
    <x v="110"/>
  </r>
  <r>
    <n v="250"/>
    <n v="225"/>
    <n v="39"/>
    <n v="3"/>
    <n v="5843"/>
    <n v="17529"/>
    <n v="5521.62"/>
    <x v="7"/>
    <s v="Yoga Mat"/>
    <n v="45665"/>
    <s v="Jan-2025"/>
    <n v="89"/>
    <x v="110"/>
  </r>
  <r>
    <n v="251"/>
    <n v="226"/>
    <n v="33"/>
    <n v="3"/>
    <n v="5021"/>
    <n v="15063"/>
    <n v="6100.5"/>
    <x v="4"/>
    <s v="Pen Set"/>
    <n v="45668"/>
    <s v="Jan-2025"/>
    <n v="126"/>
    <x v="111"/>
  </r>
  <r>
    <n v="252"/>
    <n v="226"/>
    <n v="46"/>
    <n v="4"/>
    <n v="6802"/>
    <n v="27208"/>
    <n v="9794.880000000001"/>
    <x v="8"/>
    <s v="Toys Car"/>
    <n v="45668"/>
    <s v="Jan-2025"/>
    <n v="126"/>
    <x v="111"/>
  </r>
  <r>
    <n v="253"/>
    <n v="227"/>
    <n v="40"/>
    <n v="4"/>
    <n v="5980"/>
    <n v="23920"/>
    <n v="10764"/>
    <x v="7"/>
    <s v="Dumbbells"/>
    <n v="45671"/>
    <s v="Jan-2025"/>
    <n v="163"/>
    <x v="112"/>
  </r>
  <r>
    <n v="254"/>
    <n v="227"/>
    <n v="3"/>
    <n v="1"/>
    <n v="911"/>
    <n v="911"/>
    <n v="368.95000000000005"/>
    <x v="0"/>
    <s v="Headphones"/>
    <n v="45671"/>
    <s v="Jan-2025"/>
    <n v="163"/>
    <x v="112"/>
  </r>
  <r>
    <n v="255"/>
    <n v="228"/>
    <n v="47"/>
    <n v="1"/>
    <n v="6939"/>
    <n v="6939"/>
    <n v="2393.9499999999998"/>
    <x v="8"/>
    <s v="Puzzle"/>
    <n v="45674"/>
    <s v="Jan-2025"/>
    <n v="200"/>
    <x v="113"/>
  </r>
  <r>
    <n v="256"/>
    <n v="228"/>
    <n v="10"/>
    <n v="2"/>
    <n v="1870"/>
    <n v="3740"/>
    <n v="1683"/>
    <x v="0"/>
    <s v="Earbuds"/>
    <n v="45674"/>
    <s v="Jan-2025"/>
    <n v="200"/>
    <x v="113"/>
  </r>
  <r>
    <n v="257"/>
    <n v="229"/>
    <n v="4"/>
    <n v="2"/>
    <n v="1048"/>
    <n v="2096"/>
    <n v="817.44"/>
    <x v="0"/>
    <s v="Smart Watch"/>
    <n v="45677"/>
    <s v="Jan-2025"/>
    <n v="237"/>
    <x v="114"/>
  </r>
  <r>
    <n v="258"/>
    <n v="229"/>
    <n v="17"/>
    <n v="3"/>
    <n v="2829"/>
    <n v="8487"/>
    <n v="2928"/>
    <x v="2"/>
    <s v="Dress"/>
    <n v="45677"/>
    <s v="Jan-2025"/>
    <n v="237"/>
    <x v="114"/>
  </r>
  <r>
    <n v="259"/>
    <n v="230"/>
    <n v="11"/>
    <n v="3"/>
    <n v="2007"/>
    <n v="6021"/>
    <n v="2619.12"/>
    <x v="2"/>
    <s v="T-Shirt"/>
    <n v="45680"/>
    <s v="Jan-2025"/>
    <n v="274"/>
    <x v="115"/>
  </r>
  <r>
    <n v="260"/>
    <n v="230"/>
    <n v="24"/>
    <n v="4"/>
    <n v="3788"/>
    <n v="15152"/>
    <n v="5909.2800000000007"/>
    <x v="1"/>
    <s v="Iron"/>
    <n v="45680"/>
    <s v="Jan-2025"/>
    <n v="274"/>
    <x v="115"/>
  </r>
  <r>
    <n v="261"/>
    <n v="231"/>
    <n v="18"/>
    <n v="4"/>
    <n v="2966"/>
    <n v="11864"/>
    <n v="3915.12"/>
    <x v="2"/>
    <s v="Backpack"/>
    <n v="45683"/>
    <s v="Jan-2025"/>
    <n v="311"/>
    <x v="116"/>
  </r>
  <r>
    <n v="262"/>
    <n v="231"/>
    <n v="31"/>
    <n v="1"/>
    <n v="4747"/>
    <n v="4747"/>
    <n v="2064.94"/>
    <x v="4"/>
    <s v="Book"/>
    <n v="45683"/>
    <s v="Jan-2025"/>
    <n v="311"/>
    <x v="116"/>
  </r>
  <r>
    <n v="263"/>
    <n v="232"/>
    <n v="25"/>
    <n v="1"/>
    <n v="3925"/>
    <n v="3925"/>
    <n v="1471.88"/>
    <x v="1"/>
    <s v="Vacuum Cleaner"/>
    <n v="45686"/>
    <s v="Jan-2025"/>
    <n v="348"/>
    <x v="117"/>
  </r>
  <r>
    <n v="264"/>
    <n v="232"/>
    <n v="38"/>
    <n v="2"/>
    <n v="5706"/>
    <n v="11412"/>
    <n v="3765.96"/>
    <x v="7"/>
    <s v="Badminton Racket"/>
    <n v="45686"/>
    <s v="Jan-2025"/>
    <n v="348"/>
    <x v="117"/>
  </r>
  <r>
    <n v="265"/>
    <n v="233"/>
    <n v="32"/>
    <n v="2"/>
    <n v="4884"/>
    <n v="9768"/>
    <n v="4102.5600000000004"/>
    <x v="4"/>
    <s v="Notebook"/>
    <n v="45689"/>
    <s v="Feb-2025"/>
    <n v="385"/>
    <x v="118"/>
  </r>
  <r>
    <n v="266"/>
    <n v="233"/>
    <n v="45"/>
    <n v="3"/>
    <n v="6665"/>
    <n v="19995"/>
    <n v="7498.14"/>
    <x v="6"/>
    <s v="Sunscreen"/>
    <n v="45689"/>
    <s v="Feb-2025"/>
    <n v="385"/>
    <x v="118"/>
  </r>
  <r>
    <n v="267"/>
    <n v="234"/>
    <n v="39"/>
    <n v="3"/>
    <n v="5843"/>
    <n v="17529"/>
    <n v="5521.62"/>
    <x v="7"/>
    <s v="Yoga Mat"/>
    <n v="45692"/>
    <s v="Feb-2025"/>
    <n v="422"/>
    <x v="23"/>
  </r>
  <r>
    <n v="268"/>
    <n v="234"/>
    <n v="2"/>
    <n v="4"/>
    <n v="774"/>
    <n v="3096"/>
    <n v="1300.32"/>
    <x v="0"/>
    <s v="Mobile"/>
    <n v="45692"/>
    <s v="Feb-2025"/>
    <n v="422"/>
    <x v="23"/>
  </r>
  <r>
    <n v="269"/>
    <n v="235"/>
    <n v="46"/>
    <n v="4"/>
    <n v="6802"/>
    <n v="27208"/>
    <n v="9794.880000000001"/>
    <x v="8"/>
    <s v="Toys Car"/>
    <n v="45695"/>
    <s v="Feb-2025"/>
    <n v="459"/>
    <x v="119"/>
  </r>
  <r>
    <n v="270"/>
    <n v="235"/>
    <n v="9"/>
    <n v="1"/>
    <n v="1733"/>
    <n v="1733"/>
    <n v="545.8900000000001"/>
    <x v="0"/>
    <s v="Power Bank"/>
    <n v="45695"/>
    <s v="Feb-2025"/>
    <n v="459"/>
    <x v="119"/>
  </r>
  <r>
    <n v="271"/>
    <n v="236"/>
    <n v="3"/>
    <n v="1"/>
    <n v="911"/>
    <n v="911"/>
    <n v="368.95000000000005"/>
    <x v="0"/>
    <s v="Headphones"/>
    <n v="45698"/>
    <s v="Feb-2025"/>
    <n v="496"/>
    <x v="120"/>
  </r>
  <r>
    <n v="272"/>
    <n v="236"/>
    <n v="16"/>
    <n v="2"/>
    <n v="2692"/>
    <n v="5384"/>
    <n v="1938.2399999999998"/>
    <x v="2"/>
    <s v="Saree"/>
    <n v="45698"/>
    <s v="Feb-2025"/>
    <n v="496"/>
    <x v="120"/>
  </r>
  <r>
    <n v="273"/>
    <n v="237"/>
    <n v="10"/>
    <n v="2"/>
    <n v="1870"/>
    <n v="3740"/>
    <n v="1683"/>
    <x v="0"/>
    <s v="Earbuds"/>
    <n v="45701"/>
    <s v="Feb-2025"/>
    <n v="33"/>
    <x v="121"/>
  </r>
  <r>
    <n v="274"/>
    <n v="237"/>
    <n v="23"/>
    <n v="3"/>
    <n v="3651"/>
    <n v="10953"/>
    <n v="4435.9500000000007"/>
    <x v="1"/>
    <s v="Fan"/>
    <n v="45701"/>
    <s v="Feb-2025"/>
    <n v="33"/>
    <x v="121"/>
  </r>
  <r>
    <n v="275"/>
    <n v="238"/>
    <n v="17"/>
    <n v="3"/>
    <n v="2829"/>
    <n v="8487"/>
    <n v="2928"/>
    <x v="2"/>
    <s v="Dress"/>
    <n v="45704"/>
    <s v="Feb-2025"/>
    <n v="70"/>
    <x v="81"/>
  </r>
  <r>
    <n v="276"/>
    <n v="238"/>
    <n v="30"/>
    <n v="4"/>
    <n v="4610"/>
    <n v="18440"/>
    <n v="8298"/>
    <x v="5"/>
    <s v="Table"/>
    <n v="45704"/>
    <s v="Feb-2025"/>
    <n v="70"/>
    <x v="81"/>
  </r>
  <r>
    <n v="277"/>
    <n v="239"/>
    <n v="24"/>
    <n v="4"/>
    <n v="3788"/>
    <n v="15152"/>
    <n v="5909.2800000000007"/>
    <x v="1"/>
    <s v="Iron"/>
    <n v="45707"/>
    <s v="Feb-2025"/>
    <n v="107"/>
    <x v="122"/>
  </r>
  <r>
    <n v="278"/>
    <n v="239"/>
    <n v="37"/>
    <n v="1"/>
    <n v="5569"/>
    <n v="5569"/>
    <n v="1921.3000000000002"/>
    <x v="7"/>
    <s v="Football"/>
    <n v="45707"/>
    <s v="Feb-2025"/>
    <n v="107"/>
    <x v="122"/>
  </r>
  <r>
    <n v="279"/>
    <n v="240"/>
    <n v="31"/>
    <n v="1"/>
    <n v="4747"/>
    <n v="4747"/>
    <n v="2064.94"/>
    <x v="4"/>
    <s v="Book"/>
    <n v="45710"/>
    <s v="Feb-2025"/>
    <n v="144"/>
    <x v="123"/>
  </r>
  <r>
    <n v="280"/>
    <n v="240"/>
    <n v="44"/>
    <n v="2"/>
    <n v="6528"/>
    <n v="13056"/>
    <n v="5091.84"/>
    <x v="6"/>
    <s v="Moisturizer"/>
    <n v="45710"/>
    <s v="Feb-2025"/>
    <n v="144"/>
    <x v="123"/>
  </r>
  <r>
    <n v="281"/>
    <n v="241"/>
    <n v="38"/>
    <n v="2"/>
    <n v="5706"/>
    <n v="11412"/>
    <n v="3765.96"/>
    <x v="7"/>
    <s v="Badminton Racket"/>
    <n v="45713"/>
    <s v="Feb-2025"/>
    <n v="181"/>
    <x v="3"/>
  </r>
  <r>
    <n v="282"/>
    <n v="241"/>
    <n v="1"/>
    <n v="3"/>
    <n v="637"/>
    <n v="1911"/>
    <n v="831.27"/>
    <x v="0"/>
    <s v="Laptop"/>
    <n v="45713"/>
    <s v="Feb-2025"/>
    <n v="181"/>
    <x v="3"/>
  </r>
  <r>
    <n v="283"/>
    <n v="242"/>
    <n v="45"/>
    <n v="3"/>
    <n v="6665"/>
    <n v="19995"/>
    <n v="7498.14"/>
    <x v="6"/>
    <s v="Sunscreen"/>
    <n v="45716"/>
    <s v="Feb-2025"/>
    <n v="218"/>
    <x v="103"/>
  </r>
  <r>
    <n v="284"/>
    <n v="242"/>
    <n v="8"/>
    <n v="4"/>
    <n v="1596"/>
    <n v="6384"/>
    <n v="2106.7200000000003"/>
    <x v="0"/>
    <s v="Tablet"/>
    <n v="45716"/>
    <s v="Feb-2025"/>
    <n v="218"/>
    <x v="103"/>
  </r>
  <r>
    <n v="285"/>
    <n v="243"/>
    <n v="2"/>
    <n v="4"/>
    <n v="774"/>
    <n v="3096"/>
    <n v="1300.32"/>
    <x v="0"/>
    <s v="Mobile"/>
    <n v="45719"/>
    <s v="Mar-2025"/>
    <n v="255"/>
    <x v="124"/>
  </r>
  <r>
    <n v="286"/>
    <n v="243"/>
    <n v="15"/>
    <n v="1"/>
    <n v="2555"/>
    <n v="2555"/>
    <n v="958.11999999999989"/>
    <x v="2"/>
    <s v="Shoes"/>
    <n v="45719"/>
    <s v="Mar-2025"/>
    <n v="255"/>
    <x v="124"/>
  </r>
  <r>
    <n v="287"/>
    <n v="244"/>
    <n v="9"/>
    <n v="1"/>
    <n v="1733"/>
    <n v="1733"/>
    <n v="545.8900000000001"/>
    <x v="0"/>
    <s v="Power Bank"/>
    <n v="45722"/>
    <s v="Mar-2025"/>
    <n v="292"/>
    <x v="125"/>
  </r>
  <r>
    <n v="288"/>
    <n v="244"/>
    <n v="22"/>
    <n v="2"/>
    <n v="3514"/>
    <n v="7028"/>
    <n v="2951.76"/>
    <x v="1"/>
    <s v="Microwave"/>
    <n v="45722"/>
    <s v="Mar-2025"/>
    <n v="292"/>
    <x v="125"/>
  </r>
  <r>
    <n v="289"/>
    <n v="245"/>
    <n v="16"/>
    <n v="2"/>
    <n v="2692"/>
    <n v="5384"/>
    <n v="1938.2399999999998"/>
    <x v="2"/>
    <s v="Saree"/>
    <n v="45725"/>
    <s v="Mar-2025"/>
    <n v="329"/>
    <x v="126"/>
  </r>
  <r>
    <n v="290"/>
    <n v="245"/>
    <n v="29"/>
    <n v="3"/>
    <n v="4473"/>
    <n v="13419"/>
    <n v="4226.9699999999993"/>
    <x v="5"/>
    <s v="Chair"/>
    <n v="45725"/>
    <s v="Mar-2025"/>
    <n v="329"/>
    <x v="126"/>
  </r>
  <r>
    <n v="291"/>
    <n v="246"/>
    <n v="23"/>
    <n v="3"/>
    <n v="3651"/>
    <n v="10953"/>
    <n v="4435.9500000000007"/>
    <x v="1"/>
    <s v="Fan"/>
    <n v="45728"/>
    <s v="Mar-2025"/>
    <n v="366"/>
    <x v="127"/>
  </r>
  <r>
    <n v="292"/>
    <n v="246"/>
    <n v="36"/>
    <n v="4"/>
    <n v="5432"/>
    <n v="21728"/>
    <n v="7822.08"/>
    <x v="7"/>
    <s v="Cricket Bat"/>
    <n v="45728"/>
    <s v="Mar-2025"/>
    <n v="366"/>
    <x v="127"/>
  </r>
  <r>
    <n v="293"/>
    <n v="247"/>
    <n v="30"/>
    <n v="4"/>
    <n v="4610"/>
    <n v="18440"/>
    <n v="8298"/>
    <x v="5"/>
    <s v="Table"/>
    <n v="45731"/>
    <s v="Mar-2025"/>
    <n v="403"/>
    <x v="128"/>
  </r>
  <r>
    <n v="294"/>
    <n v="247"/>
    <n v="43"/>
    <n v="1"/>
    <n v="6391"/>
    <n v="6391"/>
    <n v="2588.35"/>
    <x v="6"/>
    <s v="Perfume"/>
    <n v="45731"/>
    <s v="Mar-2025"/>
    <n v="403"/>
    <x v="128"/>
  </r>
  <r>
    <n v="295"/>
    <n v="248"/>
    <n v="37"/>
    <n v="1"/>
    <n v="5569"/>
    <n v="5569"/>
    <n v="1921.3000000000002"/>
    <x v="7"/>
    <s v="Football"/>
    <n v="45734"/>
    <s v="Mar-2025"/>
    <n v="440"/>
    <x v="129"/>
  </r>
  <r>
    <n v="296"/>
    <n v="248"/>
    <n v="50"/>
    <n v="2"/>
    <n v="7350"/>
    <n v="14700"/>
    <n v="6615"/>
    <x v="8"/>
    <s v="Building Blocks"/>
    <n v="45734"/>
    <s v="Mar-2025"/>
    <n v="440"/>
    <x v="129"/>
  </r>
  <r>
    <n v="297"/>
    <n v="249"/>
    <n v="44"/>
    <n v="2"/>
    <n v="6528"/>
    <n v="13056"/>
    <n v="5091.84"/>
    <x v="6"/>
    <s v="Moisturizer"/>
    <n v="45737"/>
    <s v="Mar-2025"/>
    <n v="477"/>
    <x v="130"/>
  </r>
  <r>
    <n v="298"/>
    <n v="249"/>
    <n v="7"/>
    <n v="3"/>
    <n v="1459"/>
    <n v="4377"/>
    <n v="1510.0500000000002"/>
    <x v="0"/>
    <s v="Monitor"/>
    <n v="45737"/>
    <s v="Mar-2025"/>
    <n v="477"/>
    <x v="130"/>
  </r>
  <r>
    <n v="299"/>
    <n v="250"/>
    <n v="1"/>
    <n v="3"/>
    <n v="637"/>
    <n v="1911"/>
    <n v="831.27"/>
    <x v="0"/>
    <s v="Laptop"/>
    <n v="45740"/>
    <s v="Mar-2025"/>
    <n v="14"/>
    <x v="131"/>
  </r>
  <r>
    <n v="300"/>
    <n v="250"/>
    <n v="14"/>
    <n v="4"/>
    <n v="2418"/>
    <n v="9672"/>
    <n v="3772.08"/>
    <x v="2"/>
    <s v="Jacket"/>
    <n v="45740"/>
    <s v="Mar-2025"/>
    <n v="14"/>
    <x v="131"/>
  </r>
  <r>
    <n v="301"/>
    <n v="251"/>
    <n v="8"/>
    <n v="4"/>
    <n v="1596"/>
    <n v="6384"/>
    <n v="2106.7200000000003"/>
    <x v="0"/>
    <s v="Tablet"/>
    <n v="45743"/>
    <s v="Mar-2025"/>
    <n v="51"/>
    <x v="132"/>
  </r>
  <r>
    <n v="302"/>
    <n v="251"/>
    <n v="21"/>
    <n v="1"/>
    <n v="3377"/>
    <n v="3377"/>
    <n v="1468.99"/>
    <x v="1"/>
    <s v="Mixer"/>
    <n v="45743"/>
    <s v="Mar-2025"/>
    <n v="51"/>
    <x v="132"/>
  </r>
  <r>
    <n v="303"/>
    <n v="252"/>
    <n v="15"/>
    <n v="1"/>
    <n v="2555"/>
    <n v="2555"/>
    <n v="958.11999999999989"/>
    <x v="2"/>
    <s v="Shoes"/>
    <n v="45746"/>
    <s v="Mar-2025"/>
    <n v="88"/>
    <x v="133"/>
  </r>
  <r>
    <n v="304"/>
    <n v="252"/>
    <n v="28"/>
    <n v="2"/>
    <n v="4336"/>
    <n v="8672"/>
    <n v="2861.76"/>
    <x v="3"/>
    <s v="Bottle"/>
    <n v="45746"/>
    <s v="Mar-2025"/>
    <n v="88"/>
    <x v="133"/>
  </r>
  <r>
    <n v="305"/>
    <n v="253"/>
    <n v="22"/>
    <n v="2"/>
    <n v="3514"/>
    <n v="7028"/>
    <n v="2951.76"/>
    <x v="1"/>
    <s v="Microwave"/>
    <n v="45749"/>
    <s v="Apr-2025"/>
    <n v="125"/>
    <x v="134"/>
  </r>
  <r>
    <n v="306"/>
    <n v="253"/>
    <n v="35"/>
    <n v="3"/>
    <n v="5295"/>
    <n v="15885"/>
    <n v="5956.86"/>
    <x v="4"/>
    <s v="Novel"/>
    <n v="45749"/>
    <s v="Apr-2025"/>
    <n v="125"/>
    <x v="134"/>
  </r>
  <r>
    <n v="307"/>
    <n v="254"/>
    <n v="29"/>
    <n v="3"/>
    <n v="4473"/>
    <n v="13419"/>
    <n v="4226.9699999999993"/>
    <x v="5"/>
    <s v="Chair"/>
    <n v="45752"/>
    <s v="Apr-2025"/>
    <n v="162"/>
    <x v="135"/>
  </r>
  <r>
    <n v="308"/>
    <n v="254"/>
    <n v="42"/>
    <n v="4"/>
    <n v="6254"/>
    <n v="25016"/>
    <n v="10506.72"/>
    <x v="6"/>
    <s v="Shampoo"/>
    <n v="45752"/>
    <s v="Apr-2025"/>
    <n v="162"/>
    <x v="135"/>
  </r>
  <r>
    <n v="309"/>
    <n v="255"/>
    <n v="36"/>
    <n v="4"/>
    <n v="5432"/>
    <n v="21728"/>
    <n v="7822.08"/>
    <x v="7"/>
    <s v="Cricket Bat"/>
    <n v="45755"/>
    <s v="Apr-2025"/>
    <n v="199"/>
    <x v="136"/>
  </r>
  <r>
    <n v="310"/>
    <n v="255"/>
    <n v="49"/>
    <n v="1"/>
    <n v="7213"/>
    <n v="7213"/>
    <n v="2272.09"/>
    <x v="8"/>
    <s v="Remote Car"/>
    <n v="45755"/>
    <s v="Apr-2025"/>
    <n v="199"/>
    <x v="136"/>
  </r>
  <r>
    <n v="311"/>
    <n v="256"/>
    <n v="43"/>
    <n v="1"/>
    <n v="6391"/>
    <n v="6391"/>
    <n v="2588.35"/>
    <x v="6"/>
    <s v="Perfume"/>
    <n v="45758"/>
    <s v="Apr-2025"/>
    <n v="236"/>
    <x v="137"/>
  </r>
  <r>
    <n v="312"/>
    <n v="256"/>
    <n v="6"/>
    <n v="2"/>
    <n v="1322"/>
    <n v="2644"/>
    <n v="951.83999999999992"/>
    <x v="0"/>
    <s v="Mouse"/>
    <n v="45758"/>
    <s v="Apr-2025"/>
    <n v="236"/>
    <x v="137"/>
  </r>
  <r>
    <n v="313"/>
    <n v="257"/>
    <n v="50"/>
    <n v="2"/>
    <n v="7350"/>
    <n v="14700"/>
    <n v="6615"/>
    <x v="8"/>
    <s v="Building Blocks"/>
    <n v="45761"/>
    <s v="Apr-2025"/>
    <n v="273"/>
    <x v="138"/>
  </r>
  <r>
    <n v="314"/>
    <n v="257"/>
    <n v="13"/>
    <n v="3"/>
    <n v="2281"/>
    <n v="6843"/>
    <n v="2771.3999999999996"/>
    <x v="2"/>
    <s v="Shirt"/>
    <n v="45761"/>
    <s v="Apr-2025"/>
    <n v="273"/>
    <x v="138"/>
  </r>
  <r>
    <n v="315"/>
    <n v="258"/>
    <n v="7"/>
    <n v="3"/>
    <n v="1459"/>
    <n v="4377"/>
    <n v="1510.0500000000002"/>
    <x v="0"/>
    <s v="Monitor"/>
    <n v="45764"/>
    <s v="Apr-2025"/>
    <n v="310"/>
    <x v="136"/>
  </r>
  <r>
    <n v="316"/>
    <n v="258"/>
    <n v="20"/>
    <n v="4"/>
    <n v="3240"/>
    <n v="12960"/>
    <n v="5832"/>
    <x v="2"/>
    <s v="Belt"/>
    <n v="45764"/>
    <s v="Apr-2025"/>
    <n v="310"/>
    <x v="136"/>
  </r>
  <r>
    <n v="317"/>
    <n v="259"/>
    <n v="14"/>
    <n v="4"/>
    <n v="2418"/>
    <n v="9672"/>
    <n v="3772.08"/>
    <x v="2"/>
    <s v="Jacket"/>
    <n v="45767"/>
    <s v="Apr-2025"/>
    <n v="347"/>
    <x v="139"/>
  </r>
  <r>
    <n v="318"/>
    <n v="259"/>
    <n v="27"/>
    <n v="1"/>
    <n v="4199"/>
    <n v="4199"/>
    <n v="1448.65"/>
    <x v="3"/>
    <s v="Cookware Set"/>
    <n v="45767"/>
    <s v="Apr-2025"/>
    <n v="347"/>
    <x v="139"/>
  </r>
  <r>
    <n v="319"/>
    <n v="260"/>
    <n v="21"/>
    <n v="1"/>
    <n v="3377"/>
    <n v="3377"/>
    <n v="1468.99"/>
    <x v="1"/>
    <s v="Mixer"/>
    <n v="45770"/>
    <s v="Apr-2025"/>
    <n v="384"/>
    <x v="140"/>
  </r>
  <r>
    <n v="320"/>
    <n v="260"/>
    <n v="34"/>
    <n v="2"/>
    <n v="5158"/>
    <n v="10316"/>
    <n v="4023.24"/>
    <x v="4"/>
    <s v="Cookbook"/>
    <n v="45770"/>
    <s v="Apr-2025"/>
    <n v="384"/>
    <x v="140"/>
  </r>
  <r>
    <n v="321"/>
    <n v="261"/>
    <n v="28"/>
    <n v="2"/>
    <n v="4336"/>
    <n v="8672"/>
    <n v="2861.76"/>
    <x v="3"/>
    <s v="Bottle"/>
    <n v="45773"/>
    <s v="Apr-2025"/>
    <n v="421"/>
    <x v="141"/>
  </r>
  <r>
    <n v="322"/>
    <n v="261"/>
    <n v="41"/>
    <n v="3"/>
    <n v="6117"/>
    <n v="18351"/>
    <n v="7982.67"/>
    <x v="6"/>
    <s v="Face Wash"/>
    <n v="45773"/>
    <s v="Apr-2025"/>
    <n v="421"/>
    <x v="141"/>
  </r>
  <r>
    <n v="323"/>
    <n v="262"/>
    <n v="35"/>
    <n v="3"/>
    <n v="5295"/>
    <n v="15885"/>
    <n v="5956.86"/>
    <x v="4"/>
    <s v="Novel"/>
    <n v="45776"/>
    <s v="Apr-2025"/>
    <n v="458"/>
    <x v="142"/>
  </r>
  <r>
    <n v="324"/>
    <n v="262"/>
    <n v="48"/>
    <n v="4"/>
    <n v="7076"/>
    <n v="28304"/>
    <n v="9340.32"/>
    <x v="8"/>
    <s v="Board Game"/>
    <n v="45776"/>
    <s v="Apr-2025"/>
    <n v="458"/>
    <x v="142"/>
  </r>
  <r>
    <n v="325"/>
    <n v="263"/>
    <n v="42"/>
    <n v="4"/>
    <n v="6254"/>
    <n v="25016"/>
    <n v="10506.72"/>
    <x v="6"/>
    <s v="Shampoo"/>
    <n v="45779"/>
    <s v="May-2025"/>
    <n v="495"/>
    <x v="143"/>
  </r>
  <r>
    <n v="326"/>
    <n v="263"/>
    <n v="5"/>
    <n v="1"/>
    <n v="1185"/>
    <n v="1185"/>
    <n v="444.38"/>
    <x v="0"/>
    <s v="Keyboard"/>
    <n v="45779"/>
    <s v="May-2025"/>
    <n v="495"/>
    <x v="143"/>
  </r>
  <r>
    <n v="327"/>
    <n v="264"/>
    <n v="49"/>
    <n v="1"/>
    <n v="7213"/>
    <n v="7213"/>
    <n v="2272.09"/>
    <x v="8"/>
    <s v="Remote Car"/>
    <n v="45782"/>
    <s v="May-2025"/>
    <n v="32"/>
    <x v="144"/>
  </r>
  <r>
    <n v="328"/>
    <n v="264"/>
    <n v="12"/>
    <n v="2"/>
    <n v="2144"/>
    <n v="4288"/>
    <n v="1800.96"/>
    <x v="2"/>
    <s v="Jeans"/>
    <n v="45782"/>
    <s v="May-2025"/>
    <n v="32"/>
    <x v="144"/>
  </r>
  <r>
    <n v="329"/>
    <n v="265"/>
    <n v="6"/>
    <n v="2"/>
    <n v="1322"/>
    <n v="2644"/>
    <n v="951.83999999999992"/>
    <x v="0"/>
    <s v="Mouse"/>
    <n v="45785"/>
    <s v="May-2025"/>
    <n v="69"/>
    <x v="145"/>
  </r>
  <r>
    <n v="330"/>
    <n v="265"/>
    <n v="19"/>
    <n v="3"/>
    <n v="3103"/>
    <n v="9309"/>
    <n v="2932.32"/>
    <x v="2"/>
    <s v="Wallet"/>
    <n v="45785"/>
    <s v="May-2025"/>
    <n v="69"/>
    <x v="145"/>
  </r>
  <r>
    <n v="331"/>
    <n v="266"/>
    <n v="13"/>
    <n v="3"/>
    <n v="2281"/>
    <n v="6843"/>
    <n v="2771.3999999999996"/>
    <x v="2"/>
    <s v="Shirt"/>
    <n v="45788"/>
    <s v="May-2025"/>
    <n v="106"/>
    <x v="146"/>
  </r>
  <r>
    <n v="332"/>
    <n v="266"/>
    <n v="26"/>
    <n v="4"/>
    <n v="4062"/>
    <n v="16248"/>
    <n v="5849.2800000000007"/>
    <x v="3"/>
    <s v="Bedsheet"/>
    <n v="45788"/>
    <s v="May-2025"/>
    <n v="106"/>
    <x v="146"/>
  </r>
  <r>
    <n v="333"/>
    <n v="267"/>
    <n v="20"/>
    <n v="4"/>
    <n v="3240"/>
    <n v="12960"/>
    <n v="5832"/>
    <x v="2"/>
    <s v="Belt"/>
    <n v="45791"/>
    <s v="May-2025"/>
    <n v="143"/>
    <x v="147"/>
  </r>
  <r>
    <n v="334"/>
    <n v="267"/>
    <n v="33"/>
    <n v="1"/>
    <n v="5021"/>
    <n v="5021"/>
    <n v="2033.5"/>
    <x v="4"/>
    <s v="Pen Set"/>
    <n v="45791"/>
    <s v="May-2025"/>
    <n v="143"/>
    <x v="147"/>
  </r>
  <r>
    <n v="335"/>
    <n v="268"/>
    <n v="27"/>
    <n v="1"/>
    <n v="4199"/>
    <n v="4199"/>
    <n v="1448.65"/>
    <x v="3"/>
    <s v="Cookware Set"/>
    <n v="45794"/>
    <s v="May-2025"/>
    <n v="180"/>
    <x v="148"/>
  </r>
  <r>
    <n v="336"/>
    <n v="268"/>
    <n v="40"/>
    <n v="2"/>
    <n v="5980"/>
    <n v="11960"/>
    <n v="5382"/>
    <x v="7"/>
    <s v="Dumbbells"/>
    <n v="45794"/>
    <s v="May-2025"/>
    <n v="180"/>
    <x v="148"/>
  </r>
  <r>
    <n v="337"/>
    <n v="269"/>
    <n v="34"/>
    <n v="2"/>
    <n v="5158"/>
    <n v="10316"/>
    <n v="4023.24"/>
    <x v="4"/>
    <s v="Cookbook"/>
    <n v="45797"/>
    <s v="May-2025"/>
    <n v="217"/>
    <x v="149"/>
  </r>
  <r>
    <n v="338"/>
    <n v="269"/>
    <n v="47"/>
    <n v="3"/>
    <n v="6939"/>
    <n v="20817"/>
    <n v="7181.8499999999995"/>
    <x v="8"/>
    <s v="Puzzle"/>
    <n v="45797"/>
    <s v="May-2025"/>
    <n v="217"/>
    <x v="149"/>
  </r>
  <r>
    <n v="339"/>
    <n v="270"/>
    <n v="41"/>
    <n v="3"/>
    <n v="6117"/>
    <n v="18351"/>
    <n v="7982.67"/>
    <x v="6"/>
    <s v="Face Wash"/>
    <n v="45800"/>
    <s v="May-2025"/>
    <n v="254"/>
    <x v="150"/>
  </r>
  <r>
    <n v="340"/>
    <n v="270"/>
    <n v="4"/>
    <n v="4"/>
    <n v="1048"/>
    <n v="4192"/>
    <n v="1634.88"/>
    <x v="0"/>
    <s v="Smart Watch"/>
    <n v="45800"/>
    <s v="May-2025"/>
    <n v="254"/>
    <x v="150"/>
  </r>
  <r>
    <n v="341"/>
    <n v="271"/>
    <n v="48"/>
    <n v="4"/>
    <n v="7076"/>
    <n v="28304"/>
    <n v="9340.32"/>
    <x v="8"/>
    <s v="Board Game"/>
    <n v="45803"/>
    <s v="May-2025"/>
    <n v="291"/>
    <x v="131"/>
  </r>
  <r>
    <n v="342"/>
    <n v="271"/>
    <n v="11"/>
    <n v="1"/>
    <n v="2007"/>
    <n v="2007"/>
    <n v="873.04"/>
    <x v="2"/>
    <s v="T-Shirt"/>
    <n v="45803"/>
    <s v="May-2025"/>
    <n v="291"/>
    <x v="131"/>
  </r>
  <r>
    <n v="343"/>
    <n v="272"/>
    <n v="5"/>
    <n v="1"/>
    <n v="1185"/>
    <n v="1185"/>
    <n v="444.38"/>
    <x v="0"/>
    <s v="Keyboard"/>
    <n v="45806"/>
    <s v="May-2025"/>
    <n v="328"/>
    <x v="151"/>
  </r>
  <r>
    <n v="344"/>
    <n v="272"/>
    <n v="18"/>
    <n v="2"/>
    <n v="2966"/>
    <n v="5932"/>
    <n v="1957.56"/>
    <x v="2"/>
    <s v="Backpack"/>
    <n v="45806"/>
    <s v="May-2025"/>
    <n v="328"/>
    <x v="151"/>
  </r>
  <r>
    <n v="345"/>
    <n v="273"/>
    <n v="12"/>
    <n v="2"/>
    <n v="2144"/>
    <n v="4288"/>
    <n v="1800.96"/>
    <x v="2"/>
    <s v="Jeans"/>
    <n v="45809"/>
    <s v="Jun-2025"/>
    <n v="365"/>
    <x v="151"/>
  </r>
  <r>
    <n v="346"/>
    <n v="273"/>
    <n v="25"/>
    <n v="3"/>
    <n v="3925"/>
    <n v="11775"/>
    <n v="4415.6400000000003"/>
    <x v="1"/>
    <s v="Vacuum Cleaner"/>
    <n v="45809"/>
    <s v="Jun-2025"/>
    <n v="365"/>
    <x v="151"/>
  </r>
  <r>
    <n v="347"/>
    <n v="274"/>
    <n v="19"/>
    <n v="3"/>
    <n v="3103"/>
    <n v="9309"/>
    <n v="2932.32"/>
    <x v="2"/>
    <s v="Wallet"/>
    <n v="45812"/>
    <s v="Jun-2025"/>
    <n v="402"/>
    <x v="152"/>
  </r>
  <r>
    <n v="348"/>
    <n v="274"/>
    <n v="32"/>
    <n v="4"/>
    <n v="4884"/>
    <n v="19536"/>
    <n v="8205.1200000000008"/>
    <x v="4"/>
    <s v="Notebook"/>
    <n v="45812"/>
    <s v="Jun-2025"/>
    <n v="402"/>
    <x v="152"/>
  </r>
  <r>
    <n v="349"/>
    <n v="275"/>
    <n v="26"/>
    <n v="4"/>
    <n v="4062"/>
    <n v="16248"/>
    <n v="5849.2800000000007"/>
    <x v="3"/>
    <s v="Bedsheet"/>
    <n v="45815"/>
    <s v="Jun-2025"/>
    <n v="439"/>
    <x v="153"/>
  </r>
  <r>
    <n v="350"/>
    <n v="275"/>
    <n v="39"/>
    <n v="1"/>
    <n v="5843"/>
    <n v="5843"/>
    <n v="1840.54"/>
    <x v="7"/>
    <s v="Yoga Mat"/>
    <n v="45815"/>
    <s v="Jun-2025"/>
    <n v="439"/>
    <x v="153"/>
  </r>
  <r>
    <n v="351"/>
    <n v="276"/>
    <n v="33"/>
    <n v="1"/>
    <n v="5021"/>
    <n v="5021"/>
    <n v="2033.5"/>
    <x v="4"/>
    <s v="Pen Set"/>
    <n v="45818"/>
    <s v="Jun-2025"/>
    <n v="476"/>
    <x v="154"/>
  </r>
  <r>
    <n v="352"/>
    <n v="276"/>
    <n v="46"/>
    <n v="2"/>
    <n v="6802"/>
    <n v="13604"/>
    <n v="4897.4400000000005"/>
    <x v="8"/>
    <s v="Toys Car"/>
    <n v="45818"/>
    <s v="Jun-2025"/>
    <n v="476"/>
    <x v="154"/>
  </r>
  <r>
    <n v="353"/>
    <n v="277"/>
    <n v="40"/>
    <n v="2"/>
    <n v="5980"/>
    <n v="11960"/>
    <n v="5382"/>
    <x v="7"/>
    <s v="Dumbbells"/>
    <n v="45821"/>
    <s v="Jun-2025"/>
    <n v="13"/>
    <x v="155"/>
  </r>
  <r>
    <n v="354"/>
    <n v="277"/>
    <n v="3"/>
    <n v="3"/>
    <n v="911"/>
    <n v="2733"/>
    <n v="1106.8500000000001"/>
    <x v="0"/>
    <s v="Headphones"/>
    <n v="45821"/>
    <s v="Jun-2025"/>
    <n v="13"/>
    <x v="155"/>
  </r>
  <r>
    <n v="355"/>
    <n v="278"/>
    <n v="47"/>
    <n v="3"/>
    <n v="6939"/>
    <n v="20817"/>
    <n v="7181.8499999999995"/>
    <x v="8"/>
    <s v="Puzzle"/>
    <n v="45824"/>
    <s v="Jun-2025"/>
    <n v="50"/>
    <x v="156"/>
  </r>
  <r>
    <n v="356"/>
    <n v="278"/>
    <n v="10"/>
    <n v="4"/>
    <n v="1870"/>
    <n v="7480"/>
    <n v="3366"/>
    <x v="0"/>
    <s v="Earbuds"/>
    <n v="45824"/>
    <s v="Jun-2025"/>
    <n v="50"/>
    <x v="156"/>
  </r>
  <r>
    <n v="357"/>
    <n v="279"/>
    <n v="4"/>
    <n v="4"/>
    <n v="1048"/>
    <n v="4192"/>
    <n v="1634.88"/>
    <x v="0"/>
    <s v="Smart Watch"/>
    <n v="45827"/>
    <s v="Jun-2025"/>
    <n v="87"/>
    <x v="157"/>
  </r>
  <r>
    <n v="358"/>
    <n v="279"/>
    <n v="17"/>
    <n v="1"/>
    <n v="2829"/>
    <n v="2829"/>
    <n v="976"/>
    <x v="2"/>
    <s v="Dress"/>
    <n v="45827"/>
    <s v="Jun-2025"/>
    <n v="87"/>
    <x v="157"/>
  </r>
  <r>
    <n v="359"/>
    <n v="280"/>
    <n v="11"/>
    <n v="1"/>
    <n v="2007"/>
    <n v="2007"/>
    <n v="873.04"/>
    <x v="2"/>
    <s v="T-Shirt"/>
    <n v="45830"/>
    <s v="Jun-2025"/>
    <n v="124"/>
    <x v="158"/>
  </r>
  <r>
    <n v="360"/>
    <n v="280"/>
    <n v="24"/>
    <n v="2"/>
    <n v="3788"/>
    <n v="7576"/>
    <n v="2954.6400000000003"/>
    <x v="1"/>
    <s v="Iron"/>
    <n v="45830"/>
    <s v="Jun-2025"/>
    <n v="124"/>
    <x v="158"/>
  </r>
  <r>
    <n v="361"/>
    <n v="281"/>
    <n v="18"/>
    <n v="2"/>
    <n v="2966"/>
    <n v="5932"/>
    <n v="1957.56"/>
    <x v="2"/>
    <s v="Backpack"/>
    <n v="45833"/>
    <s v="Jun-2025"/>
    <n v="161"/>
    <x v="121"/>
  </r>
  <r>
    <n v="362"/>
    <n v="281"/>
    <n v="31"/>
    <n v="3"/>
    <n v="4747"/>
    <n v="14241"/>
    <n v="6194.82"/>
    <x v="4"/>
    <s v="Book"/>
    <n v="45833"/>
    <s v="Jun-2025"/>
    <n v="161"/>
    <x v="121"/>
  </r>
  <r>
    <n v="363"/>
    <n v="282"/>
    <n v="25"/>
    <n v="3"/>
    <n v="3925"/>
    <n v="11775"/>
    <n v="4415.6400000000003"/>
    <x v="1"/>
    <s v="Vacuum Cleaner"/>
    <n v="45836"/>
    <s v="Jun-2025"/>
    <n v="198"/>
    <x v="159"/>
  </r>
  <r>
    <n v="364"/>
    <n v="282"/>
    <n v="38"/>
    <n v="4"/>
    <n v="5706"/>
    <n v="22824"/>
    <n v="7531.92"/>
    <x v="7"/>
    <s v="Badminton Racket"/>
    <n v="45836"/>
    <s v="Jun-2025"/>
    <n v="198"/>
    <x v="159"/>
  </r>
  <r>
    <n v="365"/>
    <n v="283"/>
    <n v="32"/>
    <n v="4"/>
    <n v="4884"/>
    <n v="19536"/>
    <n v="8205.1200000000008"/>
    <x v="4"/>
    <s v="Notebook"/>
    <n v="45839"/>
    <s v="Jul-2025"/>
    <n v="235"/>
    <x v="160"/>
  </r>
  <r>
    <n v="366"/>
    <n v="283"/>
    <n v="45"/>
    <n v="1"/>
    <n v="6665"/>
    <n v="6665"/>
    <n v="2499.38"/>
    <x v="6"/>
    <s v="Sunscreen"/>
    <n v="45839"/>
    <s v="Jul-2025"/>
    <n v="235"/>
    <x v="160"/>
  </r>
  <r>
    <n v="367"/>
    <n v="284"/>
    <n v="39"/>
    <n v="1"/>
    <n v="5843"/>
    <n v="5843"/>
    <n v="1840.54"/>
    <x v="7"/>
    <s v="Yoga Mat"/>
    <n v="45842"/>
    <s v="Jul-2025"/>
    <n v="272"/>
    <x v="74"/>
  </r>
  <r>
    <n v="368"/>
    <n v="284"/>
    <n v="2"/>
    <n v="2"/>
    <n v="774"/>
    <n v="1548"/>
    <n v="650.16"/>
    <x v="0"/>
    <s v="Mobile"/>
    <n v="45842"/>
    <s v="Jul-2025"/>
    <n v="272"/>
    <x v="74"/>
  </r>
  <r>
    <n v="369"/>
    <n v="285"/>
    <n v="46"/>
    <n v="2"/>
    <n v="6802"/>
    <n v="13604"/>
    <n v="4897.4400000000005"/>
    <x v="8"/>
    <s v="Toys Car"/>
    <n v="45845"/>
    <s v="Jul-2025"/>
    <n v="309"/>
    <x v="161"/>
  </r>
  <r>
    <n v="370"/>
    <n v="285"/>
    <n v="9"/>
    <n v="3"/>
    <n v="1733"/>
    <n v="5199"/>
    <n v="1637.6700000000003"/>
    <x v="0"/>
    <s v="Power Bank"/>
    <n v="45845"/>
    <s v="Jul-2025"/>
    <n v="309"/>
    <x v="161"/>
  </r>
  <r>
    <n v="371"/>
    <n v="286"/>
    <n v="3"/>
    <n v="3"/>
    <n v="911"/>
    <n v="2733"/>
    <n v="1106.8500000000001"/>
    <x v="0"/>
    <s v="Headphones"/>
    <n v="45848"/>
    <s v="Jul-2025"/>
    <n v="346"/>
    <x v="162"/>
  </r>
  <r>
    <n v="372"/>
    <n v="286"/>
    <n v="16"/>
    <n v="4"/>
    <n v="2692"/>
    <n v="10768"/>
    <n v="3876.4799999999996"/>
    <x v="2"/>
    <s v="Saree"/>
    <n v="45848"/>
    <s v="Jul-2025"/>
    <n v="346"/>
    <x v="162"/>
  </r>
  <r>
    <n v="373"/>
    <n v="287"/>
    <n v="10"/>
    <n v="4"/>
    <n v="1870"/>
    <n v="7480"/>
    <n v="3366"/>
    <x v="0"/>
    <s v="Earbuds"/>
    <n v="45851"/>
    <s v="Jul-2025"/>
    <n v="383"/>
    <x v="163"/>
  </r>
  <r>
    <n v="374"/>
    <n v="287"/>
    <n v="23"/>
    <n v="1"/>
    <n v="3651"/>
    <n v="3651"/>
    <n v="1478.65"/>
    <x v="1"/>
    <s v="Fan"/>
    <n v="45851"/>
    <s v="Jul-2025"/>
    <n v="383"/>
    <x v="163"/>
  </r>
  <r>
    <n v="375"/>
    <n v="288"/>
    <n v="17"/>
    <n v="1"/>
    <n v="2829"/>
    <n v="2829"/>
    <n v="976"/>
    <x v="2"/>
    <s v="Dress"/>
    <n v="45854"/>
    <s v="Jul-2025"/>
    <n v="420"/>
    <x v="164"/>
  </r>
  <r>
    <n v="376"/>
    <n v="288"/>
    <n v="30"/>
    <n v="2"/>
    <n v="4610"/>
    <n v="9220"/>
    <n v="4149"/>
    <x v="5"/>
    <s v="Table"/>
    <n v="45854"/>
    <s v="Jul-2025"/>
    <n v="420"/>
    <x v="164"/>
  </r>
  <r>
    <n v="377"/>
    <n v="289"/>
    <n v="24"/>
    <n v="2"/>
    <n v="3788"/>
    <n v="7576"/>
    <n v="2954.6400000000003"/>
    <x v="1"/>
    <s v="Iron"/>
    <n v="45857"/>
    <s v="Jul-2025"/>
    <n v="457"/>
    <x v="165"/>
  </r>
  <r>
    <n v="378"/>
    <n v="289"/>
    <n v="37"/>
    <n v="3"/>
    <n v="5569"/>
    <n v="16707"/>
    <n v="5763.9000000000005"/>
    <x v="7"/>
    <s v="Football"/>
    <n v="45857"/>
    <s v="Jul-2025"/>
    <n v="457"/>
    <x v="165"/>
  </r>
  <r>
    <n v="379"/>
    <n v="290"/>
    <n v="31"/>
    <n v="3"/>
    <n v="4747"/>
    <n v="14241"/>
    <n v="6194.82"/>
    <x v="4"/>
    <s v="Book"/>
    <n v="45860"/>
    <s v="Jul-2025"/>
    <n v="494"/>
    <x v="20"/>
  </r>
  <r>
    <n v="380"/>
    <n v="290"/>
    <n v="44"/>
    <n v="4"/>
    <n v="6528"/>
    <n v="26112"/>
    <n v="10183.68"/>
    <x v="6"/>
    <s v="Moisturizer"/>
    <n v="45860"/>
    <s v="Jul-2025"/>
    <n v="494"/>
    <x v="20"/>
  </r>
  <r>
    <n v="381"/>
    <n v="291"/>
    <n v="38"/>
    <n v="4"/>
    <n v="5706"/>
    <n v="22824"/>
    <n v="7531.92"/>
    <x v="7"/>
    <s v="Badminton Racket"/>
    <n v="45863"/>
    <s v="Jul-2025"/>
    <n v="31"/>
    <x v="166"/>
  </r>
  <r>
    <n v="382"/>
    <n v="291"/>
    <n v="1"/>
    <n v="1"/>
    <n v="637"/>
    <n v="637"/>
    <n v="277.08999999999997"/>
    <x v="0"/>
    <s v="Laptop"/>
    <n v="45863"/>
    <s v="Jul-2025"/>
    <n v="31"/>
    <x v="166"/>
  </r>
  <r>
    <n v="383"/>
    <n v="292"/>
    <n v="45"/>
    <n v="1"/>
    <n v="6665"/>
    <n v="6665"/>
    <n v="2499.38"/>
    <x v="6"/>
    <s v="Sunscreen"/>
    <n v="45866"/>
    <s v="Jul-2025"/>
    <n v="68"/>
    <x v="140"/>
  </r>
  <r>
    <n v="384"/>
    <n v="292"/>
    <n v="8"/>
    <n v="2"/>
    <n v="1596"/>
    <n v="3192"/>
    <n v="1053.3600000000001"/>
    <x v="0"/>
    <s v="Tablet"/>
    <n v="45866"/>
    <s v="Jul-2025"/>
    <n v="68"/>
    <x v="140"/>
  </r>
  <r>
    <n v="385"/>
    <n v="293"/>
    <n v="2"/>
    <n v="2"/>
    <n v="774"/>
    <n v="1548"/>
    <n v="650.16"/>
    <x v="0"/>
    <s v="Mobile"/>
    <n v="45869"/>
    <s v="Jul-2025"/>
    <n v="105"/>
    <x v="167"/>
  </r>
  <r>
    <n v="386"/>
    <n v="293"/>
    <n v="15"/>
    <n v="3"/>
    <n v="2555"/>
    <n v="7665"/>
    <n v="2874.3599999999997"/>
    <x v="2"/>
    <s v="Shoes"/>
    <n v="45869"/>
    <s v="Jul-2025"/>
    <n v="105"/>
    <x v="167"/>
  </r>
  <r>
    <n v="387"/>
    <n v="294"/>
    <n v="9"/>
    <n v="3"/>
    <n v="1733"/>
    <n v="5199"/>
    <n v="1637.6700000000003"/>
    <x v="0"/>
    <s v="Power Bank"/>
    <n v="45872"/>
    <s v="Aug-2025"/>
    <n v="142"/>
    <x v="88"/>
  </r>
  <r>
    <n v="388"/>
    <n v="294"/>
    <n v="22"/>
    <n v="4"/>
    <n v="3514"/>
    <n v="14056"/>
    <n v="5903.52"/>
    <x v="1"/>
    <s v="Microwave"/>
    <n v="45872"/>
    <s v="Aug-2025"/>
    <n v="142"/>
    <x v="88"/>
  </r>
  <r>
    <n v="389"/>
    <n v="295"/>
    <n v="16"/>
    <n v="4"/>
    <n v="2692"/>
    <n v="10768"/>
    <n v="3876.4799999999996"/>
    <x v="2"/>
    <s v="Saree"/>
    <n v="45875"/>
    <s v="Aug-2025"/>
    <n v="179"/>
    <x v="168"/>
  </r>
  <r>
    <n v="390"/>
    <n v="295"/>
    <n v="29"/>
    <n v="1"/>
    <n v="4473"/>
    <n v="4473"/>
    <n v="1408.9899999999998"/>
    <x v="5"/>
    <s v="Chair"/>
    <n v="45875"/>
    <s v="Aug-2025"/>
    <n v="179"/>
    <x v="168"/>
  </r>
  <r>
    <n v="391"/>
    <n v="296"/>
    <n v="23"/>
    <n v="1"/>
    <n v="3651"/>
    <n v="3651"/>
    <n v="1478.65"/>
    <x v="1"/>
    <s v="Fan"/>
    <n v="45878"/>
    <s v="Aug-2025"/>
    <n v="216"/>
    <x v="169"/>
  </r>
  <r>
    <n v="392"/>
    <n v="296"/>
    <n v="36"/>
    <n v="2"/>
    <n v="5432"/>
    <n v="10864"/>
    <n v="3911.04"/>
    <x v="7"/>
    <s v="Cricket Bat"/>
    <n v="45878"/>
    <s v="Aug-2025"/>
    <n v="216"/>
    <x v="169"/>
  </r>
  <r>
    <n v="393"/>
    <n v="297"/>
    <n v="30"/>
    <n v="2"/>
    <n v="4610"/>
    <n v="9220"/>
    <n v="4149"/>
    <x v="5"/>
    <s v="Table"/>
    <n v="45881"/>
    <s v="Aug-2025"/>
    <n v="253"/>
    <x v="61"/>
  </r>
  <r>
    <n v="394"/>
    <n v="297"/>
    <n v="43"/>
    <n v="3"/>
    <n v="6391"/>
    <n v="19173"/>
    <n v="7765.0499999999993"/>
    <x v="6"/>
    <s v="Perfume"/>
    <n v="45881"/>
    <s v="Aug-2025"/>
    <n v="253"/>
    <x v="61"/>
  </r>
  <r>
    <n v="395"/>
    <n v="298"/>
    <n v="37"/>
    <n v="3"/>
    <n v="5569"/>
    <n v="16707"/>
    <n v="5763.9000000000005"/>
    <x v="7"/>
    <s v="Football"/>
    <n v="45884"/>
    <s v="Aug-2025"/>
    <n v="290"/>
    <x v="170"/>
  </r>
  <r>
    <n v="396"/>
    <n v="298"/>
    <n v="50"/>
    <n v="4"/>
    <n v="7350"/>
    <n v="29400"/>
    <n v="13230"/>
    <x v="8"/>
    <s v="Building Blocks"/>
    <n v="45884"/>
    <s v="Aug-2025"/>
    <n v="290"/>
    <x v="170"/>
  </r>
  <r>
    <n v="397"/>
    <n v="299"/>
    <n v="44"/>
    <n v="4"/>
    <n v="6528"/>
    <n v="26112"/>
    <n v="10183.68"/>
    <x v="6"/>
    <s v="Moisturizer"/>
    <n v="45887"/>
    <s v="Aug-2025"/>
    <n v="327"/>
    <x v="171"/>
  </r>
  <r>
    <n v="398"/>
    <n v="299"/>
    <n v="7"/>
    <n v="1"/>
    <n v="1459"/>
    <n v="1459"/>
    <n v="503.35"/>
    <x v="0"/>
    <s v="Monitor"/>
    <n v="45887"/>
    <s v="Aug-2025"/>
    <n v="327"/>
    <x v="171"/>
  </r>
  <r>
    <n v="399"/>
    <n v="300"/>
    <n v="1"/>
    <n v="1"/>
    <n v="637"/>
    <n v="637"/>
    <n v="277.08999999999997"/>
    <x v="0"/>
    <s v="Laptop"/>
    <n v="45890"/>
    <s v="Aug-2025"/>
    <n v="364"/>
    <x v="172"/>
  </r>
  <r>
    <n v="400"/>
    <n v="300"/>
    <n v="14"/>
    <n v="2"/>
    <n v="2418"/>
    <n v="4836"/>
    <n v="1886.04"/>
    <x v="2"/>
    <s v="Jacket"/>
    <n v="45890"/>
    <s v="Aug-2025"/>
    <n v="364"/>
    <x v="172"/>
  </r>
  <r>
    <n v="401"/>
    <n v="301"/>
    <n v="8"/>
    <n v="2"/>
    <n v="1596"/>
    <n v="3192"/>
    <n v="1053.3600000000001"/>
    <x v="0"/>
    <s v="Tablet"/>
    <n v="45893"/>
    <s v="Aug-2025"/>
    <n v="401"/>
    <x v="173"/>
  </r>
  <r>
    <n v="402"/>
    <n v="301"/>
    <n v="21"/>
    <n v="3"/>
    <n v="3377"/>
    <n v="10131"/>
    <n v="4406.97"/>
    <x v="1"/>
    <s v="Mixer"/>
    <n v="45893"/>
    <s v="Aug-2025"/>
    <n v="401"/>
    <x v="173"/>
  </r>
  <r>
    <n v="403"/>
    <n v="302"/>
    <n v="15"/>
    <n v="3"/>
    <n v="2555"/>
    <n v="7665"/>
    <n v="2874.3599999999997"/>
    <x v="2"/>
    <s v="Shoes"/>
    <n v="45896"/>
    <s v="Aug-2025"/>
    <n v="438"/>
    <x v="78"/>
  </r>
  <r>
    <n v="404"/>
    <n v="302"/>
    <n v="28"/>
    <n v="4"/>
    <n v="4336"/>
    <n v="17344"/>
    <n v="5723.52"/>
    <x v="3"/>
    <s v="Bottle"/>
    <n v="45896"/>
    <s v="Aug-2025"/>
    <n v="438"/>
    <x v="78"/>
  </r>
  <r>
    <n v="405"/>
    <n v="303"/>
    <n v="22"/>
    <n v="4"/>
    <n v="3514"/>
    <n v="14056"/>
    <n v="5903.52"/>
    <x v="1"/>
    <s v="Microwave"/>
    <n v="45899"/>
    <s v="Aug-2025"/>
    <n v="475"/>
    <x v="174"/>
  </r>
  <r>
    <n v="406"/>
    <n v="303"/>
    <n v="35"/>
    <n v="1"/>
    <n v="5295"/>
    <n v="5295"/>
    <n v="1985.62"/>
    <x v="4"/>
    <s v="Novel"/>
    <n v="45899"/>
    <s v="Aug-2025"/>
    <n v="475"/>
    <x v="174"/>
  </r>
  <r>
    <n v="407"/>
    <n v="304"/>
    <n v="29"/>
    <n v="1"/>
    <n v="4473"/>
    <n v="4473"/>
    <n v="1408.9899999999998"/>
    <x v="5"/>
    <s v="Chair"/>
    <n v="45902"/>
    <s v="Sep-2025"/>
    <n v="12"/>
    <x v="175"/>
  </r>
  <r>
    <n v="408"/>
    <n v="304"/>
    <n v="42"/>
    <n v="2"/>
    <n v="6254"/>
    <n v="12508"/>
    <n v="5253.36"/>
    <x v="6"/>
    <s v="Shampoo"/>
    <n v="45902"/>
    <s v="Sep-2025"/>
    <n v="12"/>
    <x v="175"/>
  </r>
  <r>
    <n v="409"/>
    <n v="305"/>
    <n v="36"/>
    <n v="2"/>
    <n v="5432"/>
    <n v="10864"/>
    <n v="3911.04"/>
    <x v="7"/>
    <s v="Cricket Bat"/>
    <n v="45905"/>
    <s v="Sep-2025"/>
    <n v="49"/>
    <x v="176"/>
  </r>
  <r>
    <n v="410"/>
    <n v="305"/>
    <n v="49"/>
    <n v="3"/>
    <n v="7213"/>
    <n v="21639"/>
    <n v="6816.27"/>
    <x v="8"/>
    <s v="Remote Car"/>
    <n v="45905"/>
    <s v="Sep-2025"/>
    <n v="49"/>
    <x v="176"/>
  </r>
  <r>
    <n v="411"/>
    <n v="306"/>
    <n v="43"/>
    <n v="3"/>
    <n v="6391"/>
    <n v="19173"/>
    <n v="7765.0499999999993"/>
    <x v="6"/>
    <s v="Perfume"/>
    <n v="45908"/>
    <s v="Sep-2025"/>
    <n v="86"/>
    <x v="177"/>
  </r>
  <r>
    <n v="412"/>
    <n v="306"/>
    <n v="6"/>
    <n v="4"/>
    <n v="1322"/>
    <n v="5288"/>
    <n v="1903.6799999999998"/>
    <x v="0"/>
    <s v="Mouse"/>
    <n v="45908"/>
    <s v="Sep-2025"/>
    <n v="86"/>
    <x v="177"/>
  </r>
  <r>
    <n v="413"/>
    <n v="307"/>
    <n v="50"/>
    <n v="4"/>
    <n v="7350"/>
    <n v="29400"/>
    <n v="13230"/>
    <x v="8"/>
    <s v="Building Blocks"/>
    <n v="45911"/>
    <s v="Sep-2025"/>
    <n v="123"/>
    <x v="178"/>
  </r>
  <r>
    <n v="414"/>
    <n v="307"/>
    <n v="13"/>
    <n v="1"/>
    <n v="2281"/>
    <n v="2281"/>
    <n v="923.8"/>
    <x v="2"/>
    <s v="Shirt"/>
    <n v="45911"/>
    <s v="Sep-2025"/>
    <n v="123"/>
    <x v="178"/>
  </r>
  <r>
    <n v="415"/>
    <n v="308"/>
    <n v="7"/>
    <n v="1"/>
    <n v="1459"/>
    <n v="1459"/>
    <n v="503.35"/>
    <x v="0"/>
    <s v="Monitor"/>
    <n v="45914"/>
    <s v="Sep-2025"/>
    <n v="160"/>
    <x v="179"/>
  </r>
  <r>
    <n v="416"/>
    <n v="308"/>
    <n v="20"/>
    <n v="2"/>
    <n v="3240"/>
    <n v="6480"/>
    <n v="2916"/>
    <x v="2"/>
    <s v="Belt"/>
    <n v="45914"/>
    <s v="Sep-2025"/>
    <n v="160"/>
    <x v="179"/>
  </r>
  <r>
    <n v="417"/>
    <n v="309"/>
    <n v="14"/>
    <n v="2"/>
    <n v="2418"/>
    <n v="4836"/>
    <n v="1886.04"/>
    <x v="2"/>
    <s v="Jacket"/>
    <n v="45917"/>
    <s v="Sep-2025"/>
    <n v="197"/>
    <x v="91"/>
  </r>
  <r>
    <n v="418"/>
    <n v="309"/>
    <n v="27"/>
    <n v="3"/>
    <n v="4199"/>
    <n v="12597"/>
    <n v="4345.9500000000007"/>
    <x v="3"/>
    <s v="Cookware Set"/>
    <n v="45917"/>
    <s v="Sep-2025"/>
    <n v="197"/>
    <x v="91"/>
  </r>
  <r>
    <n v="419"/>
    <n v="310"/>
    <n v="21"/>
    <n v="3"/>
    <n v="3377"/>
    <n v="10131"/>
    <n v="4406.97"/>
    <x v="1"/>
    <s v="Mixer"/>
    <n v="45920"/>
    <s v="Sep-2025"/>
    <n v="234"/>
    <x v="180"/>
  </r>
  <r>
    <n v="420"/>
    <n v="310"/>
    <n v="34"/>
    <n v="4"/>
    <n v="5158"/>
    <n v="20632"/>
    <n v="8046.48"/>
    <x v="4"/>
    <s v="Cookbook"/>
    <n v="45920"/>
    <s v="Sep-2025"/>
    <n v="234"/>
    <x v="180"/>
  </r>
  <r>
    <n v="421"/>
    <n v="311"/>
    <n v="28"/>
    <n v="4"/>
    <n v="4336"/>
    <n v="17344"/>
    <n v="5723.52"/>
    <x v="3"/>
    <s v="Bottle"/>
    <n v="45923"/>
    <s v="Sep-2025"/>
    <n v="271"/>
    <x v="181"/>
  </r>
  <r>
    <n v="422"/>
    <n v="311"/>
    <n v="41"/>
    <n v="1"/>
    <n v="6117"/>
    <n v="6117"/>
    <n v="2660.89"/>
    <x v="6"/>
    <s v="Face Wash"/>
    <n v="45923"/>
    <s v="Sep-2025"/>
    <n v="271"/>
    <x v="181"/>
  </r>
  <r>
    <n v="423"/>
    <n v="312"/>
    <n v="35"/>
    <n v="1"/>
    <n v="5295"/>
    <n v="5295"/>
    <n v="1985.62"/>
    <x v="4"/>
    <s v="Novel"/>
    <n v="45926"/>
    <s v="Sep-2025"/>
    <n v="308"/>
    <x v="182"/>
  </r>
  <r>
    <n v="424"/>
    <n v="312"/>
    <n v="48"/>
    <n v="2"/>
    <n v="7076"/>
    <n v="14152"/>
    <n v="4670.16"/>
    <x v="8"/>
    <s v="Board Game"/>
    <n v="45926"/>
    <s v="Sep-2025"/>
    <n v="308"/>
    <x v="182"/>
  </r>
  <r>
    <n v="425"/>
    <n v="313"/>
    <n v="42"/>
    <n v="2"/>
    <n v="6254"/>
    <n v="12508"/>
    <n v="5253.36"/>
    <x v="6"/>
    <s v="Shampoo"/>
    <n v="45929"/>
    <s v="Sep-2025"/>
    <n v="345"/>
    <x v="183"/>
  </r>
  <r>
    <n v="426"/>
    <n v="313"/>
    <n v="5"/>
    <n v="3"/>
    <n v="1185"/>
    <n v="3555"/>
    <n v="1333.1399999999999"/>
    <x v="0"/>
    <s v="Keyboard"/>
    <n v="45929"/>
    <s v="Sep-2025"/>
    <n v="345"/>
    <x v="183"/>
  </r>
  <r>
    <n v="427"/>
    <n v="314"/>
    <n v="49"/>
    <n v="3"/>
    <n v="7213"/>
    <n v="21639"/>
    <n v="6816.27"/>
    <x v="8"/>
    <s v="Remote Car"/>
    <n v="45932"/>
    <s v="Oct-2025"/>
    <n v="382"/>
    <x v="184"/>
  </r>
  <r>
    <n v="428"/>
    <n v="314"/>
    <n v="12"/>
    <n v="4"/>
    <n v="2144"/>
    <n v="8576"/>
    <n v="3601.92"/>
    <x v="2"/>
    <s v="Jeans"/>
    <n v="45932"/>
    <s v="Oct-2025"/>
    <n v="382"/>
    <x v="184"/>
  </r>
  <r>
    <n v="429"/>
    <n v="315"/>
    <n v="6"/>
    <n v="4"/>
    <n v="1322"/>
    <n v="5288"/>
    <n v="1903.6799999999998"/>
    <x v="0"/>
    <s v="Mouse"/>
    <n v="45935"/>
    <s v="Oct-2025"/>
    <n v="419"/>
    <x v="101"/>
  </r>
  <r>
    <n v="430"/>
    <n v="315"/>
    <n v="19"/>
    <n v="1"/>
    <n v="3103"/>
    <n v="3103"/>
    <n v="977.44"/>
    <x v="2"/>
    <s v="Wallet"/>
    <n v="45935"/>
    <s v="Oct-2025"/>
    <n v="419"/>
    <x v="101"/>
  </r>
  <r>
    <n v="431"/>
    <n v="316"/>
    <n v="13"/>
    <n v="1"/>
    <n v="2281"/>
    <n v="2281"/>
    <n v="923.8"/>
    <x v="2"/>
    <s v="Shirt"/>
    <n v="45938"/>
    <s v="Oct-2025"/>
    <n v="456"/>
    <x v="151"/>
  </r>
  <r>
    <n v="432"/>
    <n v="316"/>
    <n v="26"/>
    <n v="2"/>
    <n v="4062"/>
    <n v="8124"/>
    <n v="2924.6400000000003"/>
    <x v="3"/>
    <s v="Bedsheet"/>
    <n v="45938"/>
    <s v="Oct-2025"/>
    <n v="456"/>
    <x v="151"/>
  </r>
  <r>
    <n v="433"/>
    <n v="317"/>
    <n v="20"/>
    <n v="2"/>
    <n v="3240"/>
    <n v="6480"/>
    <n v="2916"/>
    <x v="2"/>
    <s v="Belt"/>
    <n v="45941"/>
    <s v="Oct-2025"/>
    <n v="493"/>
    <x v="34"/>
  </r>
  <r>
    <n v="434"/>
    <n v="317"/>
    <n v="33"/>
    <n v="3"/>
    <n v="5021"/>
    <n v="15063"/>
    <n v="6100.5"/>
    <x v="4"/>
    <s v="Pen Set"/>
    <n v="45941"/>
    <s v="Oct-2025"/>
    <n v="493"/>
    <x v="34"/>
  </r>
  <r>
    <n v="435"/>
    <n v="318"/>
    <n v="27"/>
    <n v="3"/>
    <n v="4199"/>
    <n v="12597"/>
    <n v="4345.9500000000007"/>
    <x v="3"/>
    <s v="Cookware Set"/>
    <n v="45944"/>
    <s v="Oct-2025"/>
    <n v="30"/>
    <x v="179"/>
  </r>
  <r>
    <n v="436"/>
    <n v="318"/>
    <n v="40"/>
    <n v="4"/>
    <n v="5980"/>
    <n v="23920"/>
    <n v="10764"/>
    <x v="7"/>
    <s v="Dumbbells"/>
    <n v="45944"/>
    <s v="Oct-2025"/>
    <n v="30"/>
    <x v="179"/>
  </r>
  <r>
    <n v="437"/>
    <n v="319"/>
    <n v="34"/>
    <n v="4"/>
    <n v="5158"/>
    <n v="20632"/>
    <n v="8046.48"/>
    <x v="4"/>
    <s v="Cookbook"/>
    <n v="45947"/>
    <s v="Oct-2025"/>
    <n v="67"/>
    <x v="185"/>
  </r>
  <r>
    <n v="438"/>
    <n v="319"/>
    <n v="47"/>
    <n v="1"/>
    <n v="6939"/>
    <n v="6939"/>
    <n v="2393.9499999999998"/>
    <x v="8"/>
    <s v="Puzzle"/>
    <n v="45947"/>
    <s v="Oct-2025"/>
    <n v="67"/>
    <x v="185"/>
  </r>
  <r>
    <n v="439"/>
    <n v="320"/>
    <n v="41"/>
    <n v="1"/>
    <n v="6117"/>
    <n v="6117"/>
    <n v="2660.89"/>
    <x v="6"/>
    <s v="Face Wash"/>
    <n v="45950"/>
    <s v="Oct-2025"/>
    <n v="104"/>
    <x v="186"/>
  </r>
  <r>
    <n v="440"/>
    <n v="320"/>
    <n v="4"/>
    <n v="2"/>
    <n v="1048"/>
    <n v="2096"/>
    <n v="817.44"/>
    <x v="0"/>
    <s v="Smart Watch"/>
    <n v="45950"/>
    <s v="Oct-2025"/>
    <n v="104"/>
    <x v="186"/>
  </r>
  <r>
    <n v="441"/>
    <n v="321"/>
    <n v="48"/>
    <n v="2"/>
    <n v="7076"/>
    <n v="14152"/>
    <n v="4670.16"/>
    <x v="8"/>
    <s v="Board Game"/>
    <n v="45953"/>
    <s v="Oct-2025"/>
    <n v="141"/>
    <x v="187"/>
  </r>
  <r>
    <n v="442"/>
    <n v="321"/>
    <n v="11"/>
    <n v="3"/>
    <n v="2007"/>
    <n v="6021"/>
    <n v="2619.12"/>
    <x v="2"/>
    <s v="T-Shirt"/>
    <n v="45953"/>
    <s v="Oct-2025"/>
    <n v="141"/>
    <x v="187"/>
  </r>
  <r>
    <n v="443"/>
    <n v="322"/>
    <n v="5"/>
    <n v="3"/>
    <n v="1185"/>
    <n v="3555"/>
    <n v="1333.1399999999999"/>
    <x v="0"/>
    <s v="Keyboard"/>
    <n v="45956"/>
    <s v="Oct-2025"/>
    <n v="178"/>
    <x v="178"/>
  </r>
  <r>
    <n v="444"/>
    <n v="322"/>
    <n v="18"/>
    <n v="4"/>
    <n v="2966"/>
    <n v="11864"/>
    <n v="3915.12"/>
    <x v="2"/>
    <s v="Backpack"/>
    <n v="45956"/>
    <s v="Oct-2025"/>
    <n v="178"/>
    <x v="178"/>
  </r>
  <r>
    <n v="445"/>
    <n v="323"/>
    <n v="12"/>
    <n v="4"/>
    <n v="2144"/>
    <n v="8576"/>
    <n v="3601.92"/>
    <x v="2"/>
    <s v="Jeans"/>
    <n v="45959"/>
    <s v="Oct-2025"/>
    <n v="215"/>
    <x v="188"/>
  </r>
  <r>
    <n v="446"/>
    <n v="323"/>
    <n v="25"/>
    <n v="1"/>
    <n v="3925"/>
    <n v="3925"/>
    <n v="1471.88"/>
    <x v="1"/>
    <s v="Vacuum Cleaner"/>
    <n v="45959"/>
    <s v="Oct-2025"/>
    <n v="215"/>
    <x v="188"/>
  </r>
  <r>
    <n v="447"/>
    <n v="324"/>
    <n v="19"/>
    <n v="1"/>
    <n v="3103"/>
    <n v="3103"/>
    <n v="977.44"/>
    <x v="2"/>
    <s v="Wallet"/>
    <n v="45962"/>
    <s v="Nov-2025"/>
    <n v="252"/>
    <x v="152"/>
  </r>
  <r>
    <n v="448"/>
    <n v="324"/>
    <n v="32"/>
    <n v="2"/>
    <n v="4884"/>
    <n v="9768"/>
    <n v="4102.5600000000004"/>
    <x v="4"/>
    <s v="Notebook"/>
    <n v="45962"/>
    <s v="Nov-2025"/>
    <n v="252"/>
    <x v="152"/>
  </r>
  <r>
    <n v="449"/>
    <n v="325"/>
    <n v="26"/>
    <n v="2"/>
    <n v="4062"/>
    <n v="8124"/>
    <n v="2924.6400000000003"/>
    <x v="3"/>
    <s v="Bedsheet"/>
    <n v="45965"/>
    <s v="Nov-2025"/>
    <n v="289"/>
    <x v="93"/>
  </r>
  <r>
    <n v="450"/>
    <n v="325"/>
    <n v="39"/>
    <n v="3"/>
    <n v="5843"/>
    <n v="17529"/>
    <n v="5521.62"/>
    <x v="7"/>
    <s v="Yoga Mat"/>
    <n v="45965"/>
    <s v="Nov-2025"/>
    <n v="289"/>
    <x v="93"/>
  </r>
  <r>
    <n v="451"/>
    <n v="326"/>
    <n v="33"/>
    <n v="3"/>
    <n v="5021"/>
    <n v="15063"/>
    <n v="6100.5"/>
    <x v="4"/>
    <s v="Pen Set"/>
    <n v="45968"/>
    <s v="Nov-2025"/>
    <n v="326"/>
    <x v="189"/>
  </r>
  <r>
    <n v="452"/>
    <n v="326"/>
    <n v="46"/>
    <n v="4"/>
    <n v="6802"/>
    <n v="27208"/>
    <n v="9794.880000000001"/>
    <x v="8"/>
    <s v="Toys Car"/>
    <n v="45968"/>
    <s v="Nov-2025"/>
    <n v="326"/>
    <x v="189"/>
  </r>
  <r>
    <n v="453"/>
    <n v="327"/>
    <n v="40"/>
    <n v="4"/>
    <n v="5980"/>
    <n v="23920"/>
    <n v="10764"/>
    <x v="7"/>
    <s v="Dumbbells"/>
    <n v="45971"/>
    <s v="Nov-2025"/>
    <n v="363"/>
    <x v="44"/>
  </r>
  <r>
    <n v="454"/>
    <n v="327"/>
    <n v="3"/>
    <n v="1"/>
    <n v="911"/>
    <n v="911"/>
    <n v="368.95000000000005"/>
    <x v="0"/>
    <s v="Headphones"/>
    <n v="45971"/>
    <s v="Nov-2025"/>
    <n v="363"/>
    <x v="44"/>
  </r>
  <r>
    <n v="455"/>
    <n v="328"/>
    <n v="47"/>
    <n v="1"/>
    <n v="6939"/>
    <n v="6939"/>
    <n v="2393.9499999999998"/>
    <x v="8"/>
    <s v="Puzzle"/>
    <n v="45974"/>
    <s v="Nov-2025"/>
    <n v="400"/>
    <x v="190"/>
  </r>
  <r>
    <n v="456"/>
    <n v="328"/>
    <n v="10"/>
    <n v="2"/>
    <n v="1870"/>
    <n v="3740"/>
    <n v="1683"/>
    <x v="0"/>
    <s v="Earbuds"/>
    <n v="45974"/>
    <s v="Nov-2025"/>
    <n v="400"/>
    <x v="190"/>
  </r>
  <r>
    <n v="457"/>
    <n v="329"/>
    <n v="4"/>
    <n v="2"/>
    <n v="1048"/>
    <n v="2096"/>
    <n v="817.44"/>
    <x v="0"/>
    <s v="Smart Watch"/>
    <n v="45977"/>
    <s v="Nov-2025"/>
    <n v="437"/>
    <x v="164"/>
  </r>
  <r>
    <n v="458"/>
    <n v="329"/>
    <n v="17"/>
    <n v="3"/>
    <n v="2829"/>
    <n v="8487"/>
    <n v="2928"/>
    <x v="2"/>
    <s v="Dress"/>
    <n v="45977"/>
    <s v="Nov-2025"/>
    <n v="437"/>
    <x v="164"/>
  </r>
  <r>
    <n v="459"/>
    <n v="330"/>
    <n v="11"/>
    <n v="3"/>
    <n v="2007"/>
    <n v="6021"/>
    <n v="2619.12"/>
    <x v="2"/>
    <s v="T-Shirt"/>
    <n v="45980"/>
    <s v="Nov-2025"/>
    <n v="474"/>
    <x v="191"/>
  </r>
  <r>
    <n v="460"/>
    <n v="330"/>
    <n v="24"/>
    <n v="4"/>
    <n v="3788"/>
    <n v="15152"/>
    <n v="5909.2800000000007"/>
    <x v="1"/>
    <s v="Iron"/>
    <n v="45980"/>
    <s v="Nov-2025"/>
    <n v="474"/>
    <x v="191"/>
  </r>
  <r>
    <n v="461"/>
    <n v="331"/>
    <n v="18"/>
    <n v="4"/>
    <n v="2966"/>
    <n v="11864"/>
    <n v="3915.12"/>
    <x v="2"/>
    <s v="Backpack"/>
    <n v="45983"/>
    <s v="Nov-2025"/>
    <n v="11"/>
    <x v="192"/>
  </r>
  <r>
    <n v="462"/>
    <n v="331"/>
    <n v="31"/>
    <n v="1"/>
    <n v="4747"/>
    <n v="4747"/>
    <n v="2064.94"/>
    <x v="4"/>
    <s v="Book"/>
    <n v="45983"/>
    <s v="Nov-2025"/>
    <n v="11"/>
    <x v="192"/>
  </r>
  <r>
    <n v="463"/>
    <n v="332"/>
    <n v="25"/>
    <n v="1"/>
    <n v="3925"/>
    <n v="3925"/>
    <n v="1471.88"/>
    <x v="1"/>
    <s v="Vacuum Cleaner"/>
    <n v="45986"/>
    <s v="Nov-2025"/>
    <n v="48"/>
    <x v="193"/>
  </r>
  <r>
    <n v="464"/>
    <n v="332"/>
    <n v="38"/>
    <n v="2"/>
    <n v="5706"/>
    <n v="11412"/>
    <n v="3765.96"/>
    <x v="7"/>
    <s v="Badminton Racket"/>
    <n v="45986"/>
    <s v="Nov-2025"/>
    <n v="48"/>
    <x v="193"/>
  </r>
  <r>
    <n v="465"/>
    <n v="333"/>
    <n v="32"/>
    <n v="2"/>
    <n v="4884"/>
    <n v="9768"/>
    <n v="4102.5600000000004"/>
    <x v="4"/>
    <s v="Notebook"/>
    <n v="45989"/>
    <s v="Nov-2025"/>
    <n v="85"/>
    <x v="194"/>
  </r>
  <r>
    <n v="466"/>
    <n v="333"/>
    <n v="45"/>
    <n v="3"/>
    <n v="6665"/>
    <n v="19995"/>
    <n v="7498.14"/>
    <x v="6"/>
    <s v="Sunscreen"/>
    <n v="45989"/>
    <s v="Nov-2025"/>
    <n v="85"/>
    <x v="194"/>
  </r>
  <r>
    <n v="467"/>
    <n v="334"/>
    <n v="39"/>
    <n v="3"/>
    <n v="5843"/>
    <n v="17529"/>
    <n v="5521.62"/>
    <x v="7"/>
    <s v="Yoga Mat"/>
    <n v="45992"/>
    <s v="Dec-2025"/>
    <n v="122"/>
    <x v="138"/>
  </r>
  <r>
    <n v="468"/>
    <n v="334"/>
    <n v="2"/>
    <n v="4"/>
    <n v="774"/>
    <n v="3096"/>
    <n v="1300.32"/>
    <x v="0"/>
    <s v="Mobile"/>
    <n v="45992"/>
    <s v="Dec-2025"/>
    <n v="122"/>
    <x v="138"/>
  </r>
  <r>
    <n v="469"/>
    <n v="335"/>
    <n v="46"/>
    <n v="4"/>
    <n v="6802"/>
    <n v="27208"/>
    <n v="9794.880000000001"/>
    <x v="8"/>
    <s v="Toys Car"/>
    <n v="45995"/>
    <s v="Dec-2025"/>
    <n v="159"/>
    <x v="195"/>
  </r>
  <r>
    <n v="470"/>
    <n v="335"/>
    <n v="9"/>
    <n v="1"/>
    <n v="1733"/>
    <n v="1733"/>
    <n v="545.8900000000001"/>
    <x v="0"/>
    <s v="Power Bank"/>
    <n v="45995"/>
    <s v="Dec-2025"/>
    <n v="159"/>
    <x v="195"/>
  </r>
  <r>
    <n v="471"/>
    <n v="336"/>
    <n v="3"/>
    <n v="1"/>
    <n v="911"/>
    <n v="911"/>
    <n v="368.95000000000005"/>
    <x v="0"/>
    <s v="Headphones"/>
    <n v="45998"/>
    <s v="Dec-2025"/>
    <n v="196"/>
    <x v="196"/>
  </r>
  <r>
    <n v="472"/>
    <n v="336"/>
    <n v="16"/>
    <n v="2"/>
    <n v="2692"/>
    <n v="5384"/>
    <n v="1938.2399999999998"/>
    <x v="2"/>
    <s v="Saree"/>
    <n v="45998"/>
    <s v="Dec-2025"/>
    <n v="196"/>
    <x v="196"/>
  </r>
  <r>
    <n v="473"/>
    <n v="337"/>
    <n v="10"/>
    <n v="2"/>
    <n v="1870"/>
    <n v="3740"/>
    <n v="1683"/>
    <x v="0"/>
    <s v="Earbuds"/>
    <n v="46001"/>
    <s v="Dec-2025"/>
    <n v="233"/>
    <x v="34"/>
  </r>
  <r>
    <n v="474"/>
    <n v="337"/>
    <n v="23"/>
    <n v="3"/>
    <n v="3651"/>
    <n v="10953"/>
    <n v="4435.9500000000007"/>
    <x v="1"/>
    <s v="Fan"/>
    <n v="46001"/>
    <s v="Dec-2025"/>
    <n v="233"/>
    <x v="34"/>
  </r>
  <r>
    <n v="475"/>
    <n v="338"/>
    <n v="17"/>
    <n v="3"/>
    <n v="2829"/>
    <n v="8487"/>
    <n v="2928"/>
    <x v="2"/>
    <s v="Dress"/>
    <n v="46004"/>
    <s v="Dec-2025"/>
    <n v="270"/>
    <x v="197"/>
  </r>
  <r>
    <n v="476"/>
    <n v="338"/>
    <n v="30"/>
    <n v="4"/>
    <n v="4610"/>
    <n v="18440"/>
    <n v="8298"/>
    <x v="5"/>
    <s v="Table"/>
    <n v="46004"/>
    <s v="Dec-2025"/>
    <n v="270"/>
    <x v="197"/>
  </r>
  <r>
    <n v="477"/>
    <n v="339"/>
    <n v="24"/>
    <n v="4"/>
    <n v="3788"/>
    <n v="15152"/>
    <n v="5909.2800000000007"/>
    <x v="1"/>
    <s v="Iron"/>
    <n v="46007"/>
    <s v="Dec-2025"/>
    <n v="307"/>
    <x v="93"/>
  </r>
  <r>
    <n v="478"/>
    <n v="339"/>
    <n v="37"/>
    <n v="1"/>
    <n v="5569"/>
    <n v="5569"/>
    <n v="1921.3000000000002"/>
    <x v="7"/>
    <s v="Football"/>
    <n v="46007"/>
    <s v="Dec-2025"/>
    <n v="307"/>
    <x v="93"/>
  </r>
  <r>
    <n v="479"/>
    <n v="340"/>
    <n v="31"/>
    <n v="1"/>
    <n v="4747"/>
    <n v="4747"/>
    <n v="2064.94"/>
    <x v="4"/>
    <s v="Book"/>
    <n v="46010"/>
    <s v="Dec-2025"/>
    <n v="344"/>
    <x v="198"/>
  </r>
  <r>
    <n v="480"/>
    <n v="340"/>
    <n v="44"/>
    <n v="2"/>
    <n v="6528"/>
    <n v="13056"/>
    <n v="5091.84"/>
    <x v="6"/>
    <s v="Moisturizer"/>
    <n v="46010"/>
    <s v="Dec-2025"/>
    <n v="344"/>
    <x v="198"/>
  </r>
  <r>
    <n v="481"/>
    <n v="341"/>
    <n v="38"/>
    <n v="2"/>
    <n v="5706"/>
    <n v="11412"/>
    <n v="3765.96"/>
    <x v="7"/>
    <s v="Badminton Racket"/>
    <n v="46013"/>
    <s v="Dec-2025"/>
    <n v="381"/>
    <x v="199"/>
  </r>
  <r>
    <n v="482"/>
    <n v="341"/>
    <n v="1"/>
    <n v="3"/>
    <n v="637"/>
    <n v="1911"/>
    <n v="831.27"/>
    <x v="0"/>
    <s v="Laptop"/>
    <n v="46013"/>
    <s v="Dec-2025"/>
    <n v="381"/>
    <x v="199"/>
  </r>
  <r>
    <n v="483"/>
    <n v="342"/>
    <n v="45"/>
    <n v="3"/>
    <n v="6665"/>
    <n v="19995"/>
    <n v="7498.14"/>
    <x v="6"/>
    <s v="Sunscreen"/>
    <n v="46016"/>
    <s v="Dec-2025"/>
    <n v="418"/>
    <x v="200"/>
  </r>
  <r>
    <n v="484"/>
    <n v="342"/>
    <n v="8"/>
    <n v="4"/>
    <n v="1596"/>
    <n v="6384"/>
    <n v="2106.7200000000003"/>
    <x v="0"/>
    <s v="Tablet"/>
    <n v="46016"/>
    <s v="Dec-2025"/>
    <n v="418"/>
    <x v="200"/>
  </r>
  <r>
    <n v="485"/>
    <n v="343"/>
    <n v="2"/>
    <n v="4"/>
    <n v="774"/>
    <n v="3096"/>
    <n v="1300.32"/>
    <x v="0"/>
    <s v="Mobile"/>
    <n v="46019"/>
    <s v="Dec-2025"/>
    <n v="455"/>
    <x v="86"/>
  </r>
  <r>
    <n v="486"/>
    <n v="343"/>
    <n v="15"/>
    <n v="1"/>
    <n v="2555"/>
    <n v="2555"/>
    <n v="958.11999999999989"/>
    <x v="2"/>
    <s v="Shoes"/>
    <n v="46019"/>
    <s v="Dec-2025"/>
    <n v="455"/>
    <x v="86"/>
  </r>
  <r>
    <n v="487"/>
    <n v="344"/>
    <n v="9"/>
    <n v="1"/>
    <n v="1733"/>
    <n v="1733"/>
    <n v="545.8900000000001"/>
    <x v="0"/>
    <s v="Power Bank"/>
    <n v="46022"/>
    <s v="Dec-2025"/>
    <n v="492"/>
    <x v="201"/>
  </r>
  <r>
    <n v="488"/>
    <n v="344"/>
    <n v="22"/>
    <n v="2"/>
    <n v="3514"/>
    <n v="7028"/>
    <n v="2951.76"/>
    <x v="1"/>
    <s v="Microwave"/>
    <n v="46022"/>
    <s v="Dec-2025"/>
    <n v="492"/>
    <x v="201"/>
  </r>
  <r>
    <n v="489"/>
    <n v="345"/>
    <n v="16"/>
    <n v="2"/>
    <n v="2692"/>
    <n v="5384"/>
    <n v="1938.2399999999998"/>
    <x v="2"/>
    <s v="Saree"/>
    <n v="45660"/>
    <s v="Jan-2025"/>
    <n v="29"/>
    <x v="52"/>
  </r>
  <r>
    <n v="490"/>
    <n v="345"/>
    <n v="29"/>
    <n v="3"/>
    <n v="4473"/>
    <n v="13419"/>
    <n v="4226.9699999999993"/>
    <x v="5"/>
    <s v="Chair"/>
    <n v="45660"/>
    <s v="Jan-2025"/>
    <n v="29"/>
    <x v="52"/>
  </r>
  <r>
    <n v="491"/>
    <n v="346"/>
    <n v="23"/>
    <n v="3"/>
    <n v="3651"/>
    <n v="10953"/>
    <n v="4435.9500000000007"/>
    <x v="1"/>
    <s v="Fan"/>
    <n v="45663"/>
    <s v="Jan-2025"/>
    <n v="66"/>
    <x v="202"/>
  </r>
  <r>
    <n v="492"/>
    <n v="346"/>
    <n v="36"/>
    <n v="4"/>
    <n v="5432"/>
    <n v="21728"/>
    <n v="7822.08"/>
    <x v="7"/>
    <s v="Cricket Bat"/>
    <n v="45663"/>
    <s v="Jan-2025"/>
    <n v="66"/>
    <x v="202"/>
  </r>
  <r>
    <n v="493"/>
    <n v="347"/>
    <n v="30"/>
    <n v="4"/>
    <n v="4610"/>
    <n v="18440"/>
    <n v="8298"/>
    <x v="5"/>
    <s v="Table"/>
    <n v="45666"/>
    <s v="Jan-2025"/>
    <n v="103"/>
    <x v="203"/>
  </r>
  <r>
    <n v="494"/>
    <n v="347"/>
    <n v="43"/>
    <n v="1"/>
    <n v="6391"/>
    <n v="6391"/>
    <n v="2588.35"/>
    <x v="6"/>
    <s v="Perfume"/>
    <n v="45666"/>
    <s v="Jan-2025"/>
    <n v="103"/>
    <x v="203"/>
  </r>
  <r>
    <n v="495"/>
    <n v="348"/>
    <n v="37"/>
    <n v="1"/>
    <n v="5569"/>
    <n v="5569"/>
    <n v="1921.3000000000002"/>
    <x v="7"/>
    <s v="Football"/>
    <n v="45669"/>
    <s v="Jan-2025"/>
    <n v="140"/>
    <x v="204"/>
  </r>
  <r>
    <n v="496"/>
    <n v="348"/>
    <n v="50"/>
    <n v="2"/>
    <n v="7350"/>
    <n v="14700"/>
    <n v="6615"/>
    <x v="8"/>
    <s v="Building Blocks"/>
    <n v="45669"/>
    <s v="Jan-2025"/>
    <n v="140"/>
    <x v="204"/>
  </r>
  <r>
    <n v="497"/>
    <n v="349"/>
    <n v="44"/>
    <n v="2"/>
    <n v="6528"/>
    <n v="13056"/>
    <n v="5091.84"/>
    <x v="6"/>
    <s v="Moisturizer"/>
    <n v="45672"/>
    <s v="Jan-2025"/>
    <n v="177"/>
    <x v="86"/>
  </r>
  <r>
    <n v="498"/>
    <n v="349"/>
    <n v="7"/>
    <n v="3"/>
    <n v="1459"/>
    <n v="4377"/>
    <n v="1510.0500000000002"/>
    <x v="0"/>
    <s v="Monitor"/>
    <n v="45672"/>
    <s v="Jan-2025"/>
    <n v="177"/>
    <x v="86"/>
  </r>
  <r>
    <n v="499"/>
    <n v="350"/>
    <n v="1"/>
    <n v="3"/>
    <n v="637"/>
    <n v="1911"/>
    <n v="831.27"/>
    <x v="0"/>
    <s v="Laptop"/>
    <n v="45675"/>
    <s v="Jan-2025"/>
    <n v="214"/>
    <x v="82"/>
  </r>
  <r>
    <n v="500"/>
    <n v="350"/>
    <n v="14"/>
    <n v="4"/>
    <n v="2418"/>
    <n v="9672"/>
    <n v="3772.08"/>
    <x v="2"/>
    <s v="Jacket"/>
    <n v="45675"/>
    <s v="Jan-2025"/>
    <n v="214"/>
    <x v="82"/>
  </r>
  <r>
    <n v="501"/>
    <n v="351"/>
    <n v="8"/>
    <n v="4"/>
    <n v="1596"/>
    <n v="6384"/>
    <n v="2106.7200000000003"/>
    <x v="0"/>
    <s v="Tablet"/>
    <n v="45678"/>
    <s v="Jan-2025"/>
    <n v="251"/>
    <x v="74"/>
  </r>
  <r>
    <n v="502"/>
    <n v="351"/>
    <n v="21"/>
    <n v="1"/>
    <n v="3377"/>
    <n v="3377"/>
    <n v="1468.99"/>
    <x v="1"/>
    <s v="Mixer"/>
    <n v="45678"/>
    <s v="Jan-2025"/>
    <n v="251"/>
    <x v="74"/>
  </r>
  <r>
    <n v="503"/>
    <n v="352"/>
    <n v="15"/>
    <n v="1"/>
    <n v="2555"/>
    <n v="2555"/>
    <n v="958.11999999999989"/>
    <x v="2"/>
    <s v="Shoes"/>
    <n v="45681"/>
    <s v="Jan-2025"/>
    <n v="288"/>
    <x v="205"/>
  </r>
  <r>
    <n v="504"/>
    <n v="352"/>
    <n v="28"/>
    <n v="2"/>
    <n v="4336"/>
    <n v="8672"/>
    <n v="2861.76"/>
    <x v="3"/>
    <s v="Bottle"/>
    <n v="45681"/>
    <s v="Jan-2025"/>
    <n v="288"/>
    <x v="205"/>
  </r>
  <r>
    <n v="505"/>
    <n v="353"/>
    <n v="22"/>
    <n v="2"/>
    <n v="3514"/>
    <n v="7028"/>
    <n v="2951.76"/>
    <x v="1"/>
    <s v="Microwave"/>
    <n v="45684"/>
    <s v="Jan-2025"/>
    <n v="325"/>
    <x v="206"/>
  </r>
  <r>
    <n v="506"/>
    <n v="353"/>
    <n v="35"/>
    <n v="3"/>
    <n v="5295"/>
    <n v="15885"/>
    <n v="5956.86"/>
    <x v="4"/>
    <s v="Novel"/>
    <n v="45684"/>
    <s v="Jan-2025"/>
    <n v="325"/>
    <x v="206"/>
  </r>
  <r>
    <n v="507"/>
    <n v="354"/>
    <n v="29"/>
    <n v="3"/>
    <n v="4473"/>
    <n v="13419"/>
    <n v="4226.9699999999993"/>
    <x v="5"/>
    <s v="Chair"/>
    <n v="45687"/>
    <s v="Jan-2025"/>
    <n v="362"/>
    <x v="156"/>
  </r>
  <r>
    <n v="508"/>
    <n v="354"/>
    <n v="42"/>
    <n v="4"/>
    <n v="6254"/>
    <n v="25016"/>
    <n v="10506.72"/>
    <x v="6"/>
    <s v="Shampoo"/>
    <n v="45687"/>
    <s v="Jan-2025"/>
    <n v="362"/>
    <x v="156"/>
  </r>
  <r>
    <n v="509"/>
    <n v="355"/>
    <n v="36"/>
    <n v="4"/>
    <n v="5432"/>
    <n v="21728"/>
    <n v="7822.08"/>
    <x v="7"/>
    <s v="Cricket Bat"/>
    <n v="45690"/>
    <s v="Feb-2025"/>
    <n v="399"/>
    <x v="206"/>
  </r>
  <r>
    <n v="510"/>
    <n v="355"/>
    <n v="49"/>
    <n v="1"/>
    <n v="7213"/>
    <n v="7213"/>
    <n v="2272.09"/>
    <x v="8"/>
    <s v="Remote Car"/>
    <n v="45690"/>
    <s v="Feb-2025"/>
    <n v="399"/>
    <x v="206"/>
  </r>
  <r>
    <n v="511"/>
    <n v="356"/>
    <n v="43"/>
    <n v="1"/>
    <n v="6391"/>
    <n v="6391"/>
    <n v="2588.35"/>
    <x v="6"/>
    <s v="Perfume"/>
    <n v="45693"/>
    <s v="Feb-2025"/>
    <n v="436"/>
    <x v="117"/>
  </r>
  <r>
    <n v="512"/>
    <n v="356"/>
    <n v="6"/>
    <n v="2"/>
    <n v="1322"/>
    <n v="2644"/>
    <n v="951.83999999999992"/>
    <x v="0"/>
    <s v="Mouse"/>
    <n v="45693"/>
    <s v="Feb-2025"/>
    <n v="436"/>
    <x v="117"/>
  </r>
  <r>
    <n v="513"/>
    <n v="357"/>
    <n v="50"/>
    <n v="2"/>
    <n v="7350"/>
    <n v="14700"/>
    <n v="6615"/>
    <x v="8"/>
    <s v="Building Blocks"/>
    <n v="45696"/>
    <s v="Feb-2025"/>
    <n v="473"/>
    <x v="207"/>
  </r>
  <r>
    <n v="514"/>
    <n v="357"/>
    <n v="13"/>
    <n v="3"/>
    <n v="2281"/>
    <n v="6843"/>
    <n v="2771.3999999999996"/>
    <x v="2"/>
    <s v="Shirt"/>
    <n v="45696"/>
    <s v="Feb-2025"/>
    <n v="473"/>
    <x v="207"/>
  </r>
  <r>
    <n v="515"/>
    <n v="358"/>
    <n v="7"/>
    <n v="3"/>
    <n v="1459"/>
    <n v="4377"/>
    <n v="1510.0500000000002"/>
    <x v="0"/>
    <s v="Monitor"/>
    <n v="45699"/>
    <s v="Feb-2025"/>
    <n v="10"/>
    <x v="145"/>
  </r>
  <r>
    <n v="516"/>
    <n v="358"/>
    <n v="20"/>
    <n v="4"/>
    <n v="3240"/>
    <n v="12960"/>
    <n v="5832"/>
    <x v="2"/>
    <s v="Belt"/>
    <n v="45699"/>
    <s v="Feb-2025"/>
    <n v="10"/>
    <x v="145"/>
  </r>
  <r>
    <n v="517"/>
    <n v="359"/>
    <n v="14"/>
    <n v="4"/>
    <n v="2418"/>
    <n v="9672"/>
    <n v="3772.08"/>
    <x v="2"/>
    <s v="Jacket"/>
    <n v="45702"/>
    <s v="Feb-2025"/>
    <n v="47"/>
    <x v="205"/>
  </r>
  <r>
    <n v="518"/>
    <n v="359"/>
    <n v="27"/>
    <n v="1"/>
    <n v="4199"/>
    <n v="4199"/>
    <n v="1448.65"/>
    <x v="3"/>
    <s v="Cookware Set"/>
    <n v="45702"/>
    <s v="Feb-2025"/>
    <n v="47"/>
    <x v="205"/>
  </r>
  <r>
    <n v="519"/>
    <n v="360"/>
    <n v="21"/>
    <n v="1"/>
    <n v="3377"/>
    <n v="3377"/>
    <n v="1468.99"/>
    <x v="1"/>
    <s v="Mixer"/>
    <n v="45705"/>
    <s v="Feb-2025"/>
    <n v="84"/>
    <x v="208"/>
  </r>
  <r>
    <n v="520"/>
    <n v="360"/>
    <n v="34"/>
    <n v="2"/>
    <n v="5158"/>
    <n v="10316"/>
    <n v="4023.24"/>
    <x v="4"/>
    <s v="Cookbook"/>
    <n v="45705"/>
    <s v="Feb-2025"/>
    <n v="84"/>
    <x v="208"/>
  </r>
  <r>
    <n v="521"/>
    <n v="361"/>
    <n v="28"/>
    <n v="2"/>
    <n v="4336"/>
    <n v="8672"/>
    <n v="2861.76"/>
    <x v="3"/>
    <s v="Bottle"/>
    <n v="45708"/>
    <s v="Feb-2025"/>
    <n v="121"/>
    <x v="209"/>
  </r>
  <r>
    <n v="522"/>
    <n v="361"/>
    <n v="41"/>
    <n v="3"/>
    <n v="6117"/>
    <n v="18351"/>
    <n v="7982.67"/>
    <x v="6"/>
    <s v="Face Wash"/>
    <n v="45708"/>
    <s v="Feb-2025"/>
    <n v="121"/>
    <x v="209"/>
  </r>
  <r>
    <n v="523"/>
    <n v="362"/>
    <n v="35"/>
    <n v="3"/>
    <n v="5295"/>
    <n v="15885"/>
    <n v="5956.86"/>
    <x v="4"/>
    <s v="Novel"/>
    <n v="45711"/>
    <s v="Feb-2025"/>
    <n v="158"/>
    <x v="171"/>
  </r>
  <r>
    <n v="524"/>
    <n v="362"/>
    <n v="48"/>
    <n v="4"/>
    <n v="7076"/>
    <n v="28304"/>
    <n v="9340.32"/>
    <x v="8"/>
    <s v="Board Game"/>
    <n v="45711"/>
    <s v="Feb-2025"/>
    <n v="158"/>
    <x v="171"/>
  </r>
  <r>
    <n v="525"/>
    <n v="363"/>
    <n v="42"/>
    <n v="4"/>
    <n v="6254"/>
    <n v="25016"/>
    <n v="10506.72"/>
    <x v="6"/>
    <s v="Shampoo"/>
    <n v="45714"/>
    <s v="Feb-2025"/>
    <n v="195"/>
    <x v="210"/>
  </r>
  <r>
    <n v="526"/>
    <n v="363"/>
    <n v="5"/>
    <n v="1"/>
    <n v="1185"/>
    <n v="1185"/>
    <n v="444.38"/>
    <x v="0"/>
    <s v="Keyboard"/>
    <n v="45714"/>
    <s v="Feb-2025"/>
    <n v="195"/>
    <x v="210"/>
  </r>
  <r>
    <n v="527"/>
    <n v="364"/>
    <n v="49"/>
    <n v="1"/>
    <n v="7213"/>
    <n v="7213"/>
    <n v="2272.09"/>
    <x v="8"/>
    <s v="Remote Car"/>
    <n v="45717"/>
    <s v="Mar-2025"/>
    <n v="232"/>
    <x v="211"/>
  </r>
  <r>
    <n v="528"/>
    <n v="364"/>
    <n v="12"/>
    <n v="2"/>
    <n v="2144"/>
    <n v="4288"/>
    <n v="1800.96"/>
    <x v="2"/>
    <s v="Jeans"/>
    <n v="45717"/>
    <s v="Mar-2025"/>
    <n v="232"/>
    <x v="211"/>
  </r>
  <r>
    <n v="529"/>
    <n v="365"/>
    <n v="6"/>
    <n v="2"/>
    <n v="1322"/>
    <n v="2644"/>
    <n v="951.83999999999992"/>
    <x v="0"/>
    <s v="Mouse"/>
    <n v="45720"/>
    <s v="Mar-2025"/>
    <n v="269"/>
    <x v="212"/>
  </r>
  <r>
    <n v="530"/>
    <n v="365"/>
    <n v="19"/>
    <n v="3"/>
    <n v="3103"/>
    <n v="9309"/>
    <n v="2932.32"/>
    <x v="2"/>
    <s v="Wallet"/>
    <n v="45720"/>
    <s v="Mar-2025"/>
    <n v="269"/>
    <x v="212"/>
  </r>
  <r>
    <n v="531"/>
    <n v="366"/>
    <n v="13"/>
    <n v="3"/>
    <n v="2281"/>
    <n v="6843"/>
    <n v="2771.3999999999996"/>
    <x v="2"/>
    <s v="Shirt"/>
    <n v="45723"/>
    <s v="Mar-2025"/>
    <n v="306"/>
    <x v="213"/>
  </r>
  <r>
    <n v="532"/>
    <n v="366"/>
    <n v="26"/>
    <n v="4"/>
    <n v="4062"/>
    <n v="16248"/>
    <n v="5849.2800000000007"/>
    <x v="3"/>
    <s v="Bedsheet"/>
    <n v="45723"/>
    <s v="Mar-2025"/>
    <n v="306"/>
    <x v="213"/>
  </r>
  <r>
    <n v="533"/>
    <n v="367"/>
    <n v="20"/>
    <n v="4"/>
    <n v="3240"/>
    <n v="12960"/>
    <n v="5832"/>
    <x v="2"/>
    <s v="Belt"/>
    <n v="45726"/>
    <s v="Mar-2025"/>
    <n v="343"/>
    <x v="214"/>
  </r>
  <r>
    <n v="534"/>
    <n v="367"/>
    <n v="33"/>
    <n v="1"/>
    <n v="5021"/>
    <n v="5021"/>
    <n v="2033.5"/>
    <x v="4"/>
    <s v="Pen Set"/>
    <n v="45726"/>
    <s v="Mar-2025"/>
    <n v="343"/>
    <x v="214"/>
  </r>
  <r>
    <n v="535"/>
    <n v="368"/>
    <n v="27"/>
    <n v="1"/>
    <n v="4199"/>
    <n v="4199"/>
    <n v="1448.65"/>
    <x v="3"/>
    <s v="Cookware Set"/>
    <n v="45729"/>
    <s v="Mar-2025"/>
    <n v="380"/>
    <x v="94"/>
  </r>
  <r>
    <n v="536"/>
    <n v="368"/>
    <n v="40"/>
    <n v="2"/>
    <n v="5980"/>
    <n v="11960"/>
    <n v="5382"/>
    <x v="7"/>
    <s v="Dumbbells"/>
    <n v="45729"/>
    <s v="Mar-2025"/>
    <n v="380"/>
    <x v="94"/>
  </r>
  <r>
    <n v="537"/>
    <n v="369"/>
    <n v="34"/>
    <n v="2"/>
    <n v="5158"/>
    <n v="10316"/>
    <n v="4023.24"/>
    <x v="4"/>
    <s v="Cookbook"/>
    <n v="45732"/>
    <s v="Mar-2025"/>
    <n v="417"/>
    <x v="215"/>
  </r>
  <r>
    <n v="538"/>
    <n v="369"/>
    <n v="47"/>
    <n v="3"/>
    <n v="6939"/>
    <n v="20817"/>
    <n v="7181.8499999999995"/>
    <x v="8"/>
    <s v="Puzzle"/>
    <n v="45732"/>
    <s v="Mar-2025"/>
    <n v="417"/>
    <x v="215"/>
  </r>
  <r>
    <n v="539"/>
    <n v="370"/>
    <n v="41"/>
    <n v="3"/>
    <n v="6117"/>
    <n v="18351"/>
    <n v="7982.67"/>
    <x v="6"/>
    <s v="Face Wash"/>
    <n v="45735"/>
    <s v="Mar-2025"/>
    <n v="454"/>
    <x v="216"/>
  </r>
  <r>
    <n v="540"/>
    <n v="370"/>
    <n v="4"/>
    <n v="4"/>
    <n v="1048"/>
    <n v="4192"/>
    <n v="1634.88"/>
    <x v="0"/>
    <s v="Smart Watch"/>
    <n v="45735"/>
    <s v="Mar-2025"/>
    <n v="454"/>
    <x v="216"/>
  </r>
  <r>
    <n v="541"/>
    <n v="371"/>
    <n v="48"/>
    <n v="4"/>
    <n v="7076"/>
    <n v="28304"/>
    <n v="9340.32"/>
    <x v="8"/>
    <s v="Board Game"/>
    <n v="45738"/>
    <s v="Mar-2025"/>
    <n v="491"/>
    <x v="190"/>
  </r>
  <r>
    <n v="542"/>
    <n v="371"/>
    <n v="11"/>
    <n v="1"/>
    <n v="2007"/>
    <n v="2007"/>
    <n v="873.04"/>
    <x v="2"/>
    <s v="T-Shirt"/>
    <n v="45738"/>
    <s v="Mar-2025"/>
    <n v="491"/>
    <x v="190"/>
  </r>
  <r>
    <n v="543"/>
    <n v="372"/>
    <n v="5"/>
    <n v="1"/>
    <n v="1185"/>
    <n v="1185"/>
    <n v="444.38"/>
    <x v="0"/>
    <s v="Keyboard"/>
    <n v="45741"/>
    <s v="Mar-2025"/>
    <n v="28"/>
    <x v="217"/>
  </r>
  <r>
    <n v="544"/>
    <n v="372"/>
    <n v="18"/>
    <n v="2"/>
    <n v="2966"/>
    <n v="5932"/>
    <n v="1957.56"/>
    <x v="2"/>
    <s v="Backpack"/>
    <n v="45741"/>
    <s v="Mar-2025"/>
    <n v="28"/>
    <x v="217"/>
  </r>
  <r>
    <n v="545"/>
    <n v="373"/>
    <n v="12"/>
    <n v="2"/>
    <n v="2144"/>
    <n v="4288"/>
    <n v="1800.96"/>
    <x v="2"/>
    <s v="Jeans"/>
    <n v="45744"/>
    <s v="Mar-2025"/>
    <n v="65"/>
    <x v="80"/>
  </r>
  <r>
    <n v="546"/>
    <n v="373"/>
    <n v="25"/>
    <n v="3"/>
    <n v="3925"/>
    <n v="11775"/>
    <n v="4415.6400000000003"/>
    <x v="1"/>
    <s v="Vacuum Cleaner"/>
    <n v="45744"/>
    <s v="Mar-2025"/>
    <n v="65"/>
    <x v="80"/>
  </r>
  <r>
    <n v="547"/>
    <n v="374"/>
    <n v="19"/>
    <n v="3"/>
    <n v="3103"/>
    <n v="9309"/>
    <n v="2932.32"/>
    <x v="2"/>
    <s v="Wallet"/>
    <n v="45747"/>
    <s v="Mar-2025"/>
    <n v="102"/>
    <x v="173"/>
  </r>
  <r>
    <n v="548"/>
    <n v="374"/>
    <n v="32"/>
    <n v="4"/>
    <n v="4884"/>
    <n v="19536"/>
    <n v="8205.1200000000008"/>
    <x v="4"/>
    <s v="Notebook"/>
    <n v="45747"/>
    <s v="Mar-2025"/>
    <n v="102"/>
    <x v="173"/>
  </r>
  <r>
    <n v="549"/>
    <n v="375"/>
    <n v="26"/>
    <n v="4"/>
    <n v="4062"/>
    <n v="16248"/>
    <n v="5849.2800000000007"/>
    <x v="3"/>
    <s v="Bedsheet"/>
    <n v="45750"/>
    <s v="Apr-2025"/>
    <n v="139"/>
    <x v="81"/>
  </r>
  <r>
    <n v="550"/>
    <n v="375"/>
    <n v="39"/>
    <n v="1"/>
    <n v="5843"/>
    <n v="5843"/>
    <n v="1840.54"/>
    <x v="7"/>
    <s v="Yoga Mat"/>
    <n v="45750"/>
    <s v="Apr-2025"/>
    <n v="139"/>
    <x v="81"/>
  </r>
  <r>
    <n v="551"/>
    <n v="376"/>
    <n v="33"/>
    <n v="1"/>
    <n v="5021"/>
    <n v="5021"/>
    <n v="2033.5"/>
    <x v="4"/>
    <s v="Pen Set"/>
    <n v="45753"/>
    <s v="Apr-2025"/>
    <n v="176"/>
    <x v="218"/>
  </r>
  <r>
    <n v="552"/>
    <n v="376"/>
    <n v="46"/>
    <n v="2"/>
    <n v="6802"/>
    <n v="13604"/>
    <n v="4897.4400000000005"/>
    <x v="8"/>
    <s v="Toys Car"/>
    <n v="45753"/>
    <s v="Apr-2025"/>
    <n v="176"/>
    <x v="218"/>
  </r>
  <r>
    <n v="553"/>
    <n v="377"/>
    <n v="40"/>
    <n v="2"/>
    <n v="5980"/>
    <n v="11960"/>
    <n v="5382"/>
    <x v="7"/>
    <s v="Dumbbells"/>
    <n v="45756"/>
    <s v="Apr-2025"/>
    <n v="213"/>
    <x v="148"/>
  </r>
  <r>
    <n v="554"/>
    <n v="377"/>
    <n v="3"/>
    <n v="3"/>
    <n v="911"/>
    <n v="2733"/>
    <n v="1106.8500000000001"/>
    <x v="0"/>
    <s v="Headphones"/>
    <n v="45756"/>
    <s v="Apr-2025"/>
    <n v="213"/>
    <x v="148"/>
  </r>
  <r>
    <n v="555"/>
    <n v="378"/>
    <n v="47"/>
    <n v="3"/>
    <n v="6939"/>
    <n v="20817"/>
    <n v="7181.8499999999995"/>
    <x v="8"/>
    <s v="Puzzle"/>
    <n v="45759"/>
    <s v="Apr-2025"/>
    <n v="250"/>
    <x v="16"/>
  </r>
  <r>
    <n v="556"/>
    <n v="378"/>
    <n v="10"/>
    <n v="4"/>
    <n v="1870"/>
    <n v="7480"/>
    <n v="3366"/>
    <x v="0"/>
    <s v="Earbuds"/>
    <n v="45759"/>
    <s v="Apr-2025"/>
    <n v="250"/>
    <x v="16"/>
  </r>
  <r>
    <n v="557"/>
    <n v="379"/>
    <n v="4"/>
    <n v="4"/>
    <n v="1048"/>
    <n v="4192"/>
    <n v="1634.88"/>
    <x v="0"/>
    <s v="Smart Watch"/>
    <n v="45762"/>
    <s v="Apr-2025"/>
    <n v="287"/>
    <x v="219"/>
  </r>
  <r>
    <n v="558"/>
    <n v="379"/>
    <n v="17"/>
    <n v="1"/>
    <n v="2829"/>
    <n v="2829"/>
    <n v="976"/>
    <x v="2"/>
    <s v="Dress"/>
    <n v="45762"/>
    <s v="Apr-2025"/>
    <n v="287"/>
    <x v="219"/>
  </r>
  <r>
    <n v="559"/>
    <n v="380"/>
    <n v="11"/>
    <n v="1"/>
    <n v="2007"/>
    <n v="2007"/>
    <n v="873.04"/>
    <x v="2"/>
    <s v="T-Shirt"/>
    <n v="45765"/>
    <s v="Apr-2025"/>
    <n v="324"/>
    <x v="179"/>
  </r>
  <r>
    <n v="560"/>
    <n v="380"/>
    <n v="24"/>
    <n v="2"/>
    <n v="3788"/>
    <n v="7576"/>
    <n v="2954.6400000000003"/>
    <x v="1"/>
    <s v="Iron"/>
    <n v="45765"/>
    <s v="Apr-2025"/>
    <n v="324"/>
    <x v="179"/>
  </r>
  <r>
    <n v="561"/>
    <n v="381"/>
    <n v="18"/>
    <n v="2"/>
    <n v="2966"/>
    <n v="5932"/>
    <n v="1957.56"/>
    <x v="2"/>
    <s v="Backpack"/>
    <n v="45768"/>
    <s v="Apr-2025"/>
    <n v="361"/>
    <x v="220"/>
  </r>
  <r>
    <n v="562"/>
    <n v="381"/>
    <n v="31"/>
    <n v="3"/>
    <n v="4747"/>
    <n v="14241"/>
    <n v="6194.82"/>
    <x v="4"/>
    <s v="Book"/>
    <n v="45768"/>
    <s v="Apr-2025"/>
    <n v="361"/>
    <x v="220"/>
  </r>
  <r>
    <n v="563"/>
    <n v="382"/>
    <n v="25"/>
    <n v="3"/>
    <n v="3925"/>
    <n v="11775"/>
    <n v="4415.6400000000003"/>
    <x v="1"/>
    <s v="Vacuum Cleaner"/>
    <n v="45771"/>
    <s v="Apr-2025"/>
    <n v="398"/>
    <x v="221"/>
  </r>
  <r>
    <n v="564"/>
    <n v="382"/>
    <n v="38"/>
    <n v="4"/>
    <n v="5706"/>
    <n v="22824"/>
    <n v="7531.92"/>
    <x v="7"/>
    <s v="Badminton Racket"/>
    <n v="45771"/>
    <s v="Apr-2025"/>
    <n v="398"/>
    <x v="221"/>
  </r>
  <r>
    <n v="565"/>
    <n v="383"/>
    <n v="32"/>
    <n v="4"/>
    <n v="4884"/>
    <n v="19536"/>
    <n v="8205.1200000000008"/>
    <x v="4"/>
    <s v="Notebook"/>
    <n v="45774"/>
    <s v="Apr-2025"/>
    <n v="435"/>
    <x v="23"/>
  </r>
  <r>
    <n v="566"/>
    <n v="383"/>
    <n v="45"/>
    <n v="1"/>
    <n v="6665"/>
    <n v="6665"/>
    <n v="2499.38"/>
    <x v="6"/>
    <s v="Sunscreen"/>
    <n v="45774"/>
    <s v="Apr-2025"/>
    <n v="435"/>
    <x v="23"/>
  </r>
  <r>
    <n v="567"/>
    <n v="384"/>
    <n v="39"/>
    <n v="1"/>
    <n v="5843"/>
    <n v="5843"/>
    <n v="1840.54"/>
    <x v="7"/>
    <s v="Yoga Mat"/>
    <n v="45777"/>
    <s v="Apr-2025"/>
    <n v="472"/>
    <x v="222"/>
  </r>
  <r>
    <n v="568"/>
    <n v="384"/>
    <n v="2"/>
    <n v="2"/>
    <n v="774"/>
    <n v="1548"/>
    <n v="650.16"/>
    <x v="0"/>
    <s v="Mobile"/>
    <n v="45777"/>
    <s v="Apr-2025"/>
    <n v="472"/>
    <x v="222"/>
  </r>
  <r>
    <n v="569"/>
    <n v="385"/>
    <n v="46"/>
    <n v="2"/>
    <n v="6802"/>
    <n v="13604"/>
    <n v="4897.4400000000005"/>
    <x v="8"/>
    <s v="Toys Car"/>
    <n v="45780"/>
    <s v="May-2025"/>
    <n v="9"/>
    <x v="95"/>
  </r>
  <r>
    <n v="570"/>
    <n v="385"/>
    <n v="9"/>
    <n v="3"/>
    <n v="1733"/>
    <n v="5199"/>
    <n v="1637.6700000000003"/>
    <x v="0"/>
    <s v="Power Bank"/>
    <n v="45780"/>
    <s v="May-2025"/>
    <n v="9"/>
    <x v="95"/>
  </r>
  <r>
    <n v="571"/>
    <n v="386"/>
    <n v="3"/>
    <n v="3"/>
    <n v="911"/>
    <n v="2733"/>
    <n v="1106.8500000000001"/>
    <x v="0"/>
    <s v="Headphones"/>
    <n v="45783"/>
    <s v="May-2025"/>
    <n v="46"/>
    <x v="32"/>
  </r>
  <r>
    <n v="572"/>
    <n v="386"/>
    <n v="16"/>
    <n v="4"/>
    <n v="2692"/>
    <n v="10768"/>
    <n v="3876.4799999999996"/>
    <x v="2"/>
    <s v="Saree"/>
    <n v="45783"/>
    <s v="May-2025"/>
    <n v="46"/>
    <x v="32"/>
  </r>
  <r>
    <n v="573"/>
    <n v="387"/>
    <n v="10"/>
    <n v="4"/>
    <n v="1870"/>
    <n v="7480"/>
    <n v="3366"/>
    <x v="0"/>
    <s v="Earbuds"/>
    <n v="45786"/>
    <s v="May-2025"/>
    <n v="83"/>
    <x v="223"/>
  </r>
  <r>
    <n v="574"/>
    <n v="387"/>
    <n v="23"/>
    <n v="1"/>
    <n v="3651"/>
    <n v="3651"/>
    <n v="1478.65"/>
    <x v="1"/>
    <s v="Fan"/>
    <n v="45786"/>
    <s v="May-2025"/>
    <n v="83"/>
    <x v="223"/>
  </r>
  <r>
    <n v="575"/>
    <n v="388"/>
    <n v="17"/>
    <n v="1"/>
    <n v="2829"/>
    <n v="2829"/>
    <n v="976"/>
    <x v="2"/>
    <s v="Dress"/>
    <n v="45789"/>
    <s v="May-2025"/>
    <n v="120"/>
    <x v="224"/>
  </r>
  <r>
    <n v="576"/>
    <n v="388"/>
    <n v="30"/>
    <n v="2"/>
    <n v="4610"/>
    <n v="9220"/>
    <n v="4149"/>
    <x v="5"/>
    <s v="Table"/>
    <n v="45789"/>
    <s v="May-2025"/>
    <n v="120"/>
    <x v="224"/>
  </r>
  <r>
    <n v="577"/>
    <n v="389"/>
    <n v="24"/>
    <n v="2"/>
    <n v="3788"/>
    <n v="7576"/>
    <n v="2954.6400000000003"/>
    <x v="1"/>
    <s v="Iron"/>
    <n v="45792"/>
    <s v="May-2025"/>
    <n v="157"/>
    <x v="225"/>
  </r>
  <r>
    <n v="578"/>
    <n v="389"/>
    <n v="37"/>
    <n v="3"/>
    <n v="5569"/>
    <n v="16707"/>
    <n v="5763.9000000000005"/>
    <x v="7"/>
    <s v="Football"/>
    <n v="45792"/>
    <s v="May-2025"/>
    <n v="157"/>
    <x v="225"/>
  </r>
  <r>
    <n v="579"/>
    <n v="390"/>
    <n v="31"/>
    <n v="3"/>
    <n v="4747"/>
    <n v="14241"/>
    <n v="6194.82"/>
    <x v="4"/>
    <s v="Book"/>
    <n v="45795"/>
    <s v="May-2025"/>
    <n v="194"/>
    <x v="226"/>
  </r>
  <r>
    <n v="580"/>
    <n v="390"/>
    <n v="44"/>
    <n v="4"/>
    <n v="6528"/>
    <n v="26112"/>
    <n v="10183.68"/>
    <x v="6"/>
    <s v="Moisturizer"/>
    <n v="45795"/>
    <s v="May-2025"/>
    <n v="194"/>
    <x v="226"/>
  </r>
  <r>
    <n v="581"/>
    <n v="391"/>
    <n v="38"/>
    <n v="4"/>
    <n v="5706"/>
    <n v="22824"/>
    <n v="7531.92"/>
    <x v="7"/>
    <s v="Badminton Racket"/>
    <n v="45798"/>
    <s v="May-2025"/>
    <n v="231"/>
    <x v="227"/>
  </r>
  <r>
    <n v="582"/>
    <n v="391"/>
    <n v="1"/>
    <n v="1"/>
    <n v="637"/>
    <n v="637"/>
    <n v="277.08999999999997"/>
    <x v="0"/>
    <s v="Laptop"/>
    <n v="45798"/>
    <s v="May-2025"/>
    <n v="231"/>
    <x v="227"/>
  </r>
  <r>
    <n v="583"/>
    <n v="392"/>
    <n v="45"/>
    <n v="1"/>
    <n v="6665"/>
    <n v="6665"/>
    <n v="2499.38"/>
    <x v="6"/>
    <s v="Sunscreen"/>
    <n v="45801"/>
    <s v="May-2025"/>
    <n v="268"/>
    <x v="148"/>
  </r>
  <r>
    <n v="584"/>
    <n v="392"/>
    <n v="8"/>
    <n v="2"/>
    <n v="1596"/>
    <n v="3192"/>
    <n v="1053.3600000000001"/>
    <x v="0"/>
    <s v="Tablet"/>
    <n v="45801"/>
    <s v="May-2025"/>
    <n v="268"/>
    <x v="148"/>
  </r>
  <r>
    <n v="585"/>
    <n v="393"/>
    <n v="2"/>
    <n v="2"/>
    <n v="774"/>
    <n v="1548"/>
    <n v="650.16"/>
    <x v="0"/>
    <s v="Mobile"/>
    <n v="45804"/>
    <s v="May-2025"/>
    <n v="305"/>
    <x v="228"/>
  </r>
  <r>
    <n v="586"/>
    <n v="393"/>
    <n v="15"/>
    <n v="3"/>
    <n v="2555"/>
    <n v="7665"/>
    <n v="2874.3599999999997"/>
    <x v="2"/>
    <s v="Shoes"/>
    <n v="45804"/>
    <s v="May-2025"/>
    <n v="305"/>
    <x v="228"/>
  </r>
  <r>
    <n v="587"/>
    <n v="394"/>
    <n v="9"/>
    <n v="3"/>
    <n v="1733"/>
    <n v="5199"/>
    <n v="1637.6700000000003"/>
    <x v="0"/>
    <s v="Power Bank"/>
    <n v="45807"/>
    <s v="May-2025"/>
    <n v="342"/>
    <x v="229"/>
  </r>
  <r>
    <n v="588"/>
    <n v="394"/>
    <n v="22"/>
    <n v="4"/>
    <n v="3514"/>
    <n v="14056"/>
    <n v="5903.52"/>
    <x v="1"/>
    <s v="Microwave"/>
    <n v="45807"/>
    <s v="May-2025"/>
    <n v="342"/>
    <x v="229"/>
  </r>
  <r>
    <n v="589"/>
    <n v="395"/>
    <n v="16"/>
    <n v="4"/>
    <n v="2692"/>
    <n v="10768"/>
    <n v="3876.4799999999996"/>
    <x v="2"/>
    <s v="Saree"/>
    <n v="45810"/>
    <s v="Jun-2025"/>
    <n v="379"/>
    <x v="230"/>
  </r>
  <r>
    <n v="590"/>
    <n v="395"/>
    <n v="29"/>
    <n v="1"/>
    <n v="4473"/>
    <n v="4473"/>
    <n v="1408.9899999999998"/>
    <x v="5"/>
    <s v="Chair"/>
    <n v="45810"/>
    <s v="Jun-2025"/>
    <n v="379"/>
    <x v="230"/>
  </r>
  <r>
    <n v="591"/>
    <n v="396"/>
    <n v="23"/>
    <n v="1"/>
    <n v="3651"/>
    <n v="3651"/>
    <n v="1478.65"/>
    <x v="1"/>
    <s v="Fan"/>
    <n v="45813"/>
    <s v="Jun-2025"/>
    <n v="416"/>
    <x v="183"/>
  </r>
  <r>
    <n v="592"/>
    <n v="396"/>
    <n v="36"/>
    <n v="2"/>
    <n v="5432"/>
    <n v="10864"/>
    <n v="3911.04"/>
    <x v="7"/>
    <s v="Cricket Bat"/>
    <n v="45813"/>
    <s v="Jun-2025"/>
    <n v="416"/>
    <x v="183"/>
  </r>
  <r>
    <n v="593"/>
    <n v="397"/>
    <n v="30"/>
    <n v="2"/>
    <n v="4610"/>
    <n v="9220"/>
    <n v="4149"/>
    <x v="5"/>
    <s v="Table"/>
    <n v="45816"/>
    <s v="Jun-2025"/>
    <n v="453"/>
    <x v="231"/>
  </r>
  <r>
    <n v="594"/>
    <n v="397"/>
    <n v="43"/>
    <n v="3"/>
    <n v="6391"/>
    <n v="19173"/>
    <n v="7765.0499999999993"/>
    <x v="6"/>
    <s v="Perfume"/>
    <n v="45816"/>
    <s v="Jun-2025"/>
    <n v="453"/>
    <x v="231"/>
  </r>
  <r>
    <n v="595"/>
    <n v="398"/>
    <n v="37"/>
    <n v="3"/>
    <n v="5569"/>
    <n v="16707"/>
    <n v="5763.9000000000005"/>
    <x v="7"/>
    <s v="Football"/>
    <n v="45819"/>
    <s v="Jun-2025"/>
    <n v="490"/>
    <x v="232"/>
  </r>
  <r>
    <n v="596"/>
    <n v="398"/>
    <n v="50"/>
    <n v="4"/>
    <n v="7350"/>
    <n v="29400"/>
    <n v="13230"/>
    <x v="8"/>
    <s v="Building Blocks"/>
    <n v="45819"/>
    <s v="Jun-2025"/>
    <n v="490"/>
    <x v="232"/>
  </r>
  <r>
    <n v="597"/>
    <n v="399"/>
    <n v="44"/>
    <n v="4"/>
    <n v="6528"/>
    <n v="26112"/>
    <n v="10183.68"/>
    <x v="6"/>
    <s v="Moisturizer"/>
    <n v="45822"/>
    <s v="Jun-2025"/>
    <n v="27"/>
    <x v="27"/>
  </r>
  <r>
    <n v="598"/>
    <n v="399"/>
    <n v="7"/>
    <n v="1"/>
    <n v="1459"/>
    <n v="1459"/>
    <n v="503.35"/>
    <x v="0"/>
    <s v="Monitor"/>
    <n v="45822"/>
    <s v="Jun-2025"/>
    <n v="27"/>
    <x v="27"/>
  </r>
  <r>
    <n v="599"/>
    <n v="400"/>
    <n v="1"/>
    <n v="1"/>
    <n v="637"/>
    <n v="637"/>
    <n v="277.08999999999997"/>
    <x v="0"/>
    <s v="Laptop"/>
    <n v="45825"/>
    <s v="Jun-2025"/>
    <n v="64"/>
    <x v="215"/>
  </r>
  <r>
    <n v="600"/>
    <n v="400"/>
    <n v="14"/>
    <n v="2"/>
    <n v="2418"/>
    <n v="4836"/>
    <n v="1886.04"/>
    <x v="2"/>
    <s v="Jacket"/>
    <n v="45825"/>
    <s v="Jun-2025"/>
    <n v="64"/>
    <x v="215"/>
  </r>
  <r>
    <n v="601"/>
    <n v="401"/>
    <n v="8"/>
    <n v="2"/>
    <n v="1596"/>
    <n v="3192"/>
    <n v="1053.3600000000001"/>
    <x v="0"/>
    <s v="Tablet"/>
    <n v="45828"/>
    <s v="Jun-2025"/>
    <n v="101"/>
    <x v="233"/>
  </r>
  <r>
    <n v="602"/>
    <n v="401"/>
    <n v="21"/>
    <n v="3"/>
    <n v="3377"/>
    <n v="10131"/>
    <n v="4406.97"/>
    <x v="1"/>
    <s v="Mixer"/>
    <n v="45828"/>
    <s v="Jun-2025"/>
    <n v="101"/>
    <x v="233"/>
  </r>
  <r>
    <n v="603"/>
    <n v="402"/>
    <n v="15"/>
    <n v="3"/>
    <n v="2555"/>
    <n v="7665"/>
    <n v="2874.3599999999997"/>
    <x v="2"/>
    <s v="Shoes"/>
    <n v="45831"/>
    <s v="Jun-2025"/>
    <n v="138"/>
    <x v="126"/>
  </r>
  <r>
    <n v="604"/>
    <n v="402"/>
    <n v="28"/>
    <n v="4"/>
    <n v="4336"/>
    <n v="17344"/>
    <n v="5723.52"/>
    <x v="3"/>
    <s v="Bottle"/>
    <n v="45831"/>
    <s v="Jun-2025"/>
    <n v="138"/>
    <x v="126"/>
  </r>
  <r>
    <n v="605"/>
    <n v="403"/>
    <n v="22"/>
    <n v="4"/>
    <n v="3514"/>
    <n v="14056"/>
    <n v="5903.52"/>
    <x v="1"/>
    <s v="Microwave"/>
    <n v="45834"/>
    <s v="Jun-2025"/>
    <n v="175"/>
    <x v="234"/>
  </r>
  <r>
    <n v="606"/>
    <n v="403"/>
    <n v="35"/>
    <n v="1"/>
    <n v="5295"/>
    <n v="5295"/>
    <n v="1985.62"/>
    <x v="4"/>
    <s v="Novel"/>
    <n v="45834"/>
    <s v="Jun-2025"/>
    <n v="175"/>
    <x v="234"/>
  </r>
  <r>
    <n v="607"/>
    <n v="404"/>
    <n v="29"/>
    <n v="1"/>
    <n v="4473"/>
    <n v="4473"/>
    <n v="1408.9899999999998"/>
    <x v="5"/>
    <s v="Chair"/>
    <n v="45837"/>
    <s v="Jun-2025"/>
    <n v="212"/>
    <x v="235"/>
  </r>
  <r>
    <n v="608"/>
    <n v="404"/>
    <n v="42"/>
    <n v="2"/>
    <n v="6254"/>
    <n v="12508"/>
    <n v="5253.36"/>
    <x v="6"/>
    <s v="Shampoo"/>
    <n v="45837"/>
    <s v="Jun-2025"/>
    <n v="212"/>
    <x v="235"/>
  </r>
  <r>
    <n v="609"/>
    <n v="405"/>
    <n v="36"/>
    <n v="2"/>
    <n v="5432"/>
    <n v="10864"/>
    <n v="3911.04"/>
    <x v="7"/>
    <s v="Cricket Bat"/>
    <n v="45840"/>
    <s v="Jul-2025"/>
    <n v="249"/>
    <x v="236"/>
  </r>
  <r>
    <n v="610"/>
    <n v="405"/>
    <n v="49"/>
    <n v="3"/>
    <n v="7213"/>
    <n v="21639"/>
    <n v="6816.27"/>
    <x v="8"/>
    <s v="Remote Car"/>
    <n v="45840"/>
    <s v="Jul-2025"/>
    <n v="249"/>
    <x v="236"/>
  </r>
  <r>
    <n v="611"/>
    <n v="406"/>
    <n v="43"/>
    <n v="3"/>
    <n v="6391"/>
    <n v="19173"/>
    <n v="7765.0499999999993"/>
    <x v="6"/>
    <s v="Perfume"/>
    <n v="45843"/>
    <s v="Jul-2025"/>
    <n v="286"/>
    <x v="237"/>
  </r>
  <r>
    <n v="612"/>
    <n v="406"/>
    <n v="6"/>
    <n v="4"/>
    <n v="1322"/>
    <n v="5288"/>
    <n v="1903.6799999999998"/>
    <x v="0"/>
    <s v="Mouse"/>
    <n v="45843"/>
    <s v="Jul-2025"/>
    <n v="286"/>
    <x v="237"/>
  </r>
  <r>
    <n v="613"/>
    <n v="407"/>
    <n v="50"/>
    <n v="4"/>
    <n v="7350"/>
    <n v="29400"/>
    <n v="13230"/>
    <x v="8"/>
    <s v="Building Blocks"/>
    <n v="45846"/>
    <s v="Jul-2025"/>
    <n v="323"/>
    <x v="238"/>
  </r>
  <r>
    <n v="614"/>
    <n v="407"/>
    <n v="13"/>
    <n v="1"/>
    <n v="2281"/>
    <n v="2281"/>
    <n v="923.8"/>
    <x v="2"/>
    <s v="Shirt"/>
    <n v="45846"/>
    <s v="Jul-2025"/>
    <n v="323"/>
    <x v="238"/>
  </r>
  <r>
    <n v="615"/>
    <n v="408"/>
    <n v="7"/>
    <n v="1"/>
    <n v="1459"/>
    <n v="1459"/>
    <n v="503.35"/>
    <x v="0"/>
    <s v="Monitor"/>
    <n v="45849"/>
    <s v="Jul-2025"/>
    <n v="360"/>
    <x v="239"/>
  </r>
  <r>
    <n v="616"/>
    <n v="408"/>
    <n v="20"/>
    <n v="2"/>
    <n v="3240"/>
    <n v="6480"/>
    <n v="2916"/>
    <x v="2"/>
    <s v="Belt"/>
    <n v="45849"/>
    <s v="Jul-2025"/>
    <n v="360"/>
    <x v="239"/>
  </r>
  <r>
    <n v="617"/>
    <n v="409"/>
    <n v="14"/>
    <n v="2"/>
    <n v="2418"/>
    <n v="4836"/>
    <n v="1886.04"/>
    <x v="2"/>
    <s v="Jacket"/>
    <n v="45852"/>
    <s v="Jul-2025"/>
    <n v="397"/>
    <x v="153"/>
  </r>
  <r>
    <n v="618"/>
    <n v="409"/>
    <n v="27"/>
    <n v="3"/>
    <n v="4199"/>
    <n v="12597"/>
    <n v="4345.9500000000007"/>
    <x v="3"/>
    <s v="Cookware Set"/>
    <n v="45852"/>
    <s v="Jul-2025"/>
    <n v="397"/>
    <x v="153"/>
  </r>
  <r>
    <n v="619"/>
    <n v="410"/>
    <n v="21"/>
    <n v="3"/>
    <n v="3377"/>
    <n v="10131"/>
    <n v="4406.97"/>
    <x v="1"/>
    <s v="Mixer"/>
    <n v="45855"/>
    <s v="Jul-2025"/>
    <n v="434"/>
    <x v="112"/>
  </r>
  <r>
    <n v="620"/>
    <n v="410"/>
    <n v="34"/>
    <n v="4"/>
    <n v="5158"/>
    <n v="20632"/>
    <n v="8046.48"/>
    <x v="4"/>
    <s v="Cookbook"/>
    <n v="45855"/>
    <s v="Jul-2025"/>
    <n v="434"/>
    <x v="112"/>
  </r>
  <r>
    <n v="621"/>
    <n v="411"/>
    <n v="28"/>
    <n v="4"/>
    <n v="4336"/>
    <n v="17344"/>
    <n v="5723.52"/>
    <x v="3"/>
    <s v="Bottle"/>
    <n v="45858"/>
    <s v="Jul-2025"/>
    <n v="471"/>
    <x v="0"/>
  </r>
  <r>
    <n v="622"/>
    <n v="411"/>
    <n v="41"/>
    <n v="1"/>
    <n v="6117"/>
    <n v="6117"/>
    <n v="2660.89"/>
    <x v="6"/>
    <s v="Face Wash"/>
    <n v="45858"/>
    <s v="Jul-2025"/>
    <n v="471"/>
    <x v="0"/>
  </r>
  <r>
    <n v="623"/>
    <n v="412"/>
    <n v="35"/>
    <n v="1"/>
    <n v="5295"/>
    <n v="5295"/>
    <n v="1985.62"/>
    <x v="4"/>
    <s v="Novel"/>
    <n v="45861"/>
    <s v="Jul-2025"/>
    <n v="8"/>
    <x v="171"/>
  </r>
  <r>
    <n v="624"/>
    <n v="412"/>
    <n v="48"/>
    <n v="2"/>
    <n v="7076"/>
    <n v="14152"/>
    <n v="4670.16"/>
    <x v="8"/>
    <s v="Board Game"/>
    <n v="45861"/>
    <s v="Jul-2025"/>
    <n v="8"/>
    <x v="171"/>
  </r>
  <r>
    <n v="625"/>
    <n v="413"/>
    <n v="42"/>
    <n v="2"/>
    <n v="6254"/>
    <n v="12508"/>
    <n v="5253.36"/>
    <x v="6"/>
    <s v="Shampoo"/>
    <n v="45864"/>
    <s v="Jul-2025"/>
    <n v="45"/>
    <x v="240"/>
  </r>
  <r>
    <n v="626"/>
    <n v="413"/>
    <n v="5"/>
    <n v="3"/>
    <n v="1185"/>
    <n v="3555"/>
    <n v="1333.1399999999999"/>
    <x v="0"/>
    <s v="Keyboard"/>
    <n v="45864"/>
    <s v="Jul-2025"/>
    <n v="45"/>
    <x v="240"/>
  </r>
  <r>
    <n v="627"/>
    <n v="414"/>
    <n v="49"/>
    <n v="3"/>
    <n v="7213"/>
    <n v="21639"/>
    <n v="6816.27"/>
    <x v="8"/>
    <s v="Remote Car"/>
    <n v="45867"/>
    <s v="Jul-2025"/>
    <n v="82"/>
    <x v="60"/>
  </r>
  <r>
    <n v="628"/>
    <n v="414"/>
    <n v="12"/>
    <n v="4"/>
    <n v="2144"/>
    <n v="8576"/>
    <n v="3601.92"/>
    <x v="2"/>
    <s v="Jeans"/>
    <n v="45867"/>
    <s v="Jul-2025"/>
    <n v="82"/>
    <x v="60"/>
  </r>
  <r>
    <n v="629"/>
    <n v="415"/>
    <n v="6"/>
    <n v="4"/>
    <n v="1322"/>
    <n v="5288"/>
    <n v="1903.6799999999998"/>
    <x v="0"/>
    <s v="Mouse"/>
    <n v="45870"/>
    <s v="Aug-2025"/>
    <n v="119"/>
    <x v="241"/>
  </r>
  <r>
    <n v="630"/>
    <n v="415"/>
    <n v="19"/>
    <n v="1"/>
    <n v="3103"/>
    <n v="3103"/>
    <n v="977.44"/>
    <x v="2"/>
    <s v="Wallet"/>
    <n v="45870"/>
    <s v="Aug-2025"/>
    <n v="119"/>
    <x v="241"/>
  </r>
  <r>
    <n v="631"/>
    <n v="416"/>
    <n v="13"/>
    <n v="1"/>
    <n v="2281"/>
    <n v="2281"/>
    <n v="923.8"/>
    <x v="2"/>
    <s v="Shirt"/>
    <n v="45873"/>
    <s v="Aug-2025"/>
    <n v="156"/>
    <x v="242"/>
  </r>
  <r>
    <n v="632"/>
    <n v="416"/>
    <n v="26"/>
    <n v="2"/>
    <n v="4062"/>
    <n v="8124"/>
    <n v="2924.6400000000003"/>
    <x v="3"/>
    <s v="Bedsheet"/>
    <n v="45873"/>
    <s v="Aug-2025"/>
    <n v="156"/>
    <x v="242"/>
  </r>
  <r>
    <n v="633"/>
    <n v="417"/>
    <n v="20"/>
    <n v="2"/>
    <n v="3240"/>
    <n v="6480"/>
    <n v="2916"/>
    <x v="2"/>
    <s v="Belt"/>
    <n v="45876"/>
    <s v="Aug-2025"/>
    <n v="193"/>
    <x v="72"/>
  </r>
  <r>
    <n v="634"/>
    <n v="417"/>
    <n v="33"/>
    <n v="3"/>
    <n v="5021"/>
    <n v="15063"/>
    <n v="6100.5"/>
    <x v="4"/>
    <s v="Pen Set"/>
    <n v="45876"/>
    <s v="Aug-2025"/>
    <n v="193"/>
    <x v="72"/>
  </r>
  <r>
    <n v="635"/>
    <n v="418"/>
    <n v="27"/>
    <n v="3"/>
    <n v="4199"/>
    <n v="12597"/>
    <n v="4345.9500000000007"/>
    <x v="3"/>
    <s v="Cookware Set"/>
    <n v="45879"/>
    <s v="Aug-2025"/>
    <n v="230"/>
    <x v="243"/>
  </r>
  <r>
    <n v="636"/>
    <n v="418"/>
    <n v="40"/>
    <n v="4"/>
    <n v="5980"/>
    <n v="23920"/>
    <n v="10764"/>
    <x v="7"/>
    <s v="Dumbbells"/>
    <n v="45879"/>
    <s v="Aug-2025"/>
    <n v="230"/>
    <x v="243"/>
  </r>
  <r>
    <n v="637"/>
    <n v="419"/>
    <n v="34"/>
    <n v="4"/>
    <n v="5158"/>
    <n v="20632"/>
    <n v="8046.48"/>
    <x v="4"/>
    <s v="Cookbook"/>
    <n v="45882"/>
    <s v="Aug-2025"/>
    <n v="267"/>
    <x v="46"/>
  </r>
  <r>
    <n v="638"/>
    <n v="419"/>
    <n v="47"/>
    <n v="1"/>
    <n v="6939"/>
    <n v="6939"/>
    <n v="2393.9499999999998"/>
    <x v="8"/>
    <s v="Puzzle"/>
    <n v="45882"/>
    <s v="Aug-2025"/>
    <n v="267"/>
    <x v="46"/>
  </r>
  <r>
    <n v="639"/>
    <n v="420"/>
    <n v="41"/>
    <n v="1"/>
    <n v="6117"/>
    <n v="6117"/>
    <n v="2660.89"/>
    <x v="6"/>
    <s v="Face Wash"/>
    <n v="45885"/>
    <s v="Aug-2025"/>
    <n v="304"/>
    <x v="60"/>
  </r>
  <r>
    <n v="640"/>
    <n v="420"/>
    <n v="4"/>
    <n v="2"/>
    <n v="1048"/>
    <n v="2096"/>
    <n v="817.44"/>
    <x v="0"/>
    <s v="Smart Watch"/>
    <n v="45885"/>
    <s v="Aug-2025"/>
    <n v="304"/>
    <x v="60"/>
  </r>
  <r>
    <n v="641"/>
    <n v="421"/>
    <n v="48"/>
    <n v="2"/>
    <n v="7076"/>
    <n v="14152"/>
    <n v="4670.16"/>
    <x v="8"/>
    <s v="Board Game"/>
    <n v="45888"/>
    <s v="Aug-2025"/>
    <n v="341"/>
    <x v="244"/>
  </r>
  <r>
    <n v="642"/>
    <n v="421"/>
    <n v="11"/>
    <n v="3"/>
    <n v="2007"/>
    <n v="6021"/>
    <n v="2619.12"/>
    <x v="2"/>
    <s v="T-Shirt"/>
    <n v="45888"/>
    <s v="Aug-2025"/>
    <n v="341"/>
    <x v="244"/>
  </r>
  <r>
    <n v="643"/>
    <n v="422"/>
    <n v="5"/>
    <n v="3"/>
    <n v="1185"/>
    <n v="3555"/>
    <n v="1333.1399999999999"/>
    <x v="0"/>
    <s v="Keyboard"/>
    <n v="45891"/>
    <s v="Aug-2025"/>
    <n v="378"/>
    <x v="245"/>
  </r>
  <r>
    <n v="644"/>
    <n v="422"/>
    <n v="18"/>
    <n v="4"/>
    <n v="2966"/>
    <n v="11864"/>
    <n v="3915.12"/>
    <x v="2"/>
    <s v="Backpack"/>
    <n v="45891"/>
    <s v="Aug-2025"/>
    <n v="378"/>
    <x v="245"/>
  </r>
  <r>
    <n v="645"/>
    <n v="423"/>
    <n v="12"/>
    <n v="4"/>
    <n v="2144"/>
    <n v="8576"/>
    <n v="3601.92"/>
    <x v="2"/>
    <s v="Jeans"/>
    <n v="45894"/>
    <s v="Aug-2025"/>
    <n v="415"/>
    <x v="88"/>
  </r>
  <r>
    <n v="646"/>
    <n v="423"/>
    <n v="25"/>
    <n v="1"/>
    <n v="3925"/>
    <n v="3925"/>
    <n v="1471.88"/>
    <x v="1"/>
    <s v="Vacuum Cleaner"/>
    <n v="45894"/>
    <s v="Aug-2025"/>
    <n v="415"/>
    <x v="88"/>
  </r>
  <r>
    <n v="647"/>
    <n v="424"/>
    <n v="19"/>
    <n v="1"/>
    <n v="3103"/>
    <n v="3103"/>
    <n v="977.44"/>
    <x v="2"/>
    <s v="Wallet"/>
    <n v="45897"/>
    <s v="Aug-2025"/>
    <n v="452"/>
    <x v="246"/>
  </r>
  <r>
    <n v="648"/>
    <n v="424"/>
    <n v="32"/>
    <n v="2"/>
    <n v="4884"/>
    <n v="9768"/>
    <n v="4102.5600000000004"/>
    <x v="4"/>
    <s v="Notebook"/>
    <n v="45897"/>
    <s v="Aug-2025"/>
    <n v="452"/>
    <x v="246"/>
  </r>
  <r>
    <n v="649"/>
    <n v="425"/>
    <n v="26"/>
    <n v="2"/>
    <n v="4062"/>
    <n v="8124"/>
    <n v="2924.6400000000003"/>
    <x v="3"/>
    <s v="Bedsheet"/>
    <n v="45900"/>
    <s v="Aug-2025"/>
    <n v="489"/>
    <x v="247"/>
  </r>
  <r>
    <n v="650"/>
    <n v="425"/>
    <n v="39"/>
    <n v="3"/>
    <n v="5843"/>
    <n v="17529"/>
    <n v="5521.62"/>
    <x v="7"/>
    <s v="Yoga Mat"/>
    <n v="45900"/>
    <s v="Aug-2025"/>
    <n v="489"/>
    <x v="247"/>
  </r>
  <r>
    <n v="651"/>
    <n v="426"/>
    <n v="33"/>
    <n v="3"/>
    <n v="5021"/>
    <n v="15063"/>
    <n v="6100.5"/>
    <x v="4"/>
    <s v="Pen Set"/>
    <n v="45903"/>
    <s v="Sep-2025"/>
    <n v="26"/>
    <x v="248"/>
  </r>
  <r>
    <n v="652"/>
    <n v="426"/>
    <n v="46"/>
    <n v="4"/>
    <n v="6802"/>
    <n v="27208"/>
    <n v="9794.880000000001"/>
    <x v="8"/>
    <s v="Toys Car"/>
    <n v="45903"/>
    <s v="Sep-2025"/>
    <n v="26"/>
    <x v="248"/>
  </r>
  <r>
    <n v="653"/>
    <n v="427"/>
    <n v="40"/>
    <n v="4"/>
    <n v="5980"/>
    <n v="23920"/>
    <n v="10764"/>
    <x v="7"/>
    <s v="Dumbbells"/>
    <n v="45906"/>
    <s v="Sep-2025"/>
    <n v="63"/>
    <x v="249"/>
  </r>
  <r>
    <n v="654"/>
    <n v="427"/>
    <n v="3"/>
    <n v="1"/>
    <n v="911"/>
    <n v="911"/>
    <n v="368.95000000000005"/>
    <x v="0"/>
    <s v="Headphones"/>
    <n v="45906"/>
    <s v="Sep-2025"/>
    <n v="63"/>
    <x v="249"/>
  </r>
  <r>
    <n v="655"/>
    <n v="428"/>
    <n v="47"/>
    <n v="1"/>
    <n v="6939"/>
    <n v="6939"/>
    <n v="2393.9499999999998"/>
    <x v="8"/>
    <s v="Puzzle"/>
    <n v="45909"/>
    <s v="Sep-2025"/>
    <n v="100"/>
    <x v="24"/>
  </r>
  <r>
    <n v="656"/>
    <n v="428"/>
    <n v="10"/>
    <n v="2"/>
    <n v="1870"/>
    <n v="3740"/>
    <n v="1683"/>
    <x v="0"/>
    <s v="Earbuds"/>
    <n v="45909"/>
    <s v="Sep-2025"/>
    <n v="100"/>
    <x v="24"/>
  </r>
  <r>
    <n v="657"/>
    <n v="429"/>
    <n v="4"/>
    <n v="2"/>
    <n v="1048"/>
    <n v="2096"/>
    <n v="817.44"/>
    <x v="0"/>
    <s v="Smart Watch"/>
    <n v="45912"/>
    <s v="Sep-2025"/>
    <n v="137"/>
    <x v="237"/>
  </r>
  <r>
    <n v="658"/>
    <n v="429"/>
    <n v="17"/>
    <n v="3"/>
    <n v="2829"/>
    <n v="8487"/>
    <n v="2928"/>
    <x v="2"/>
    <s v="Dress"/>
    <n v="45912"/>
    <s v="Sep-2025"/>
    <n v="137"/>
    <x v="237"/>
  </r>
  <r>
    <n v="659"/>
    <n v="430"/>
    <n v="11"/>
    <n v="3"/>
    <n v="2007"/>
    <n v="6021"/>
    <n v="2619.12"/>
    <x v="2"/>
    <s v="T-Shirt"/>
    <n v="45915"/>
    <s v="Sep-2025"/>
    <n v="174"/>
    <x v="234"/>
  </r>
  <r>
    <n v="660"/>
    <n v="430"/>
    <n v="24"/>
    <n v="4"/>
    <n v="3788"/>
    <n v="15152"/>
    <n v="5909.2800000000007"/>
    <x v="1"/>
    <s v="Iron"/>
    <n v="45915"/>
    <s v="Sep-2025"/>
    <n v="174"/>
    <x v="234"/>
  </r>
  <r>
    <n v="661"/>
    <n v="431"/>
    <n v="18"/>
    <n v="4"/>
    <n v="2966"/>
    <n v="11864"/>
    <n v="3915.12"/>
    <x v="2"/>
    <s v="Backpack"/>
    <n v="45918"/>
    <s v="Sep-2025"/>
    <n v="211"/>
    <x v="250"/>
  </r>
  <r>
    <n v="662"/>
    <n v="431"/>
    <n v="31"/>
    <n v="1"/>
    <n v="4747"/>
    <n v="4747"/>
    <n v="2064.94"/>
    <x v="4"/>
    <s v="Book"/>
    <n v="45918"/>
    <s v="Sep-2025"/>
    <n v="211"/>
    <x v="250"/>
  </r>
  <r>
    <n v="663"/>
    <n v="432"/>
    <n v="25"/>
    <n v="1"/>
    <n v="3925"/>
    <n v="3925"/>
    <n v="1471.88"/>
    <x v="1"/>
    <s v="Vacuum Cleaner"/>
    <n v="45921"/>
    <s v="Sep-2025"/>
    <n v="248"/>
    <x v="251"/>
  </r>
  <r>
    <n v="664"/>
    <n v="432"/>
    <n v="38"/>
    <n v="2"/>
    <n v="5706"/>
    <n v="11412"/>
    <n v="3765.96"/>
    <x v="7"/>
    <s v="Badminton Racket"/>
    <n v="45921"/>
    <s v="Sep-2025"/>
    <n v="248"/>
    <x v="251"/>
  </r>
  <r>
    <n v="665"/>
    <n v="433"/>
    <n v="32"/>
    <n v="2"/>
    <n v="4884"/>
    <n v="9768"/>
    <n v="4102.5600000000004"/>
    <x v="4"/>
    <s v="Notebook"/>
    <n v="45924"/>
    <s v="Sep-2025"/>
    <n v="285"/>
    <x v="252"/>
  </r>
  <r>
    <n v="666"/>
    <n v="433"/>
    <n v="45"/>
    <n v="3"/>
    <n v="6665"/>
    <n v="19995"/>
    <n v="7498.14"/>
    <x v="6"/>
    <s v="Sunscreen"/>
    <n v="45924"/>
    <s v="Sep-2025"/>
    <n v="285"/>
    <x v="252"/>
  </r>
  <r>
    <n v="667"/>
    <n v="434"/>
    <n v="39"/>
    <n v="3"/>
    <n v="5843"/>
    <n v="17529"/>
    <n v="5521.62"/>
    <x v="7"/>
    <s v="Yoga Mat"/>
    <n v="45927"/>
    <s v="Sep-2025"/>
    <n v="322"/>
    <x v="187"/>
  </r>
  <r>
    <n v="668"/>
    <n v="434"/>
    <n v="2"/>
    <n v="4"/>
    <n v="774"/>
    <n v="3096"/>
    <n v="1300.32"/>
    <x v="0"/>
    <s v="Mobile"/>
    <n v="45927"/>
    <s v="Sep-2025"/>
    <n v="322"/>
    <x v="187"/>
  </r>
  <r>
    <n v="669"/>
    <n v="435"/>
    <n v="46"/>
    <n v="4"/>
    <n v="6802"/>
    <n v="27208"/>
    <n v="9794.880000000001"/>
    <x v="8"/>
    <s v="Toys Car"/>
    <n v="45930"/>
    <s v="Sep-2025"/>
    <n v="359"/>
    <x v="236"/>
  </r>
  <r>
    <n v="670"/>
    <n v="435"/>
    <n v="9"/>
    <n v="1"/>
    <n v="1733"/>
    <n v="1733"/>
    <n v="545.8900000000001"/>
    <x v="0"/>
    <s v="Power Bank"/>
    <n v="45930"/>
    <s v="Sep-2025"/>
    <n v="359"/>
    <x v="236"/>
  </r>
  <r>
    <n v="671"/>
    <n v="436"/>
    <n v="3"/>
    <n v="1"/>
    <n v="911"/>
    <n v="911"/>
    <n v="368.95000000000005"/>
    <x v="0"/>
    <s v="Headphones"/>
    <n v="45933"/>
    <s v="Oct-2025"/>
    <n v="396"/>
    <x v="253"/>
  </r>
  <r>
    <n v="672"/>
    <n v="436"/>
    <n v="16"/>
    <n v="2"/>
    <n v="2692"/>
    <n v="5384"/>
    <n v="1938.2399999999998"/>
    <x v="2"/>
    <s v="Saree"/>
    <n v="45933"/>
    <s v="Oct-2025"/>
    <n v="396"/>
    <x v="253"/>
  </r>
  <r>
    <n v="673"/>
    <n v="437"/>
    <n v="10"/>
    <n v="2"/>
    <n v="1870"/>
    <n v="3740"/>
    <n v="1683"/>
    <x v="0"/>
    <s v="Earbuds"/>
    <n v="45936"/>
    <s v="Oct-2025"/>
    <n v="433"/>
    <x v="211"/>
  </r>
  <r>
    <n v="674"/>
    <n v="437"/>
    <n v="23"/>
    <n v="3"/>
    <n v="3651"/>
    <n v="10953"/>
    <n v="4435.9500000000007"/>
    <x v="1"/>
    <s v="Fan"/>
    <n v="45936"/>
    <s v="Oct-2025"/>
    <n v="433"/>
    <x v="211"/>
  </r>
  <r>
    <n v="675"/>
    <n v="438"/>
    <n v="17"/>
    <n v="3"/>
    <n v="2829"/>
    <n v="8487"/>
    <n v="2928"/>
    <x v="2"/>
    <s v="Dress"/>
    <n v="45939"/>
    <s v="Oct-2025"/>
    <n v="470"/>
    <x v="254"/>
  </r>
  <r>
    <n v="676"/>
    <n v="438"/>
    <n v="30"/>
    <n v="4"/>
    <n v="4610"/>
    <n v="18440"/>
    <n v="8298"/>
    <x v="5"/>
    <s v="Table"/>
    <n v="45939"/>
    <s v="Oct-2025"/>
    <n v="470"/>
    <x v="254"/>
  </r>
  <r>
    <n v="677"/>
    <n v="439"/>
    <n v="24"/>
    <n v="4"/>
    <n v="3788"/>
    <n v="15152"/>
    <n v="5909.2800000000007"/>
    <x v="1"/>
    <s v="Iron"/>
    <n v="45942"/>
    <s v="Oct-2025"/>
    <n v="7"/>
    <x v="255"/>
  </r>
  <r>
    <n v="678"/>
    <n v="439"/>
    <n v="37"/>
    <n v="1"/>
    <n v="5569"/>
    <n v="5569"/>
    <n v="1921.3000000000002"/>
    <x v="7"/>
    <s v="Football"/>
    <n v="45942"/>
    <s v="Oct-2025"/>
    <n v="7"/>
    <x v="255"/>
  </r>
  <r>
    <n v="679"/>
    <n v="440"/>
    <n v="31"/>
    <n v="1"/>
    <n v="4747"/>
    <n v="4747"/>
    <n v="2064.94"/>
    <x v="4"/>
    <s v="Book"/>
    <n v="45945"/>
    <s v="Oct-2025"/>
    <n v="44"/>
    <x v="221"/>
  </r>
  <r>
    <n v="680"/>
    <n v="440"/>
    <n v="44"/>
    <n v="2"/>
    <n v="6528"/>
    <n v="13056"/>
    <n v="5091.84"/>
    <x v="6"/>
    <s v="Moisturizer"/>
    <n v="45945"/>
    <s v="Oct-2025"/>
    <n v="44"/>
    <x v="221"/>
  </r>
  <r>
    <n v="681"/>
    <n v="441"/>
    <n v="38"/>
    <n v="2"/>
    <n v="5706"/>
    <n v="11412"/>
    <n v="3765.96"/>
    <x v="7"/>
    <s v="Badminton Racket"/>
    <n v="45948"/>
    <s v="Oct-2025"/>
    <n v="81"/>
    <x v="251"/>
  </r>
  <r>
    <n v="682"/>
    <n v="441"/>
    <n v="1"/>
    <n v="3"/>
    <n v="637"/>
    <n v="1911"/>
    <n v="831.27"/>
    <x v="0"/>
    <s v="Laptop"/>
    <n v="45948"/>
    <s v="Oct-2025"/>
    <n v="81"/>
    <x v="251"/>
  </r>
  <r>
    <n v="683"/>
    <n v="442"/>
    <n v="45"/>
    <n v="3"/>
    <n v="6665"/>
    <n v="19995"/>
    <n v="7498.14"/>
    <x v="6"/>
    <s v="Sunscreen"/>
    <n v="45951"/>
    <s v="Oct-2025"/>
    <n v="118"/>
    <x v="228"/>
  </r>
  <r>
    <n v="684"/>
    <n v="442"/>
    <n v="8"/>
    <n v="4"/>
    <n v="1596"/>
    <n v="6384"/>
    <n v="2106.7200000000003"/>
    <x v="0"/>
    <s v="Tablet"/>
    <n v="45951"/>
    <s v="Oct-2025"/>
    <n v="118"/>
    <x v="228"/>
  </r>
  <r>
    <n v="685"/>
    <n v="443"/>
    <n v="2"/>
    <n v="4"/>
    <n v="774"/>
    <n v="3096"/>
    <n v="1300.32"/>
    <x v="0"/>
    <s v="Mobile"/>
    <n v="45954"/>
    <s v="Oct-2025"/>
    <n v="155"/>
    <x v="256"/>
  </r>
  <r>
    <n v="686"/>
    <n v="443"/>
    <n v="15"/>
    <n v="1"/>
    <n v="2555"/>
    <n v="2555"/>
    <n v="958.11999999999989"/>
    <x v="2"/>
    <s v="Shoes"/>
    <n v="45954"/>
    <s v="Oct-2025"/>
    <n v="155"/>
    <x v="256"/>
  </r>
  <r>
    <n v="687"/>
    <n v="444"/>
    <n v="9"/>
    <n v="1"/>
    <n v="1733"/>
    <n v="1733"/>
    <n v="545.8900000000001"/>
    <x v="0"/>
    <s v="Power Bank"/>
    <n v="45957"/>
    <s v="Oct-2025"/>
    <n v="192"/>
    <x v="257"/>
  </r>
  <r>
    <n v="688"/>
    <n v="444"/>
    <n v="22"/>
    <n v="2"/>
    <n v="3514"/>
    <n v="7028"/>
    <n v="2951.76"/>
    <x v="1"/>
    <s v="Microwave"/>
    <n v="45957"/>
    <s v="Oct-2025"/>
    <n v="192"/>
    <x v="257"/>
  </r>
  <r>
    <n v="689"/>
    <n v="445"/>
    <n v="16"/>
    <n v="2"/>
    <n v="2692"/>
    <n v="5384"/>
    <n v="1938.2399999999998"/>
    <x v="2"/>
    <s v="Saree"/>
    <n v="45960"/>
    <s v="Oct-2025"/>
    <n v="229"/>
    <x v="258"/>
  </r>
  <r>
    <n v="690"/>
    <n v="445"/>
    <n v="29"/>
    <n v="3"/>
    <n v="4473"/>
    <n v="13419"/>
    <n v="4226.9699999999993"/>
    <x v="5"/>
    <s v="Chair"/>
    <n v="45960"/>
    <s v="Oct-2025"/>
    <n v="229"/>
    <x v="258"/>
  </r>
  <r>
    <n v="691"/>
    <n v="446"/>
    <n v="23"/>
    <n v="3"/>
    <n v="3651"/>
    <n v="10953"/>
    <n v="4435.9500000000007"/>
    <x v="1"/>
    <s v="Fan"/>
    <n v="45963"/>
    <s v="Nov-2025"/>
    <n v="266"/>
    <x v="259"/>
  </r>
  <r>
    <n v="692"/>
    <n v="446"/>
    <n v="36"/>
    <n v="4"/>
    <n v="5432"/>
    <n v="21728"/>
    <n v="7822.08"/>
    <x v="7"/>
    <s v="Cricket Bat"/>
    <n v="45963"/>
    <s v="Nov-2025"/>
    <n v="266"/>
    <x v="259"/>
  </r>
  <r>
    <n v="693"/>
    <n v="447"/>
    <n v="30"/>
    <n v="4"/>
    <n v="4610"/>
    <n v="18440"/>
    <n v="8298"/>
    <x v="5"/>
    <s v="Table"/>
    <n v="45966"/>
    <s v="Nov-2025"/>
    <n v="303"/>
    <x v="260"/>
  </r>
  <r>
    <n v="694"/>
    <n v="447"/>
    <n v="43"/>
    <n v="1"/>
    <n v="6391"/>
    <n v="6391"/>
    <n v="2588.35"/>
    <x v="6"/>
    <s v="Perfume"/>
    <n v="45966"/>
    <s v="Nov-2025"/>
    <n v="303"/>
    <x v="260"/>
  </r>
  <r>
    <n v="695"/>
    <n v="448"/>
    <n v="37"/>
    <n v="1"/>
    <n v="5569"/>
    <n v="5569"/>
    <n v="1921.3000000000002"/>
    <x v="7"/>
    <s v="Football"/>
    <n v="45969"/>
    <s v="Nov-2025"/>
    <n v="340"/>
    <x v="261"/>
  </r>
  <r>
    <n v="696"/>
    <n v="448"/>
    <n v="50"/>
    <n v="2"/>
    <n v="7350"/>
    <n v="14700"/>
    <n v="6615"/>
    <x v="8"/>
    <s v="Building Blocks"/>
    <n v="45969"/>
    <s v="Nov-2025"/>
    <n v="340"/>
    <x v="261"/>
  </r>
  <r>
    <n v="697"/>
    <n v="449"/>
    <n v="44"/>
    <n v="2"/>
    <n v="6528"/>
    <n v="13056"/>
    <n v="5091.84"/>
    <x v="6"/>
    <s v="Moisturizer"/>
    <n v="45972"/>
    <s v="Nov-2025"/>
    <n v="377"/>
    <x v="262"/>
  </r>
  <r>
    <n v="698"/>
    <n v="449"/>
    <n v="7"/>
    <n v="3"/>
    <n v="1459"/>
    <n v="4377"/>
    <n v="1510.0500000000002"/>
    <x v="0"/>
    <s v="Monitor"/>
    <n v="45972"/>
    <s v="Nov-2025"/>
    <n v="377"/>
    <x v="262"/>
  </r>
  <r>
    <n v="699"/>
    <n v="450"/>
    <n v="1"/>
    <n v="3"/>
    <n v="637"/>
    <n v="1911"/>
    <n v="831.27"/>
    <x v="0"/>
    <s v="Laptop"/>
    <n v="45975"/>
    <s v="Nov-2025"/>
    <n v="414"/>
    <x v="263"/>
  </r>
  <r>
    <n v="700"/>
    <n v="450"/>
    <n v="14"/>
    <n v="4"/>
    <n v="2418"/>
    <n v="9672"/>
    <n v="3772.08"/>
    <x v="2"/>
    <s v="Jacket"/>
    <n v="45975"/>
    <s v="Nov-2025"/>
    <n v="414"/>
    <x v="263"/>
  </r>
  <r>
    <n v="701"/>
    <n v="451"/>
    <n v="8"/>
    <n v="4"/>
    <n v="1596"/>
    <n v="6384"/>
    <n v="2106.7200000000003"/>
    <x v="0"/>
    <s v="Tablet"/>
    <n v="45978"/>
    <s v="Nov-2025"/>
    <n v="451"/>
    <x v="121"/>
  </r>
  <r>
    <n v="702"/>
    <n v="451"/>
    <n v="21"/>
    <n v="1"/>
    <n v="3377"/>
    <n v="3377"/>
    <n v="1468.99"/>
    <x v="1"/>
    <s v="Mixer"/>
    <n v="45978"/>
    <s v="Nov-2025"/>
    <n v="451"/>
    <x v="121"/>
  </r>
  <r>
    <n v="703"/>
    <n v="452"/>
    <n v="15"/>
    <n v="1"/>
    <n v="2555"/>
    <n v="2555"/>
    <n v="958.11999999999989"/>
    <x v="2"/>
    <s v="Shoes"/>
    <n v="45981"/>
    <s v="Nov-2025"/>
    <n v="488"/>
    <x v="134"/>
  </r>
  <r>
    <n v="704"/>
    <n v="452"/>
    <n v="28"/>
    <n v="2"/>
    <n v="4336"/>
    <n v="8672"/>
    <n v="2861.76"/>
    <x v="3"/>
    <s v="Bottle"/>
    <n v="45981"/>
    <s v="Nov-2025"/>
    <n v="488"/>
    <x v="134"/>
  </r>
  <r>
    <n v="705"/>
    <n v="453"/>
    <n v="22"/>
    <n v="2"/>
    <n v="3514"/>
    <n v="7028"/>
    <n v="2951.76"/>
    <x v="1"/>
    <s v="Microwave"/>
    <n v="45984"/>
    <s v="Nov-2025"/>
    <n v="25"/>
    <x v="264"/>
  </r>
  <r>
    <n v="706"/>
    <n v="453"/>
    <n v="35"/>
    <n v="3"/>
    <n v="5295"/>
    <n v="15885"/>
    <n v="5956.86"/>
    <x v="4"/>
    <s v="Novel"/>
    <n v="45984"/>
    <s v="Nov-2025"/>
    <n v="25"/>
    <x v="264"/>
  </r>
  <r>
    <n v="707"/>
    <n v="454"/>
    <n v="29"/>
    <n v="3"/>
    <n v="4473"/>
    <n v="13419"/>
    <n v="4226.9699999999993"/>
    <x v="5"/>
    <s v="Chair"/>
    <n v="45987"/>
    <s v="Nov-2025"/>
    <n v="62"/>
    <x v="228"/>
  </r>
  <r>
    <n v="708"/>
    <n v="454"/>
    <n v="42"/>
    <n v="4"/>
    <n v="6254"/>
    <n v="25016"/>
    <n v="10506.72"/>
    <x v="6"/>
    <s v="Shampoo"/>
    <n v="45987"/>
    <s v="Nov-2025"/>
    <n v="62"/>
    <x v="228"/>
  </r>
  <r>
    <n v="709"/>
    <n v="455"/>
    <n v="36"/>
    <n v="4"/>
    <n v="5432"/>
    <n v="21728"/>
    <n v="7822.08"/>
    <x v="7"/>
    <s v="Cricket Bat"/>
    <n v="45990"/>
    <s v="Nov-2025"/>
    <n v="99"/>
    <x v="265"/>
  </r>
  <r>
    <n v="710"/>
    <n v="455"/>
    <n v="49"/>
    <n v="1"/>
    <n v="7213"/>
    <n v="7213"/>
    <n v="2272.09"/>
    <x v="8"/>
    <s v="Remote Car"/>
    <n v="45990"/>
    <s v="Nov-2025"/>
    <n v="99"/>
    <x v="265"/>
  </r>
  <r>
    <n v="711"/>
    <n v="456"/>
    <n v="43"/>
    <n v="1"/>
    <n v="6391"/>
    <n v="6391"/>
    <n v="2588.35"/>
    <x v="6"/>
    <s v="Perfume"/>
    <n v="45993"/>
    <s v="Dec-2025"/>
    <n v="136"/>
    <x v="260"/>
  </r>
  <r>
    <n v="712"/>
    <n v="456"/>
    <n v="6"/>
    <n v="2"/>
    <n v="1322"/>
    <n v="2644"/>
    <n v="951.83999999999992"/>
    <x v="0"/>
    <s v="Mouse"/>
    <n v="45993"/>
    <s v="Dec-2025"/>
    <n v="136"/>
    <x v="260"/>
  </r>
  <r>
    <n v="713"/>
    <n v="457"/>
    <n v="50"/>
    <n v="2"/>
    <n v="7350"/>
    <n v="14700"/>
    <n v="6615"/>
    <x v="8"/>
    <s v="Building Blocks"/>
    <n v="45996"/>
    <s v="Dec-2025"/>
    <n v="173"/>
    <x v="266"/>
  </r>
  <r>
    <n v="714"/>
    <n v="457"/>
    <n v="13"/>
    <n v="3"/>
    <n v="2281"/>
    <n v="6843"/>
    <n v="2771.3999999999996"/>
    <x v="2"/>
    <s v="Shirt"/>
    <n v="45996"/>
    <s v="Dec-2025"/>
    <n v="173"/>
    <x v="266"/>
  </r>
  <r>
    <n v="715"/>
    <n v="458"/>
    <n v="7"/>
    <n v="3"/>
    <n v="1459"/>
    <n v="4377"/>
    <n v="1510.0500000000002"/>
    <x v="0"/>
    <s v="Monitor"/>
    <n v="45999"/>
    <s v="Dec-2025"/>
    <n v="210"/>
    <x v="267"/>
  </r>
  <r>
    <n v="716"/>
    <n v="458"/>
    <n v="20"/>
    <n v="4"/>
    <n v="3240"/>
    <n v="12960"/>
    <n v="5832"/>
    <x v="2"/>
    <s v="Belt"/>
    <n v="45999"/>
    <s v="Dec-2025"/>
    <n v="210"/>
    <x v="267"/>
  </r>
  <r>
    <n v="717"/>
    <n v="459"/>
    <n v="14"/>
    <n v="4"/>
    <n v="2418"/>
    <n v="9672"/>
    <n v="3772.08"/>
    <x v="2"/>
    <s v="Jacket"/>
    <n v="46002"/>
    <s v="Dec-2025"/>
    <n v="247"/>
    <x v="221"/>
  </r>
  <r>
    <n v="718"/>
    <n v="459"/>
    <n v="27"/>
    <n v="1"/>
    <n v="4199"/>
    <n v="4199"/>
    <n v="1448.65"/>
    <x v="3"/>
    <s v="Cookware Set"/>
    <n v="46002"/>
    <s v="Dec-2025"/>
    <n v="247"/>
    <x v="221"/>
  </r>
  <r>
    <n v="719"/>
    <n v="460"/>
    <n v="21"/>
    <n v="1"/>
    <n v="3377"/>
    <n v="3377"/>
    <n v="1468.99"/>
    <x v="1"/>
    <s v="Mixer"/>
    <n v="46005"/>
    <s v="Dec-2025"/>
    <n v="284"/>
    <x v="18"/>
  </r>
  <r>
    <n v="720"/>
    <n v="460"/>
    <n v="34"/>
    <n v="2"/>
    <n v="5158"/>
    <n v="10316"/>
    <n v="4023.24"/>
    <x v="4"/>
    <s v="Cookbook"/>
    <n v="46005"/>
    <s v="Dec-2025"/>
    <n v="284"/>
    <x v="18"/>
  </r>
  <r>
    <n v="721"/>
    <n v="461"/>
    <n v="28"/>
    <n v="2"/>
    <n v="4336"/>
    <n v="8672"/>
    <n v="2861.76"/>
    <x v="3"/>
    <s v="Bottle"/>
    <n v="46008"/>
    <s v="Dec-2025"/>
    <n v="321"/>
    <x v="268"/>
  </r>
  <r>
    <n v="722"/>
    <n v="461"/>
    <n v="41"/>
    <n v="3"/>
    <n v="6117"/>
    <n v="18351"/>
    <n v="7982.67"/>
    <x v="6"/>
    <s v="Face Wash"/>
    <n v="46008"/>
    <s v="Dec-2025"/>
    <n v="321"/>
    <x v="268"/>
  </r>
  <r>
    <n v="723"/>
    <n v="462"/>
    <n v="35"/>
    <n v="3"/>
    <n v="5295"/>
    <n v="15885"/>
    <n v="5956.86"/>
    <x v="4"/>
    <s v="Novel"/>
    <n v="46011"/>
    <s v="Dec-2025"/>
    <n v="358"/>
    <x v="269"/>
  </r>
  <r>
    <n v="724"/>
    <n v="462"/>
    <n v="48"/>
    <n v="4"/>
    <n v="7076"/>
    <n v="28304"/>
    <n v="9340.32"/>
    <x v="8"/>
    <s v="Board Game"/>
    <n v="46011"/>
    <s v="Dec-2025"/>
    <n v="358"/>
    <x v="269"/>
  </r>
  <r>
    <n v="725"/>
    <n v="463"/>
    <n v="42"/>
    <n v="4"/>
    <n v="6254"/>
    <n v="25016"/>
    <n v="10506.72"/>
    <x v="6"/>
    <s v="Shampoo"/>
    <n v="46014"/>
    <s v="Dec-2025"/>
    <n v="395"/>
    <x v="60"/>
  </r>
  <r>
    <n v="726"/>
    <n v="463"/>
    <n v="5"/>
    <n v="1"/>
    <n v="1185"/>
    <n v="1185"/>
    <n v="444.38"/>
    <x v="0"/>
    <s v="Keyboard"/>
    <n v="46014"/>
    <s v="Dec-2025"/>
    <n v="395"/>
    <x v="60"/>
  </r>
  <r>
    <n v="727"/>
    <n v="464"/>
    <n v="49"/>
    <n v="1"/>
    <n v="7213"/>
    <n v="7213"/>
    <n v="2272.09"/>
    <x v="8"/>
    <s v="Remote Car"/>
    <n v="46017"/>
    <s v="Dec-2025"/>
    <n v="432"/>
    <x v="7"/>
  </r>
  <r>
    <n v="728"/>
    <n v="464"/>
    <n v="12"/>
    <n v="2"/>
    <n v="2144"/>
    <n v="4288"/>
    <n v="1800.96"/>
    <x v="2"/>
    <s v="Jeans"/>
    <n v="46017"/>
    <s v="Dec-2025"/>
    <n v="432"/>
    <x v="7"/>
  </r>
  <r>
    <n v="729"/>
    <n v="465"/>
    <n v="6"/>
    <n v="2"/>
    <n v="1322"/>
    <n v="2644"/>
    <n v="951.83999999999992"/>
    <x v="0"/>
    <s v="Mouse"/>
    <n v="46020"/>
    <s v="Dec-2025"/>
    <n v="469"/>
    <x v="235"/>
  </r>
  <r>
    <n v="730"/>
    <n v="465"/>
    <n v="19"/>
    <n v="3"/>
    <n v="3103"/>
    <n v="9309"/>
    <n v="2932.32"/>
    <x v="2"/>
    <s v="Wallet"/>
    <n v="46020"/>
    <s v="Dec-2025"/>
    <n v="469"/>
    <x v="235"/>
  </r>
  <r>
    <n v="731"/>
    <n v="466"/>
    <n v="13"/>
    <n v="3"/>
    <n v="2281"/>
    <n v="6843"/>
    <n v="2771.3999999999996"/>
    <x v="2"/>
    <s v="Shirt"/>
    <n v="45658"/>
    <s v="Jan-2025"/>
    <n v="6"/>
    <x v="54"/>
  </r>
  <r>
    <n v="732"/>
    <n v="466"/>
    <n v="26"/>
    <n v="4"/>
    <n v="4062"/>
    <n v="16248"/>
    <n v="5849.2800000000007"/>
    <x v="3"/>
    <s v="Bedsheet"/>
    <n v="45658"/>
    <s v="Jan-2025"/>
    <n v="6"/>
    <x v="54"/>
  </r>
  <r>
    <n v="733"/>
    <n v="467"/>
    <n v="20"/>
    <n v="4"/>
    <n v="3240"/>
    <n v="12960"/>
    <n v="5832"/>
    <x v="2"/>
    <s v="Belt"/>
    <n v="45661"/>
    <s v="Jan-2025"/>
    <n v="43"/>
    <x v="178"/>
  </r>
  <r>
    <n v="734"/>
    <n v="467"/>
    <n v="33"/>
    <n v="1"/>
    <n v="5021"/>
    <n v="5021"/>
    <n v="2033.5"/>
    <x v="4"/>
    <s v="Pen Set"/>
    <n v="45661"/>
    <s v="Jan-2025"/>
    <n v="43"/>
    <x v="178"/>
  </r>
  <r>
    <n v="735"/>
    <n v="468"/>
    <n v="27"/>
    <n v="1"/>
    <n v="4199"/>
    <n v="4199"/>
    <n v="1448.65"/>
    <x v="3"/>
    <s v="Cookware Set"/>
    <n v="45664"/>
    <s v="Jan-2025"/>
    <n v="80"/>
    <x v="249"/>
  </r>
  <r>
    <n v="736"/>
    <n v="468"/>
    <n v="40"/>
    <n v="2"/>
    <n v="5980"/>
    <n v="11960"/>
    <n v="5382"/>
    <x v="7"/>
    <s v="Dumbbells"/>
    <n v="45664"/>
    <s v="Jan-2025"/>
    <n v="80"/>
    <x v="249"/>
  </r>
  <r>
    <n v="737"/>
    <n v="469"/>
    <n v="34"/>
    <n v="2"/>
    <n v="5158"/>
    <n v="10316"/>
    <n v="4023.24"/>
    <x v="4"/>
    <s v="Cookbook"/>
    <n v="45667"/>
    <s v="Jan-2025"/>
    <n v="117"/>
    <x v="270"/>
  </r>
  <r>
    <n v="738"/>
    <n v="469"/>
    <n v="47"/>
    <n v="3"/>
    <n v="6939"/>
    <n v="20817"/>
    <n v="7181.8499999999995"/>
    <x v="8"/>
    <s v="Puzzle"/>
    <n v="45667"/>
    <s v="Jan-2025"/>
    <n v="117"/>
    <x v="270"/>
  </r>
  <r>
    <n v="739"/>
    <n v="470"/>
    <n v="41"/>
    <n v="3"/>
    <n v="6117"/>
    <n v="18351"/>
    <n v="7982.67"/>
    <x v="6"/>
    <s v="Face Wash"/>
    <n v="45670"/>
    <s v="Jan-2025"/>
    <n v="154"/>
    <x v="271"/>
  </r>
  <r>
    <n v="740"/>
    <n v="470"/>
    <n v="4"/>
    <n v="4"/>
    <n v="1048"/>
    <n v="4192"/>
    <n v="1634.88"/>
    <x v="0"/>
    <s v="Smart Watch"/>
    <n v="45670"/>
    <s v="Jan-2025"/>
    <n v="154"/>
    <x v="271"/>
  </r>
  <r>
    <n v="741"/>
    <n v="471"/>
    <n v="48"/>
    <n v="4"/>
    <n v="7076"/>
    <n v="28304"/>
    <n v="9340.32"/>
    <x v="8"/>
    <s v="Board Game"/>
    <n v="45673"/>
    <s v="Jan-2025"/>
    <n v="191"/>
    <x v="81"/>
  </r>
  <r>
    <n v="742"/>
    <n v="471"/>
    <n v="11"/>
    <n v="1"/>
    <n v="2007"/>
    <n v="2007"/>
    <n v="873.04"/>
    <x v="2"/>
    <s v="T-Shirt"/>
    <n v="45673"/>
    <s v="Jan-2025"/>
    <n v="191"/>
    <x v="81"/>
  </r>
  <r>
    <n v="743"/>
    <n v="472"/>
    <n v="5"/>
    <n v="1"/>
    <n v="1185"/>
    <n v="1185"/>
    <n v="444.38"/>
    <x v="0"/>
    <s v="Keyboard"/>
    <n v="45676"/>
    <s v="Jan-2025"/>
    <n v="228"/>
    <x v="91"/>
  </r>
  <r>
    <n v="744"/>
    <n v="472"/>
    <n v="18"/>
    <n v="2"/>
    <n v="2966"/>
    <n v="5932"/>
    <n v="1957.56"/>
    <x v="2"/>
    <s v="Backpack"/>
    <n v="45676"/>
    <s v="Jan-2025"/>
    <n v="228"/>
    <x v="91"/>
  </r>
  <r>
    <n v="745"/>
    <n v="473"/>
    <n v="12"/>
    <n v="2"/>
    <n v="2144"/>
    <n v="4288"/>
    <n v="1800.96"/>
    <x v="2"/>
    <s v="Jeans"/>
    <n v="45679"/>
    <s v="Jan-2025"/>
    <n v="265"/>
    <x v="75"/>
  </r>
  <r>
    <n v="746"/>
    <n v="473"/>
    <n v="25"/>
    <n v="3"/>
    <n v="3925"/>
    <n v="11775"/>
    <n v="4415.6400000000003"/>
    <x v="1"/>
    <s v="Vacuum Cleaner"/>
    <n v="45679"/>
    <s v="Jan-2025"/>
    <n v="265"/>
    <x v="75"/>
  </r>
  <r>
    <n v="747"/>
    <n v="474"/>
    <n v="19"/>
    <n v="3"/>
    <n v="3103"/>
    <n v="9309"/>
    <n v="2932.32"/>
    <x v="2"/>
    <s v="Wallet"/>
    <n v="45682"/>
    <s v="Jan-2025"/>
    <n v="302"/>
    <x v="141"/>
  </r>
  <r>
    <n v="748"/>
    <n v="474"/>
    <n v="32"/>
    <n v="4"/>
    <n v="4884"/>
    <n v="19536"/>
    <n v="8205.1200000000008"/>
    <x v="4"/>
    <s v="Notebook"/>
    <n v="45682"/>
    <s v="Jan-2025"/>
    <n v="302"/>
    <x v="141"/>
  </r>
  <r>
    <n v="749"/>
    <n v="475"/>
    <n v="26"/>
    <n v="4"/>
    <n v="4062"/>
    <n v="16248"/>
    <n v="5849.2800000000007"/>
    <x v="3"/>
    <s v="Bedsheet"/>
    <n v="45685"/>
    <s v="Jan-2025"/>
    <n v="339"/>
    <x v="272"/>
  </r>
  <r>
    <n v="750"/>
    <n v="475"/>
    <n v="39"/>
    <n v="1"/>
    <n v="5843"/>
    <n v="5843"/>
    <n v="1840.54"/>
    <x v="7"/>
    <s v="Yoga Mat"/>
    <n v="45685"/>
    <s v="Jan-2025"/>
    <n v="339"/>
    <x v="272"/>
  </r>
  <r>
    <n v="751"/>
    <n v="476"/>
    <n v="33"/>
    <n v="1"/>
    <n v="5021"/>
    <n v="5021"/>
    <n v="2033.5"/>
    <x v="4"/>
    <s v="Pen Set"/>
    <n v="45688"/>
    <s v="Jan-2025"/>
    <n v="376"/>
    <x v="273"/>
  </r>
  <r>
    <n v="752"/>
    <n v="476"/>
    <n v="46"/>
    <n v="2"/>
    <n v="6802"/>
    <n v="13604"/>
    <n v="4897.4400000000005"/>
    <x v="8"/>
    <s v="Toys Car"/>
    <n v="45688"/>
    <s v="Jan-2025"/>
    <n v="376"/>
    <x v="273"/>
  </r>
  <r>
    <n v="753"/>
    <n v="477"/>
    <n v="40"/>
    <n v="2"/>
    <n v="5980"/>
    <n v="11960"/>
    <n v="5382"/>
    <x v="7"/>
    <s v="Dumbbells"/>
    <n v="45691"/>
    <s v="Feb-2025"/>
    <n v="413"/>
    <x v="194"/>
  </r>
  <r>
    <n v="754"/>
    <n v="477"/>
    <n v="3"/>
    <n v="3"/>
    <n v="911"/>
    <n v="2733"/>
    <n v="1106.8500000000001"/>
    <x v="0"/>
    <s v="Headphones"/>
    <n v="45691"/>
    <s v="Feb-2025"/>
    <n v="413"/>
    <x v="194"/>
  </r>
  <r>
    <n v="755"/>
    <n v="478"/>
    <n v="47"/>
    <n v="3"/>
    <n v="6939"/>
    <n v="20817"/>
    <n v="7181.8499999999995"/>
    <x v="8"/>
    <s v="Puzzle"/>
    <n v="45694"/>
    <s v="Feb-2025"/>
    <n v="450"/>
    <x v="274"/>
  </r>
  <r>
    <n v="756"/>
    <n v="478"/>
    <n v="10"/>
    <n v="4"/>
    <n v="1870"/>
    <n v="7480"/>
    <n v="3366"/>
    <x v="0"/>
    <s v="Earbuds"/>
    <n v="45694"/>
    <s v="Feb-2025"/>
    <n v="450"/>
    <x v="274"/>
  </r>
  <r>
    <n v="757"/>
    <n v="479"/>
    <n v="4"/>
    <n v="4"/>
    <n v="1048"/>
    <n v="4192"/>
    <n v="1634.88"/>
    <x v="0"/>
    <s v="Smart Watch"/>
    <n v="45697"/>
    <s v="Feb-2025"/>
    <n v="487"/>
    <x v="85"/>
  </r>
  <r>
    <n v="758"/>
    <n v="479"/>
    <n v="17"/>
    <n v="1"/>
    <n v="2829"/>
    <n v="2829"/>
    <n v="976"/>
    <x v="2"/>
    <s v="Dress"/>
    <n v="45697"/>
    <s v="Feb-2025"/>
    <n v="487"/>
    <x v="85"/>
  </r>
  <r>
    <n v="759"/>
    <n v="480"/>
    <n v="11"/>
    <n v="1"/>
    <n v="2007"/>
    <n v="2007"/>
    <n v="873.04"/>
    <x v="2"/>
    <s v="T-Shirt"/>
    <n v="45700"/>
    <s v="Feb-2025"/>
    <n v="24"/>
    <x v="275"/>
  </r>
  <r>
    <n v="760"/>
    <n v="480"/>
    <n v="24"/>
    <n v="2"/>
    <n v="3788"/>
    <n v="7576"/>
    <n v="2954.6400000000003"/>
    <x v="1"/>
    <s v="Iron"/>
    <n v="45700"/>
    <s v="Feb-2025"/>
    <n v="24"/>
    <x v="275"/>
  </r>
  <r>
    <n v="761"/>
    <n v="481"/>
    <n v="18"/>
    <n v="2"/>
    <n v="2966"/>
    <n v="5932"/>
    <n v="1957.56"/>
    <x v="2"/>
    <s v="Backpack"/>
    <n v="45703"/>
    <s v="Feb-2025"/>
    <n v="61"/>
    <x v="276"/>
  </r>
  <r>
    <n v="762"/>
    <n v="481"/>
    <n v="31"/>
    <n v="3"/>
    <n v="4747"/>
    <n v="14241"/>
    <n v="6194.82"/>
    <x v="4"/>
    <s v="Book"/>
    <n v="45703"/>
    <s v="Feb-2025"/>
    <n v="61"/>
    <x v="276"/>
  </r>
  <r>
    <n v="763"/>
    <n v="482"/>
    <n v="25"/>
    <n v="3"/>
    <n v="3925"/>
    <n v="11775"/>
    <n v="4415.6400000000003"/>
    <x v="1"/>
    <s v="Vacuum Cleaner"/>
    <n v="45706"/>
    <s v="Feb-2025"/>
    <n v="98"/>
    <x v="159"/>
  </r>
  <r>
    <n v="764"/>
    <n v="482"/>
    <n v="38"/>
    <n v="4"/>
    <n v="5706"/>
    <n v="22824"/>
    <n v="7531.92"/>
    <x v="7"/>
    <s v="Badminton Racket"/>
    <n v="45706"/>
    <s v="Feb-2025"/>
    <n v="98"/>
    <x v="159"/>
  </r>
  <r>
    <n v="765"/>
    <n v="483"/>
    <n v="32"/>
    <n v="4"/>
    <n v="4884"/>
    <n v="19536"/>
    <n v="8205.1200000000008"/>
    <x v="4"/>
    <s v="Notebook"/>
    <n v="45709"/>
    <s v="Feb-2025"/>
    <n v="135"/>
    <x v="116"/>
  </r>
  <r>
    <n v="766"/>
    <n v="483"/>
    <n v="45"/>
    <n v="1"/>
    <n v="6665"/>
    <n v="6665"/>
    <n v="2499.38"/>
    <x v="6"/>
    <s v="Sunscreen"/>
    <n v="45709"/>
    <s v="Feb-2025"/>
    <n v="135"/>
    <x v="116"/>
  </r>
  <r>
    <n v="767"/>
    <n v="484"/>
    <n v="39"/>
    <n v="1"/>
    <n v="5843"/>
    <n v="5843"/>
    <n v="1840.54"/>
    <x v="7"/>
    <s v="Yoga Mat"/>
    <n v="45712"/>
    <s v="Feb-2025"/>
    <n v="172"/>
    <x v="277"/>
  </r>
  <r>
    <n v="768"/>
    <n v="484"/>
    <n v="2"/>
    <n v="2"/>
    <n v="774"/>
    <n v="1548"/>
    <n v="650.16"/>
    <x v="0"/>
    <s v="Mobile"/>
    <n v="45712"/>
    <s v="Feb-2025"/>
    <n v="172"/>
    <x v="277"/>
  </r>
  <r>
    <n v="769"/>
    <n v="485"/>
    <n v="46"/>
    <n v="2"/>
    <n v="6802"/>
    <n v="13604"/>
    <n v="4897.4400000000005"/>
    <x v="8"/>
    <s v="Toys Car"/>
    <n v="45715"/>
    <s v="Feb-2025"/>
    <n v="209"/>
    <x v="10"/>
  </r>
  <r>
    <n v="770"/>
    <n v="485"/>
    <n v="9"/>
    <n v="3"/>
    <n v="1733"/>
    <n v="5199"/>
    <n v="1637.6700000000003"/>
    <x v="0"/>
    <s v="Power Bank"/>
    <n v="45715"/>
    <s v="Feb-2025"/>
    <n v="209"/>
    <x v="10"/>
  </r>
  <r>
    <n v="771"/>
    <n v="486"/>
    <n v="3"/>
    <n v="3"/>
    <n v="911"/>
    <n v="2733"/>
    <n v="1106.8500000000001"/>
    <x v="0"/>
    <s v="Headphones"/>
    <n v="45718"/>
    <s v="Mar-2025"/>
    <n v="246"/>
    <x v="278"/>
  </r>
  <r>
    <n v="772"/>
    <n v="486"/>
    <n v="16"/>
    <n v="4"/>
    <n v="2692"/>
    <n v="10768"/>
    <n v="3876.4799999999996"/>
    <x v="2"/>
    <s v="Saree"/>
    <n v="45718"/>
    <s v="Mar-2025"/>
    <n v="246"/>
    <x v="278"/>
  </r>
  <r>
    <n v="773"/>
    <n v="487"/>
    <n v="10"/>
    <n v="4"/>
    <n v="1870"/>
    <n v="7480"/>
    <n v="3366"/>
    <x v="0"/>
    <s v="Earbuds"/>
    <n v="45721"/>
    <s v="Mar-2025"/>
    <n v="283"/>
    <x v="279"/>
  </r>
  <r>
    <n v="774"/>
    <n v="487"/>
    <n v="23"/>
    <n v="1"/>
    <n v="3651"/>
    <n v="3651"/>
    <n v="1478.65"/>
    <x v="1"/>
    <s v="Fan"/>
    <n v="45721"/>
    <s v="Mar-2025"/>
    <n v="283"/>
    <x v="279"/>
  </r>
  <r>
    <n v="775"/>
    <n v="488"/>
    <n v="17"/>
    <n v="1"/>
    <n v="2829"/>
    <n v="2829"/>
    <n v="976"/>
    <x v="2"/>
    <s v="Dress"/>
    <n v="45724"/>
    <s v="Mar-2025"/>
    <n v="320"/>
    <x v="280"/>
  </r>
  <r>
    <n v="776"/>
    <n v="488"/>
    <n v="30"/>
    <n v="2"/>
    <n v="4610"/>
    <n v="9220"/>
    <n v="4149"/>
    <x v="5"/>
    <s v="Table"/>
    <n v="45724"/>
    <s v="Mar-2025"/>
    <n v="320"/>
    <x v="280"/>
  </r>
  <r>
    <n v="777"/>
    <n v="489"/>
    <n v="24"/>
    <n v="2"/>
    <n v="3788"/>
    <n v="7576"/>
    <n v="2954.6400000000003"/>
    <x v="1"/>
    <s v="Iron"/>
    <n v="45727"/>
    <s v="Mar-2025"/>
    <n v="357"/>
    <x v="229"/>
  </r>
  <r>
    <n v="778"/>
    <n v="489"/>
    <n v="37"/>
    <n v="3"/>
    <n v="5569"/>
    <n v="16707"/>
    <n v="5763.9000000000005"/>
    <x v="7"/>
    <s v="Football"/>
    <n v="45727"/>
    <s v="Mar-2025"/>
    <n v="357"/>
    <x v="229"/>
  </r>
  <r>
    <n v="779"/>
    <n v="490"/>
    <n v="31"/>
    <n v="3"/>
    <n v="4747"/>
    <n v="14241"/>
    <n v="6194.82"/>
    <x v="4"/>
    <s v="Book"/>
    <n v="45730"/>
    <s v="Mar-2025"/>
    <n v="394"/>
    <x v="281"/>
  </r>
  <r>
    <n v="780"/>
    <n v="490"/>
    <n v="44"/>
    <n v="4"/>
    <n v="6528"/>
    <n v="26112"/>
    <n v="10183.68"/>
    <x v="6"/>
    <s v="Moisturizer"/>
    <n v="45730"/>
    <s v="Mar-2025"/>
    <n v="394"/>
    <x v="281"/>
  </r>
  <r>
    <n v="781"/>
    <n v="491"/>
    <n v="38"/>
    <n v="4"/>
    <n v="5706"/>
    <n v="22824"/>
    <n v="7531.92"/>
    <x v="7"/>
    <s v="Badminton Racket"/>
    <n v="45733"/>
    <s v="Mar-2025"/>
    <n v="431"/>
    <x v="282"/>
  </r>
  <r>
    <n v="782"/>
    <n v="491"/>
    <n v="1"/>
    <n v="1"/>
    <n v="637"/>
    <n v="637"/>
    <n v="277.08999999999997"/>
    <x v="0"/>
    <s v="Laptop"/>
    <n v="45733"/>
    <s v="Mar-2025"/>
    <n v="431"/>
    <x v="282"/>
  </r>
  <r>
    <n v="783"/>
    <n v="492"/>
    <n v="45"/>
    <n v="1"/>
    <n v="6665"/>
    <n v="6665"/>
    <n v="2499.38"/>
    <x v="6"/>
    <s v="Sunscreen"/>
    <n v="45736"/>
    <s v="Mar-2025"/>
    <n v="468"/>
    <x v="75"/>
  </r>
  <r>
    <n v="784"/>
    <n v="492"/>
    <n v="8"/>
    <n v="2"/>
    <n v="1596"/>
    <n v="3192"/>
    <n v="1053.3600000000001"/>
    <x v="0"/>
    <s v="Tablet"/>
    <n v="45736"/>
    <s v="Mar-2025"/>
    <n v="468"/>
    <x v="75"/>
  </r>
  <r>
    <n v="785"/>
    <n v="493"/>
    <n v="2"/>
    <n v="2"/>
    <n v="774"/>
    <n v="1548"/>
    <n v="650.16"/>
    <x v="0"/>
    <s v="Mobile"/>
    <n v="45739"/>
    <s v="Mar-2025"/>
    <n v="5"/>
    <x v="175"/>
  </r>
  <r>
    <n v="786"/>
    <n v="493"/>
    <n v="15"/>
    <n v="3"/>
    <n v="2555"/>
    <n v="7665"/>
    <n v="2874.3599999999997"/>
    <x v="2"/>
    <s v="Shoes"/>
    <n v="45739"/>
    <s v="Mar-2025"/>
    <n v="5"/>
    <x v="175"/>
  </r>
  <r>
    <n v="787"/>
    <n v="494"/>
    <n v="9"/>
    <n v="3"/>
    <n v="1733"/>
    <n v="5199"/>
    <n v="1637.6700000000003"/>
    <x v="0"/>
    <s v="Power Bank"/>
    <n v="45742"/>
    <s v="Mar-2025"/>
    <n v="42"/>
    <x v="283"/>
  </r>
  <r>
    <n v="788"/>
    <n v="494"/>
    <n v="22"/>
    <n v="4"/>
    <n v="3514"/>
    <n v="14056"/>
    <n v="5903.52"/>
    <x v="1"/>
    <s v="Microwave"/>
    <n v="45742"/>
    <s v="Mar-2025"/>
    <n v="42"/>
    <x v="283"/>
  </r>
  <r>
    <n v="789"/>
    <n v="495"/>
    <n v="16"/>
    <n v="4"/>
    <n v="2692"/>
    <n v="10768"/>
    <n v="3876.4799999999996"/>
    <x v="2"/>
    <s v="Saree"/>
    <n v="45745"/>
    <s v="Mar-2025"/>
    <n v="79"/>
    <x v="34"/>
  </r>
  <r>
    <n v="790"/>
    <n v="495"/>
    <n v="29"/>
    <n v="1"/>
    <n v="4473"/>
    <n v="4473"/>
    <n v="1408.9899999999998"/>
    <x v="5"/>
    <s v="Chair"/>
    <n v="45745"/>
    <s v="Mar-2025"/>
    <n v="79"/>
    <x v="34"/>
  </r>
  <r>
    <n v="791"/>
    <n v="496"/>
    <n v="23"/>
    <n v="1"/>
    <n v="3651"/>
    <n v="3651"/>
    <n v="1478.65"/>
    <x v="1"/>
    <s v="Fan"/>
    <n v="45748"/>
    <s v="Apr-2025"/>
    <n v="116"/>
    <x v="154"/>
  </r>
  <r>
    <n v="792"/>
    <n v="496"/>
    <n v="36"/>
    <n v="2"/>
    <n v="5432"/>
    <n v="10864"/>
    <n v="3911.04"/>
    <x v="7"/>
    <s v="Cricket Bat"/>
    <n v="45748"/>
    <s v="Apr-2025"/>
    <n v="116"/>
    <x v="154"/>
  </r>
  <r>
    <n v="793"/>
    <n v="497"/>
    <n v="30"/>
    <n v="2"/>
    <n v="4610"/>
    <n v="9220"/>
    <n v="4149"/>
    <x v="5"/>
    <s v="Table"/>
    <n v="45751"/>
    <s v="Apr-2025"/>
    <n v="153"/>
    <x v="284"/>
  </r>
  <r>
    <n v="794"/>
    <n v="497"/>
    <n v="43"/>
    <n v="3"/>
    <n v="6391"/>
    <n v="19173"/>
    <n v="7765.0499999999993"/>
    <x v="6"/>
    <s v="Perfume"/>
    <n v="45751"/>
    <s v="Apr-2025"/>
    <n v="153"/>
    <x v="284"/>
  </r>
  <r>
    <n v="795"/>
    <n v="498"/>
    <n v="37"/>
    <n v="3"/>
    <n v="5569"/>
    <n v="16707"/>
    <n v="5763.9000000000005"/>
    <x v="7"/>
    <s v="Football"/>
    <n v="45754"/>
    <s v="Apr-2025"/>
    <n v="190"/>
    <x v="120"/>
  </r>
  <r>
    <n v="796"/>
    <n v="498"/>
    <n v="50"/>
    <n v="4"/>
    <n v="7350"/>
    <n v="29400"/>
    <n v="13230"/>
    <x v="8"/>
    <s v="Building Blocks"/>
    <n v="45754"/>
    <s v="Apr-2025"/>
    <n v="190"/>
    <x v="120"/>
  </r>
  <r>
    <n v="797"/>
    <n v="499"/>
    <n v="44"/>
    <n v="4"/>
    <n v="6528"/>
    <n v="26112"/>
    <n v="10183.68"/>
    <x v="6"/>
    <s v="Moisturizer"/>
    <n v="45757"/>
    <s v="Apr-2025"/>
    <n v="227"/>
    <x v="131"/>
  </r>
  <r>
    <n v="798"/>
    <n v="499"/>
    <n v="7"/>
    <n v="1"/>
    <n v="1459"/>
    <n v="1459"/>
    <n v="503.35"/>
    <x v="0"/>
    <s v="Monitor"/>
    <n v="45757"/>
    <s v="Apr-2025"/>
    <n v="227"/>
    <x v="131"/>
  </r>
  <r>
    <n v="799"/>
    <n v="500"/>
    <n v="1"/>
    <n v="1"/>
    <n v="637"/>
    <n v="637"/>
    <n v="277.08999999999997"/>
    <x v="0"/>
    <s v="Laptop"/>
    <n v="45760"/>
    <s v="Apr-2025"/>
    <n v="264"/>
    <x v="285"/>
  </r>
  <r>
    <n v="800"/>
    <n v="500"/>
    <n v="14"/>
    <n v="2"/>
    <n v="2418"/>
    <n v="4836"/>
    <n v="1886.04"/>
    <x v="2"/>
    <s v="Jacket"/>
    <n v="45760"/>
    <s v="Apr-2025"/>
    <n v="264"/>
    <x v="285"/>
  </r>
  <r>
    <n v="801"/>
    <n v="501"/>
    <n v="8"/>
    <n v="2"/>
    <n v="1596"/>
    <n v="3192"/>
    <n v="1053.3600000000001"/>
    <x v="0"/>
    <s v="Tablet"/>
    <n v="45763"/>
    <s v="Apr-2025"/>
    <n v="301"/>
    <x v="261"/>
  </r>
  <r>
    <n v="802"/>
    <n v="501"/>
    <n v="21"/>
    <n v="3"/>
    <n v="3377"/>
    <n v="10131"/>
    <n v="4406.97"/>
    <x v="1"/>
    <s v="Mixer"/>
    <n v="45763"/>
    <s v="Apr-2025"/>
    <n v="301"/>
    <x v="261"/>
  </r>
  <r>
    <n v="803"/>
    <n v="502"/>
    <n v="15"/>
    <n v="3"/>
    <n v="2555"/>
    <n v="7665"/>
    <n v="2874.3599999999997"/>
    <x v="2"/>
    <s v="Shoes"/>
    <n v="45766"/>
    <s v="Apr-2025"/>
    <n v="338"/>
    <x v="183"/>
  </r>
  <r>
    <n v="804"/>
    <n v="502"/>
    <n v="28"/>
    <n v="4"/>
    <n v="4336"/>
    <n v="17344"/>
    <n v="5723.52"/>
    <x v="3"/>
    <s v="Bottle"/>
    <n v="45766"/>
    <s v="Apr-2025"/>
    <n v="338"/>
    <x v="183"/>
  </r>
  <r>
    <n v="805"/>
    <n v="503"/>
    <n v="22"/>
    <n v="4"/>
    <n v="3514"/>
    <n v="14056"/>
    <n v="5903.52"/>
    <x v="1"/>
    <s v="Microwave"/>
    <n v="45769"/>
    <s v="Apr-2025"/>
    <n v="375"/>
    <x v="64"/>
  </r>
  <r>
    <n v="806"/>
    <n v="503"/>
    <n v="35"/>
    <n v="1"/>
    <n v="5295"/>
    <n v="5295"/>
    <n v="1985.62"/>
    <x v="4"/>
    <s v="Novel"/>
    <n v="45769"/>
    <s v="Apr-2025"/>
    <n v="375"/>
    <x v="64"/>
  </r>
  <r>
    <n v="807"/>
    <n v="504"/>
    <n v="29"/>
    <n v="1"/>
    <n v="4473"/>
    <n v="4473"/>
    <n v="1408.9899999999998"/>
    <x v="5"/>
    <s v="Chair"/>
    <n v="45772"/>
    <s v="Apr-2025"/>
    <n v="412"/>
    <x v="30"/>
  </r>
  <r>
    <n v="808"/>
    <n v="504"/>
    <n v="42"/>
    <n v="2"/>
    <n v="6254"/>
    <n v="12508"/>
    <n v="5253.36"/>
    <x v="6"/>
    <s v="Shampoo"/>
    <n v="45772"/>
    <s v="Apr-2025"/>
    <n v="412"/>
    <x v="30"/>
  </r>
  <r>
    <n v="809"/>
    <n v="505"/>
    <n v="36"/>
    <n v="2"/>
    <n v="5432"/>
    <n v="10864"/>
    <n v="3911.04"/>
    <x v="7"/>
    <s v="Cricket Bat"/>
    <n v="45775"/>
    <s v="Apr-2025"/>
    <n v="449"/>
    <x v="286"/>
  </r>
  <r>
    <n v="810"/>
    <n v="505"/>
    <n v="49"/>
    <n v="3"/>
    <n v="7213"/>
    <n v="21639"/>
    <n v="6816.27"/>
    <x v="8"/>
    <s v="Remote Car"/>
    <n v="45775"/>
    <s v="Apr-2025"/>
    <n v="449"/>
    <x v="286"/>
  </r>
  <r>
    <n v="811"/>
    <n v="506"/>
    <n v="43"/>
    <n v="3"/>
    <n v="6391"/>
    <n v="19173"/>
    <n v="7765.0499999999993"/>
    <x v="6"/>
    <s v="Perfume"/>
    <n v="45778"/>
    <s v="May-2025"/>
    <n v="486"/>
    <x v="287"/>
  </r>
  <r>
    <n v="812"/>
    <n v="506"/>
    <n v="6"/>
    <n v="4"/>
    <n v="1322"/>
    <n v="5288"/>
    <n v="1903.6799999999998"/>
    <x v="0"/>
    <s v="Mouse"/>
    <n v="45778"/>
    <s v="May-2025"/>
    <n v="486"/>
    <x v="287"/>
  </r>
  <r>
    <n v="813"/>
    <n v="507"/>
    <n v="50"/>
    <n v="4"/>
    <n v="7350"/>
    <n v="29400"/>
    <n v="13230"/>
    <x v="8"/>
    <s v="Building Blocks"/>
    <n v="45781"/>
    <s v="May-2025"/>
    <n v="23"/>
    <x v="73"/>
  </r>
  <r>
    <n v="814"/>
    <n v="507"/>
    <n v="13"/>
    <n v="1"/>
    <n v="2281"/>
    <n v="2281"/>
    <n v="923.8"/>
    <x v="2"/>
    <s v="Shirt"/>
    <n v="45781"/>
    <s v="May-2025"/>
    <n v="23"/>
    <x v="73"/>
  </r>
  <r>
    <n v="815"/>
    <n v="508"/>
    <n v="7"/>
    <n v="1"/>
    <n v="1459"/>
    <n v="1459"/>
    <n v="503.35"/>
    <x v="0"/>
    <s v="Monitor"/>
    <n v="45784"/>
    <s v="May-2025"/>
    <n v="60"/>
    <x v="31"/>
  </r>
  <r>
    <n v="816"/>
    <n v="508"/>
    <n v="20"/>
    <n v="2"/>
    <n v="3240"/>
    <n v="6480"/>
    <n v="2916"/>
    <x v="2"/>
    <s v="Belt"/>
    <n v="45784"/>
    <s v="May-2025"/>
    <n v="60"/>
    <x v="31"/>
  </r>
  <r>
    <n v="817"/>
    <n v="509"/>
    <n v="14"/>
    <n v="2"/>
    <n v="2418"/>
    <n v="4836"/>
    <n v="1886.04"/>
    <x v="2"/>
    <s v="Jacket"/>
    <n v="45787"/>
    <s v="May-2025"/>
    <n v="97"/>
    <x v="81"/>
  </r>
  <r>
    <n v="818"/>
    <n v="509"/>
    <n v="27"/>
    <n v="3"/>
    <n v="4199"/>
    <n v="12597"/>
    <n v="4345.9500000000007"/>
    <x v="3"/>
    <s v="Cookware Set"/>
    <n v="45787"/>
    <s v="May-2025"/>
    <n v="97"/>
    <x v="81"/>
  </r>
  <r>
    <n v="819"/>
    <n v="510"/>
    <n v="21"/>
    <n v="3"/>
    <n v="3377"/>
    <n v="10131"/>
    <n v="4406.97"/>
    <x v="1"/>
    <s v="Mixer"/>
    <n v="45790"/>
    <s v="May-2025"/>
    <n v="134"/>
    <x v="122"/>
  </r>
  <r>
    <n v="820"/>
    <n v="510"/>
    <n v="34"/>
    <n v="4"/>
    <n v="5158"/>
    <n v="20632"/>
    <n v="8046.48"/>
    <x v="4"/>
    <s v="Cookbook"/>
    <n v="45790"/>
    <s v="May-2025"/>
    <n v="134"/>
    <x v="122"/>
  </r>
  <r>
    <n v="821"/>
    <n v="511"/>
    <n v="28"/>
    <n v="4"/>
    <n v="4336"/>
    <n v="17344"/>
    <n v="5723.52"/>
    <x v="3"/>
    <s v="Bottle"/>
    <n v="45793"/>
    <s v="May-2025"/>
    <n v="171"/>
    <x v="288"/>
  </r>
  <r>
    <n v="822"/>
    <n v="511"/>
    <n v="41"/>
    <n v="1"/>
    <n v="6117"/>
    <n v="6117"/>
    <n v="2660.89"/>
    <x v="6"/>
    <s v="Face Wash"/>
    <n v="45793"/>
    <s v="May-2025"/>
    <n v="171"/>
    <x v="288"/>
  </r>
  <r>
    <n v="823"/>
    <n v="512"/>
    <n v="35"/>
    <n v="1"/>
    <n v="5295"/>
    <n v="5295"/>
    <n v="1985.62"/>
    <x v="4"/>
    <s v="Novel"/>
    <n v="45796"/>
    <s v="May-2025"/>
    <n v="208"/>
    <x v="289"/>
  </r>
  <r>
    <n v="824"/>
    <n v="512"/>
    <n v="48"/>
    <n v="2"/>
    <n v="7076"/>
    <n v="14152"/>
    <n v="4670.16"/>
    <x v="8"/>
    <s v="Board Game"/>
    <n v="45796"/>
    <s v="May-2025"/>
    <n v="208"/>
    <x v="289"/>
  </r>
  <r>
    <n v="825"/>
    <n v="513"/>
    <n v="42"/>
    <n v="2"/>
    <n v="6254"/>
    <n v="12508"/>
    <n v="5253.36"/>
    <x v="6"/>
    <s v="Shampoo"/>
    <n v="45799"/>
    <s v="May-2025"/>
    <n v="245"/>
    <x v="70"/>
  </r>
  <r>
    <n v="826"/>
    <n v="513"/>
    <n v="5"/>
    <n v="3"/>
    <n v="1185"/>
    <n v="3555"/>
    <n v="1333.1399999999999"/>
    <x v="0"/>
    <s v="Keyboard"/>
    <n v="45799"/>
    <s v="May-2025"/>
    <n v="245"/>
    <x v="70"/>
  </r>
  <r>
    <n v="827"/>
    <n v="514"/>
    <n v="49"/>
    <n v="3"/>
    <n v="7213"/>
    <n v="21639"/>
    <n v="6816.27"/>
    <x v="8"/>
    <s v="Remote Car"/>
    <n v="45802"/>
    <s v="May-2025"/>
    <n v="282"/>
    <x v="21"/>
  </r>
  <r>
    <n v="828"/>
    <n v="514"/>
    <n v="12"/>
    <n v="4"/>
    <n v="2144"/>
    <n v="8576"/>
    <n v="3601.92"/>
    <x v="2"/>
    <s v="Jeans"/>
    <n v="45802"/>
    <s v="May-2025"/>
    <n v="282"/>
    <x v="21"/>
  </r>
  <r>
    <n v="829"/>
    <n v="515"/>
    <n v="6"/>
    <n v="4"/>
    <n v="1322"/>
    <n v="5288"/>
    <n v="1903.6799999999998"/>
    <x v="0"/>
    <s v="Mouse"/>
    <n v="45805"/>
    <s v="May-2025"/>
    <n v="319"/>
    <x v="212"/>
  </r>
  <r>
    <n v="830"/>
    <n v="515"/>
    <n v="19"/>
    <n v="1"/>
    <n v="3103"/>
    <n v="3103"/>
    <n v="977.44"/>
    <x v="2"/>
    <s v="Wallet"/>
    <n v="45805"/>
    <s v="May-2025"/>
    <n v="319"/>
    <x v="212"/>
  </r>
  <r>
    <n v="831"/>
    <n v="516"/>
    <n v="13"/>
    <n v="1"/>
    <n v="2281"/>
    <n v="2281"/>
    <n v="923.8"/>
    <x v="2"/>
    <s v="Shirt"/>
    <n v="45808"/>
    <s v="May-2025"/>
    <n v="356"/>
    <x v="290"/>
  </r>
  <r>
    <n v="832"/>
    <n v="516"/>
    <n v="26"/>
    <n v="2"/>
    <n v="4062"/>
    <n v="8124"/>
    <n v="2924.6400000000003"/>
    <x v="3"/>
    <s v="Bedsheet"/>
    <n v="45808"/>
    <s v="May-2025"/>
    <n v="356"/>
    <x v="290"/>
  </r>
  <r>
    <n v="833"/>
    <n v="517"/>
    <n v="20"/>
    <n v="2"/>
    <n v="3240"/>
    <n v="6480"/>
    <n v="2916"/>
    <x v="2"/>
    <s v="Belt"/>
    <n v="45811"/>
    <s v="Jun-2025"/>
    <n v="393"/>
    <x v="291"/>
  </r>
  <r>
    <n v="834"/>
    <n v="517"/>
    <n v="33"/>
    <n v="3"/>
    <n v="5021"/>
    <n v="15063"/>
    <n v="6100.5"/>
    <x v="4"/>
    <s v="Pen Set"/>
    <n v="45811"/>
    <s v="Jun-2025"/>
    <n v="393"/>
    <x v="291"/>
  </r>
  <r>
    <n v="835"/>
    <n v="518"/>
    <n v="27"/>
    <n v="3"/>
    <n v="4199"/>
    <n v="12597"/>
    <n v="4345.9500000000007"/>
    <x v="3"/>
    <s v="Cookware Set"/>
    <n v="45814"/>
    <s v="Jun-2025"/>
    <n v="430"/>
    <x v="292"/>
  </r>
  <r>
    <n v="836"/>
    <n v="518"/>
    <n v="40"/>
    <n v="4"/>
    <n v="5980"/>
    <n v="23920"/>
    <n v="10764"/>
    <x v="7"/>
    <s v="Dumbbells"/>
    <n v="45814"/>
    <s v="Jun-2025"/>
    <n v="430"/>
    <x v="292"/>
  </r>
  <r>
    <n v="837"/>
    <n v="519"/>
    <n v="34"/>
    <n v="4"/>
    <n v="5158"/>
    <n v="20632"/>
    <n v="8046.48"/>
    <x v="4"/>
    <s v="Cookbook"/>
    <n v="45817"/>
    <s v="Jun-2025"/>
    <n v="467"/>
    <x v="33"/>
  </r>
  <r>
    <n v="838"/>
    <n v="519"/>
    <n v="47"/>
    <n v="1"/>
    <n v="6939"/>
    <n v="6939"/>
    <n v="2393.9499999999998"/>
    <x v="8"/>
    <s v="Puzzle"/>
    <n v="45817"/>
    <s v="Jun-2025"/>
    <n v="467"/>
    <x v="33"/>
  </r>
  <r>
    <n v="839"/>
    <n v="520"/>
    <n v="41"/>
    <n v="1"/>
    <n v="6117"/>
    <n v="6117"/>
    <n v="2660.89"/>
    <x v="6"/>
    <s v="Face Wash"/>
    <n v="45820"/>
    <s v="Jun-2025"/>
    <n v="4"/>
    <x v="293"/>
  </r>
  <r>
    <n v="840"/>
    <n v="520"/>
    <n v="4"/>
    <n v="2"/>
    <n v="1048"/>
    <n v="2096"/>
    <n v="817.44"/>
    <x v="0"/>
    <s v="Smart Watch"/>
    <n v="45820"/>
    <s v="Jun-2025"/>
    <n v="4"/>
    <x v="293"/>
  </r>
  <r>
    <n v="841"/>
    <n v="521"/>
    <n v="48"/>
    <n v="2"/>
    <n v="7076"/>
    <n v="14152"/>
    <n v="4670.16"/>
    <x v="8"/>
    <s v="Board Game"/>
    <n v="45823"/>
    <s v="Jun-2025"/>
    <n v="41"/>
    <x v="263"/>
  </r>
  <r>
    <n v="842"/>
    <n v="521"/>
    <n v="11"/>
    <n v="3"/>
    <n v="2007"/>
    <n v="6021"/>
    <n v="2619.12"/>
    <x v="2"/>
    <s v="T-Shirt"/>
    <n v="45823"/>
    <s v="Jun-2025"/>
    <n v="41"/>
    <x v="263"/>
  </r>
  <r>
    <n v="843"/>
    <n v="522"/>
    <n v="5"/>
    <n v="3"/>
    <n v="1185"/>
    <n v="3555"/>
    <n v="1333.1399999999999"/>
    <x v="0"/>
    <s v="Keyboard"/>
    <n v="45826"/>
    <s v="Jun-2025"/>
    <n v="78"/>
    <x v="212"/>
  </r>
  <r>
    <n v="844"/>
    <n v="522"/>
    <n v="18"/>
    <n v="4"/>
    <n v="2966"/>
    <n v="11864"/>
    <n v="3915.12"/>
    <x v="2"/>
    <s v="Backpack"/>
    <n v="45826"/>
    <s v="Jun-2025"/>
    <n v="78"/>
    <x v="212"/>
  </r>
  <r>
    <n v="845"/>
    <n v="523"/>
    <n v="12"/>
    <n v="4"/>
    <n v="2144"/>
    <n v="8576"/>
    <n v="3601.92"/>
    <x v="2"/>
    <s v="Jeans"/>
    <n v="45829"/>
    <s v="Jun-2025"/>
    <n v="115"/>
    <x v="131"/>
  </r>
  <r>
    <n v="846"/>
    <n v="523"/>
    <n v="25"/>
    <n v="1"/>
    <n v="3925"/>
    <n v="3925"/>
    <n v="1471.88"/>
    <x v="1"/>
    <s v="Vacuum Cleaner"/>
    <n v="45829"/>
    <s v="Jun-2025"/>
    <n v="115"/>
    <x v="131"/>
  </r>
  <r>
    <n v="847"/>
    <n v="524"/>
    <n v="19"/>
    <n v="1"/>
    <n v="3103"/>
    <n v="3103"/>
    <n v="977.44"/>
    <x v="2"/>
    <s v="Wallet"/>
    <n v="45832"/>
    <s v="Jun-2025"/>
    <n v="152"/>
    <x v="27"/>
  </r>
  <r>
    <n v="848"/>
    <n v="524"/>
    <n v="32"/>
    <n v="2"/>
    <n v="4884"/>
    <n v="9768"/>
    <n v="4102.5600000000004"/>
    <x v="4"/>
    <s v="Notebook"/>
    <n v="45832"/>
    <s v="Jun-2025"/>
    <n v="152"/>
    <x v="27"/>
  </r>
  <r>
    <n v="849"/>
    <n v="525"/>
    <n v="26"/>
    <n v="2"/>
    <n v="4062"/>
    <n v="8124"/>
    <n v="2924.6400000000003"/>
    <x v="3"/>
    <s v="Bedsheet"/>
    <n v="45835"/>
    <s v="Jun-2025"/>
    <n v="189"/>
    <x v="273"/>
  </r>
  <r>
    <n v="850"/>
    <n v="525"/>
    <n v="39"/>
    <n v="3"/>
    <n v="5843"/>
    <n v="17529"/>
    <n v="5521.62"/>
    <x v="7"/>
    <s v="Yoga Mat"/>
    <n v="45835"/>
    <s v="Jun-2025"/>
    <n v="189"/>
    <x v="273"/>
  </r>
  <r>
    <n v="851"/>
    <n v="526"/>
    <n v="33"/>
    <n v="3"/>
    <n v="5021"/>
    <n v="15063"/>
    <n v="6100.5"/>
    <x v="4"/>
    <s v="Pen Set"/>
    <n v="45838"/>
    <s v="Jun-2025"/>
    <n v="226"/>
    <x v="94"/>
  </r>
  <r>
    <n v="852"/>
    <n v="526"/>
    <n v="46"/>
    <n v="4"/>
    <n v="6802"/>
    <n v="27208"/>
    <n v="9794.880000000001"/>
    <x v="8"/>
    <s v="Toys Car"/>
    <n v="45838"/>
    <s v="Jun-2025"/>
    <n v="226"/>
    <x v="94"/>
  </r>
  <r>
    <n v="853"/>
    <n v="527"/>
    <n v="40"/>
    <n v="4"/>
    <n v="5980"/>
    <n v="23920"/>
    <n v="10764"/>
    <x v="7"/>
    <s v="Dumbbells"/>
    <n v="45841"/>
    <s v="Jul-2025"/>
    <n v="263"/>
    <x v="294"/>
  </r>
  <r>
    <n v="854"/>
    <n v="527"/>
    <n v="3"/>
    <n v="1"/>
    <n v="911"/>
    <n v="911"/>
    <n v="368.95000000000005"/>
    <x v="0"/>
    <s v="Headphones"/>
    <n v="45841"/>
    <s v="Jul-2025"/>
    <n v="263"/>
    <x v="294"/>
  </r>
  <r>
    <n v="855"/>
    <n v="528"/>
    <n v="47"/>
    <n v="1"/>
    <n v="6939"/>
    <n v="6939"/>
    <n v="2393.9499999999998"/>
    <x v="8"/>
    <s v="Puzzle"/>
    <n v="45844"/>
    <s v="Jul-2025"/>
    <n v="300"/>
    <x v="15"/>
  </r>
  <r>
    <n v="856"/>
    <n v="528"/>
    <n v="10"/>
    <n v="2"/>
    <n v="1870"/>
    <n v="3740"/>
    <n v="1683"/>
    <x v="0"/>
    <s v="Earbuds"/>
    <n v="45844"/>
    <s v="Jul-2025"/>
    <n v="300"/>
    <x v="15"/>
  </r>
  <r>
    <n v="857"/>
    <n v="529"/>
    <n v="4"/>
    <n v="2"/>
    <n v="1048"/>
    <n v="2096"/>
    <n v="817.44"/>
    <x v="0"/>
    <s v="Smart Watch"/>
    <n v="45847"/>
    <s v="Jul-2025"/>
    <n v="337"/>
    <x v="295"/>
  </r>
  <r>
    <n v="858"/>
    <n v="529"/>
    <n v="17"/>
    <n v="3"/>
    <n v="2829"/>
    <n v="8487"/>
    <n v="2928"/>
    <x v="2"/>
    <s v="Dress"/>
    <n v="45847"/>
    <s v="Jul-2025"/>
    <n v="337"/>
    <x v="295"/>
  </r>
  <r>
    <n v="859"/>
    <n v="530"/>
    <n v="11"/>
    <n v="3"/>
    <n v="2007"/>
    <n v="6021"/>
    <n v="2619.12"/>
    <x v="2"/>
    <s v="T-Shirt"/>
    <n v="45850"/>
    <s v="Jul-2025"/>
    <n v="374"/>
    <x v="296"/>
  </r>
  <r>
    <n v="860"/>
    <n v="530"/>
    <n v="24"/>
    <n v="4"/>
    <n v="3788"/>
    <n v="15152"/>
    <n v="5909.2800000000007"/>
    <x v="1"/>
    <s v="Iron"/>
    <n v="45850"/>
    <s v="Jul-2025"/>
    <n v="374"/>
    <x v="296"/>
  </r>
  <r>
    <n v="861"/>
    <n v="531"/>
    <n v="18"/>
    <n v="4"/>
    <n v="2966"/>
    <n v="11864"/>
    <n v="3915.12"/>
    <x v="2"/>
    <s v="Backpack"/>
    <n v="45853"/>
    <s v="Jul-2025"/>
    <n v="411"/>
    <x v="297"/>
  </r>
  <r>
    <n v="862"/>
    <n v="531"/>
    <n v="31"/>
    <n v="1"/>
    <n v="4747"/>
    <n v="4747"/>
    <n v="2064.94"/>
    <x v="4"/>
    <s v="Book"/>
    <n v="45853"/>
    <s v="Jul-2025"/>
    <n v="411"/>
    <x v="297"/>
  </r>
  <r>
    <n v="863"/>
    <n v="532"/>
    <n v="25"/>
    <n v="1"/>
    <n v="3925"/>
    <n v="3925"/>
    <n v="1471.88"/>
    <x v="1"/>
    <s v="Vacuum Cleaner"/>
    <n v="45856"/>
    <s v="Jul-2025"/>
    <n v="448"/>
    <x v="158"/>
  </r>
  <r>
    <n v="864"/>
    <n v="532"/>
    <n v="38"/>
    <n v="2"/>
    <n v="5706"/>
    <n v="11412"/>
    <n v="3765.96"/>
    <x v="7"/>
    <s v="Badminton Racket"/>
    <n v="45856"/>
    <s v="Jul-2025"/>
    <n v="448"/>
    <x v="158"/>
  </r>
  <r>
    <n v="865"/>
    <n v="533"/>
    <n v="32"/>
    <n v="2"/>
    <n v="4884"/>
    <n v="9768"/>
    <n v="4102.5600000000004"/>
    <x v="4"/>
    <s v="Notebook"/>
    <n v="45859"/>
    <s v="Jul-2025"/>
    <n v="485"/>
    <x v="298"/>
  </r>
  <r>
    <n v="866"/>
    <n v="533"/>
    <n v="45"/>
    <n v="3"/>
    <n v="6665"/>
    <n v="19995"/>
    <n v="7498.14"/>
    <x v="6"/>
    <s v="Sunscreen"/>
    <n v="45859"/>
    <s v="Jul-2025"/>
    <n v="485"/>
    <x v="298"/>
  </r>
  <r>
    <n v="867"/>
    <n v="534"/>
    <n v="39"/>
    <n v="3"/>
    <n v="5843"/>
    <n v="17529"/>
    <n v="5521.62"/>
    <x v="7"/>
    <s v="Yoga Mat"/>
    <n v="45862"/>
    <s v="Jul-2025"/>
    <n v="22"/>
    <x v="56"/>
  </r>
  <r>
    <n v="868"/>
    <n v="534"/>
    <n v="2"/>
    <n v="4"/>
    <n v="774"/>
    <n v="3096"/>
    <n v="1300.32"/>
    <x v="0"/>
    <s v="Mobile"/>
    <n v="45862"/>
    <s v="Jul-2025"/>
    <n v="22"/>
    <x v="56"/>
  </r>
  <r>
    <n v="869"/>
    <n v="535"/>
    <n v="46"/>
    <n v="4"/>
    <n v="6802"/>
    <n v="27208"/>
    <n v="9794.880000000001"/>
    <x v="8"/>
    <s v="Toys Car"/>
    <n v="45865"/>
    <s v="Jul-2025"/>
    <n v="59"/>
    <x v="299"/>
  </r>
  <r>
    <n v="870"/>
    <n v="535"/>
    <n v="9"/>
    <n v="1"/>
    <n v="1733"/>
    <n v="1733"/>
    <n v="545.8900000000001"/>
    <x v="0"/>
    <s v="Power Bank"/>
    <n v="45865"/>
    <s v="Jul-2025"/>
    <n v="59"/>
    <x v="299"/>
  </r>
  <r>
    <n v="871"/>
    <n v="536"/>
    <n v="3"/>
    <n v="1"/>
    <n v="911"/>
    <n v="911"/>
    <n v="368.95000000000005"/>
    <x v="0"/>
    <s v="Headphones"/>
    <n v="45868"/>
    <s v="Jul-2025"/>
    <n v="96"/>
    <x v="115"/>
  </r>
  <r>
    <n v="872"/>
    <n v="536"/>
    <n v="16"/>
    <n v="2"/>
    <n v="2692"/>
    <n v="5384"/>
    <n v="1938.2399999999998"/>
    <x v="2"/>
    <s v="Saree"/>
    <n v="45868"/>
    <s v="Jul-2025"/>
    <n v="96"/>
    <x v="115"/>
  </r>
  <r>
    <n v="873"/>
    <n v="537"/>
    <n v="10"/>
    <n v="2"/>
    <n v="1870"/>
    <n v="3740"/>
    <n v="1683"/>
    <x v="0"/>
    <s v="Earbuds"/>
    <n v="45871"/>
    <s v="Aug-2025"/>
    <n v="133"/>
    <x v="270"/>
  </r>
  <r>
    <n v="874"/>
    <n v="537"/>
    <n v="23"/>
    <n v="3"/>
    <n v="3651"/>
    <n v="10953"/>
    <n v="4435.9500000000007"/>
    <x v="1"/>
    <s v="Fan"/>
    <n v="45871"/>
    <s v="Aug-2025"/>
    <n v="133"/>
    <x v="270"/>
  </r>
  <r>
    <n v="875"/>
    <n v="538"/>
    <n v="17"/>
    <n v="3"/>
    <n v="2829"/>
    <n v="8487"/>
    <n v="2928"/>
    <x v="2"/>
    <s v="Dress"/>
    <n v="45874"/>
    <s v="Aug-2025"/>
    <n v="170"/>
    <x v="300"/>
  </r>
  <r>
    <n v="876"/>
    <n v="538"/>
    <n v="30"/>
    <n v="4"/>
    <n v="4610"/>
    <n v="18440"/>
    <n v="8298"/>
    <x v="5"/>
    <s v="Table"/>
    <n v="45874"/>
    <s v="Aug-2025"/>
    <n v="170"/>
    <x v="300"/>
  </r>
  <r>
    <n v="877"/>
    <n v="539"/>
    <n v="24"/>
    <n v="4"/>
    <n v="3788"/>
    <n v="15152"/>
    <n v="5909.2800000000007"/>
    <x v="1"/>
    <s v="Iron"/>
    <n v="45877"/>
    <s v="Aug-2025"/>
    <n v="207"/>
    <x v="188"/>
  </r>
  <r>
    <n v="878"/>
    <n v="539"/>
    <n v="37"/>
    <n v="1"/>
    <n v="5569"/>
    <n v="5569"/>
    <n v="1921.3000000000002"/>
    <x v="7"/>
    <s v="Football"/>
    <n v="45877"/>
    <s v="Aug-2025"/>
    <n v="207"/>
    <x v="188"/>
  </r>
  <r>
    <n v="879"/>
    <n v="540"/>
    <n v="31"/>
    <n v="1"/>
    <n v="4747"/>
    <n v="4747"/>
    <n v="2064.94"/>
    <x v="4"/>
    <s v="Book"/>
    <n v="45880"/>
    <s v="Aug-2025"/>
    <n v="244"/>
    <x v="301"/>
  </r>
  <r>
    <n v="880"/>
    <n v="540"/>
    <n v="44"/>
    <n v="2"/>
    <n v="6528"/>
    <n v="13056"/>
    <n v="5091.84"/>
    <x v="6"/>
    <s v="Moisturizer"/>
    <n v="45880"/>
    <s v="Aug-2025"/>
    <n v="244"/>
    <x v="301"/>
  </r>
  <r>
    <n v="881"/>
    <n v="541"/>
    <n v="38"/>
    <n v="2"/>
    <n v="5706"/>
    <n v="11412"/>
    <n v="3765.96"/>
    <x v="7"/>
    <s v="Badminton Racket"/>
    <n v="45883"/>
    <s v="Aug-2025"/>
    <n v="281"/>
    <x v="136"/>
  </r>
  <r>
    <n v="882"/>
    <n v="541"/>
    <n v="1"/>
    <n v="3"/>
    <n v="637"/>
    <n v="1911"/>
    <n v="831.27"/>
    <x v="0"/>
    <s v="Laptop"/>
    <n v="45883"/>
    <s v="Aug-2025"/>
    <n v="281"/>
    <x v="136"/>
  </r>
  <r>
    <n v="883"/>
    <n v="542"/>
    <n v="45"/>
    <n v="3"/>
    <n v="6665"/>
    <n v="19995"/>
    <n v="7498.14"/>
    <x v="6"/>
    <s v="Sunscreen"/>
    <n v="45886"/>
    <s v="Aug-2025"/>
    <n v="318"/>
    <x v="279"/>
  </r>
  <r>
    <n v="884"/>
    <n v="542"/>
    <n v="8"/>
    <n v="4"/>
    <n v="1596"/>
    <n v="6384"/>
    <n v="2106.7200000000003"/>
    <x v="0"/>
    <s v="Tablet"/>
    <n v="45886"/>
    <s v="Aug-2025"/>
    <n v="318"/>
    <x v="279"/>
  </r>
  <r>
    <n v="885"/>
    <n v="543"/>
    <n v="2"/>
    <n v="4"/>
    <n v="774"/>
    <n v="3096"/>
    <n v="1300.32"/>
    <x v="0"/>
    <s v="Mobile"/>
    <n v="45889"/>
    <s v="Aug-2025"/>
    <n v="355"/>
    <x v="174"/>
  </r>
  <r>
    <n v="886"/>
    <n v="543"/>
    <n v="15"/>
    <n v="1"/>
    <n v="2555"/>
    <n v="2555"/>
    <n v="958.11999999999989"/>
    <x v="2"/>
    <s v="Shoes"/>
    <n v="45889"/>
    <s v="Aug-2025"/>
    <n v="355"/>
    <x v="174"/>
  </r>
  <r>
    <n v="887"/>
    <n v="544"/>
    <n v="9"/>
    <n v="1"/>
    <n v="1733"/>
    <n v="1733"/>
    <n v="545.8900000000001"/>
    <x v="0"/>
    <s v="Power Bank"/>
    <n v="45892"/>
    <s v="Aug-2025"/>
    <n v="392"/>
    <x v="148"/>
  </r>
  <r>
    <n v="888"/>
    <n v="544"/>
    <n v="22"/>
    <n v="2"/>
    <n v="3514"/>
    <n v="7028"/>
    <n v="2951.76"/>
    <x v="1"/>
    <s v="Microwave"/>
    <n v="45892"/>
    <s v="Aug-2025"/>
    <n v="392"/>
    <x v="148"/>
  </r>
  <r>
    <n v="889"/>
    <n v="545"/>
    <n v="16"/>
    <n v="2"/>
    <n v="2692"/>
    <n v="5384"/>
    <n v="1938.2399999999998"/>
    <x v="2"/>
    <s v="Saree"/>
    <n v="45895"/>
    <s v="Aug-2025"/>
    <n v="429"/>
    <x v="192"/>
  </r>
  <r>
    <n v="890"/>
    <n v="545"/>
    <n v="29"/>
    <n v="3"/>
    <n v="4473"/>
    <n v="13419"/>
    <n v="4226.9699999999993"/>
    <x v="5"/>
    <s v="Chair"/>
    <n v="45895"/>
    <s v="Aug-2025"/>
    <n v="429"/>
    <x v="192"/>
  </r>
  <r>
    <n v="891"/>
    <n v="546"/>
    <n v="23"/>
    <n v="3"/>
    <n v="3651"/>
    <n v="10953"/>
    <n v="4435.9500000000007"/>
    <x v="1"/>
    <s v="Fan"/>
    <n v="45898"/>
    <s v="Aug-2025"/>
    <n v="466"/>
    <x v="302"/>
  </r>
  <r>
    <n v="892"/>
    <n v="546"/>
    <n v="36"/>
    <n v="4"/>
    <n v="5432"/>
    <n v="21728"/>
    <n v="7822.08"/>
    <x v="7"/>
    <s v="Cricket Bat"/>
    <n v="45898"/>
    <s v="Aug-2025"/>
    <n v="466"/>
    <x v="302"/>
  </r>
  <r>
    <n v="893"/>
    <n v="547"/>
    <n v="30"/>
    <n v="4"/>
    <n v="4610"/>
    <n v="18440"/>
    <n v="8298"/>
    <x v="5"/>
    <s v="Table"/>
    <n v="45901"/>
    <s v="Sep-2025"/>
    <n v="3"/>
    <x v="303"/>
  </r>
  <r>
    <n v="894"/>
    <n v="547"/>
    <n v="43"/>
    <n v="1"/>
    <n v="6391"/>
    <n v="6391"/>
    <n v="2588.35"/>
    <x v="6"/>
    <s v="Perfume"/>
    <n v="45901"/>
    <s v="Sep-2025"/>
    <n v="3"/>
    <x v="303"/>
  </r>
  <r>
    <n v="895"/>
    <n v="548"/>
    <n v="37"/>
    <n v="1"/>
    <n v="5569"/>
    <n v="5569"/>
    <n v="1921.3000000000002"/>
    <x v="7"/>
    <s v="Football"/>
    <n v="45904"/>
    <s v="Sep-2025"/>
    <n v="40"/>
    <x v="212"/>
  </r>
  <r>
    <n v="896"/>
    <n v="548"/>
    <n v="50"/>
    <n v="2"/>
    <n v="7350"/>
    <n v="14700"/>
    <n v="6615"/>
    <x v="8"/>
    <s v="Building Blocks"/>
    <n v="45904"/>
    <s v="Sep-2025"/>
    <n v="40"/>
    <x v="212"/>
  </r>
  <r>
    <n v="897"/>
    <n v="549"/>
    <n v="44"/>
    <n v="2"/>
    <n v="6528"/>
    <n v="13056"/>
    <n v="5091.84"/>
    <x v="6"/>
    <s v="Moisturizer"/>
    <n v="45907"/>
    <s v="Sep-2025"/>
    <n v="77"/>
    <x v="263"/>
  </r>
  <r>
    <n v="898"/>
    <n v="549"/>
    <n v="7"/>
    <n v="3"/>
    <n v="1459"/>
    <n v="4377"/>
    <n v="1510.0500000000002"/>
    <x v="0"/>
    <s v="Monitor"/>
    <n v="45907"/>
    <s v="Sep-2025"/>
    <n v="77"/>
    <x v="263"/>
  </r>
  <r>
    <n v="899"/>
    <n v="550"/>
    <n v="1"/>
    <n v="3"/>
    <n v="637"/>
    <n v="1911"/>
    <n v="831.27"/>
    <x v="0"/>
    <s v="Laptop"/>
    <n v="45910"/>
    <s v="Sep-2025"/>
    <n v="114"/>
    <x v="301"/>
  </r>
  <r>
    <n v="900"/>
    <n v="550"/>
    <n v="14"/>
    <n v="4"/>
    <n v="2418"/>
    <n v="9672"/>
    <n v="3772.08"/>
    <x v="2"/>
    <s v="Jacket"/>
    <n v="45910"/>
    <s v="Sep-2025"/>
    <n v="114"/>
    <x v="301"/>
  </r>
  <r>
    <n v="901"/>
    <n v="551"/>
    <n v="8"/>
    <n v="4"/>
    <n v="1596"/>
    <n v="6384"/>
    <n v="2106.7200000000003"/>
    <x v="0"/>
    <s v="Tablet"/>
    <n v="45913"/>
    <s v="Sep-2025"/>
    <n v="151"/>
    <x v="304"/>
  </r>
  <r>
    <n v="902"/>
    <n v="551"/>
    <n v="21"/>
    <n v="1"/>
    <n v="3377"/>
    <n v="3377"/>
    <n v="1468.99"/>
    <x v="1"/>
    <s v="Mixer"/>
    <n v="45913"/>
    <s v="Sep-2025"/>
    <n v="151"/>
    <x v="304"/>
  </r>
  <r>
    <n v="903"/>
    <n v="552"/>
    <n v="15"/>
    <n v="1"/>
    <n v="2555"/>
    <n v="2555"/>
    <n v="958.11999999999989"/>
    <x v="2"/>
    <s v="Shoes"/>
    <n v="45916"/>
    <s v="Sep-2025"/>
    <n v="188"/>
    <x v="11"/>
  </r>
  <r>
    <n v="904"/>
    <n v="552"/>
    <n v="28"/>
    <n v="2"/>
    <n v="4336"/>
    <n v="8672"/>
    <n v="2861.76"/>
    <x v="3"/>
    <s v="Bottle"/>
    <n v="45916"/>
    <s v="Sep-2025"/>
    <n v="188"/>
    <x v="11"/>
  </r>
  <r>
    <n v="905"/>
    <n v="553"/>
    <n v="22"/>
    <n v="2"/>
    <n v="3514"/>
    <n v="7028"/>
    <n v="2951.76"/>
    <x v="1"/>
    <s v="Microwave"/>
    <n v="45919"/>
    <s v="Sep-2025"/>
    <n v="225"/>
    <x v="81"/>
  </r>
  <r>
    <n v="906"/>
    <n v="553"/>
    <n v="35"/>
    <n v="3"/>
    <n v="5295"/>
    <n v="15885"/>
    <n v="5956.86"/>
    <x v="4"/>
    <s v="Novel"/>
    <n v="45919"/>
    <s v="Sep-2025"/>
    <n v="225"/>
    <x v="81"/>
  </r>
  <r>
    <n v="907"/>
    <n v="554"/>
    <n v="29"/>
    <n v="3"/>
    <n v="4473"/>
    <n v="13419"/>
    <n v="4226.9699999999993"/>
    <x v="5"/>
    <s v="Chair"/>
    <n v="45922"/>
    <s v="Sep-2025"/>
    <n v="262"/>
    <x v="40"/>
  </r>
  <r>
    <n v="908"/>
    <n v="554"/>
    <n v="42"/>
    <n v="4"/>
    <n v="6254"/>
    <n v="25016"/>
    <n v="10506.72"/>
    <x v="6"/>
    <s v="Shampoo"/>
    <n v="45922"/>
    <s v="Sep-2025"/>
    <n v="262"/>
    <x v="40"/>
  </r>
  <r>
    <n v="909"/>
    <n v="555"/>
    <n v="36"/>
    <n v="4"/>
    <n v="5432"/>
    <n v="21728"/>
    <n v="7822.08"/>
    <x v="7"/>
    <s v="Cricket Bat"/>
    <n v="45925"/>
    <s v="Sep-2025"/>
    <n v="299"/>
    <x v="68"/>
  </r>
  <r>
    <n v="910"/>
    <n v="555"/>
    <n v="49"/>
    <n v="1"/>
    <n v="7213"/>
    <n v="7213"/>
    <n v="2272.09"/>
    <x v="8"/>
    <s v="Remote Car"/>
    <n v="45925"/>
    <s v="Sep-2025"/>
    <n v="299"/>
    <x v="68"/>
  </r>
  <r>
    <n v="911"/>
    <n v="556"/>
    <n v="43"/>
    <n v="1"/>
    <n v="6391"/>
    <n v="6391"/>
    <n v="2588.35"/>
    <x v="6"/>
    <s v="Perfume"/>
    <n v="45928"/>
    <s v="Sep-2025"/>
    <n v="336"/>
    <x v="57"/>
  </r>
  <r>
    <n v="912"/>
    <n v="556"/>
    <n v="6"/>
    <n v="2"/>
    <n v="1322"/>
    <n v="2644"/>
    <n v="951.83999999999992"/>
    <x v="0"/>
    <s v="Mouse"/>
    <n v="45928"/>
    <s v="Sep-2025"/>
    <n v="336"/>
    <x v="57"/>
  </r>
  <r>
    <n v="913"/>
    <n v="557"/>
    <n v="50"/>
    <n v="2"/>
    <n v="7350"/>
    <n v="14700"/>
    <n v="6615"/>
    <x v="8"/>
    <s v="Building Blocks"/>
    <n v="45931"/>
    <s v="Oct-2025"/>
    <n v="373"/>
    <x v="216"/>
  </r>
  <r>
    <n v="914"/>
    <n v="557"/>
    <n v="13"/>
    <n v="3"/>
    <n v="2281"/>
    <n v="6843"/>
    <n v="2771.3999999999996"/>
    <x v="2"/>
    <s v="Shirt"/>
    <n v="45931"/>
    <s v="Oct-2025"/>
    <n v="373"/>
    <x v="216"/>
  </r>
  <r>
    <n v="915"/>
    <n v="558"/>
    <n v="7"/>
    <n v="3"/>
    <n v="1459"/>
    <n v="4377"/>
    <n v="1510.0500000000002"/>
    <x v="0"/>
    <s v="Monitor"/>
    <n v="45934"/>
    <s v="Oct-2025"/>
    <n v="410"/>
    <x v="33"/>
  </r>
  <r>
    <n v="916"/>
    <n v="558"/>
    <n v="20"/>
    <n v="4"/>
    <n v="3240"/>
    <n v="12960"/>
    <n v="5832"/>
    <x v="2"/>
    <s v="Belt"/>
    <n v="45934"/>
    <s v="Oct-2025"/>
    <n v="410"/>
    <x v="33"/>
  </r>
  <r>
    <n v="917"/>
    <n v="559"/>
    <n v="14"/>
    <n v="4"/>
    <n v="2418"/>
    <n v="9672"/>
    <n v="3772.08"/>
    <x v="2"/>
    <s v="Jacket"/>
    <n v="45937"/>
    <s v="Oct-2025"/>
    <n v="447"/>
    <x v="305"/>
  </r>
  <r>
    <n v="918"/>
    <n v="559"/>
    <n v="27"/>
    <n v="1"/>
    <n v="4199"/>
    <n v="4199"/>
    <n v="1448.65"/>
    <x v="3"/>
    <s v="Cookware Set"/>
    <n v="45937"/>
    <s v="Oct-2025"/>
    <n v="447"/>
    <x v="305"/>
  </r>
  <r>
    <n v="919"/>
    <n v="560"/>
    <n v="21"/>
    <n v="1"/>
    <n v="3377"/>
    <n v="3377"/>
    <n v="1468.99"/>
    <x v="1"/>
    <s v="Mixer"/>
    <n v="45940"/>
    <s v="Oct-2025"/>
    <n v="484"/>
    <x v="44"/>
  </r>
  <r>
    <n v="920"/>
    <n v="560"/>
    <n v="34"/>
    <n v="2"/>
    <n v="5158"/>
    <n v="10316"/>
    <n v="4023.24"/>
    <x v="4"/>
    <s v="Cookbook"/>
    <n v="45940"/>
    <s v="Oct-2025"/>
    <n v="484"/>
    <x v="44"/>
  </r>
  <r>
    <n v="921"/>
    <n v="561"/>
    <n v="28"/>
    <n v="2"/>
    <n v="4336"/>
    <n v="8672"/>
    <n v="2861.76"/>
    <x v="3"/>
    <s v="Bottle"/>
    <n v="45943"/>
    <s v="Oct-2025"/>
    <n v="21"/>
    <x v="306"/>
  </r>
  <r>
    <n v="922"/>
    <n v="561"/>
    <n v="41"/>
    <n v="3"/>
    <n v="6117"/>
    <n v="18351"/>
    <n v="7982.67"/>
    <x v="6"/>
    <s v="Face Wash"/>
    <n v="45943"/>
    <s v="Oct-2025"/>
    <n v="21"/>
    <x v="306"/>
  </r>
  <r>
    <n v="923"/>
    <n v="562"/>
    <n v="35"/>
    <n v="3"/>
    <n v="5295"/>
    <n v="15885"/>
    <n v="5956.86"/>
    <x v="4"/>
    <s v="Novel"/>
    <n v="45946"/>
    <s v="Oct-2025"/>
    <n v="58"/>
    <x v="112"/>
  </r>
  <r>
    <n v="924"/>
    <n v="562"/>
    <n v="48"/>
    <n v="4"/>
    <n v="7076"/>
    <n v="28304"/>
    <n v="9340.32"/>
    <x v="8"/>
    <s v="Board Game"/>
    <n v="45946"/>
    <s v="Oct-2025"/>
    <n v="58"/>
    <x v="112"/>
  </r>
  <r>
    <n v="925"/>
    <n v="563"/>
    <n v="42"/>
    <n v="4"/>
    <n v="6254"/>
    <n v="25016"/>
    <n v="10506.72"/>
    <x v="6"/>
    <s v="Shampoo"/>
    <n v="45949"/>
    <s v="Oct-2025"/>
    <n v="95"/>
    <x v="262"/>
  </r>
  <r>
    <n v="926"/>
    <n v="563"/>
    <n v="5"/>
    <n v="1"/>
    <n v="1185"/>
    <n v="1185"/>
    <n v="444.38"/>
    <x v="0"/>
    <s v="Keyboard"/>
    <n v="45949"/>
    <s v="Oct-2025"/>
    <n v="95"/>
    <x v="262"/>
  </r>
  <r>
    <n v="927"/>
    <n v="564"/>
    <n v="49"/>
    <n v="1"/>
    <n v="7213"/>
    <n v="7213"/>
    <n v="2272.09"/>
    <x v="8"/>
    <s v="Remote Car"/>
    <n v="45952"/>
    <s v="Oct-2025"/>
    <n v="132"/>
    <x v="307"/>
  </r>
  <r>
    <n v="928"/>
    <n v="564"/>
    <n v="12"/>
    <n v="2"/>
    <n v="2144"/>
    <n v="4288"/>
    <n v="1800.96"/>
    <x v="2"/>
    <s v="Jeans"/>
    <n v="45952"/>
    <s v="Oct-2025"/>
    <n v="132"/>
    <x v="307"/>
  </r>
  <r>
    <n v="929"/>
    <n v="565"/>
    <n v="6"/>
    <n v="2"/>
    <n v="1322"/>
    <n v="2644"/>
    <n v="951.83999999999992"/>
    <x v="0"/>
    <s v="Mouse"/>
    <n v="45955"/>
    <s v="Oct-2025"/>
    <n v="169"/>
    <x v="136"/>
  </r>
  <r>
    <n v="930"/>
    <n v="565"/>
    <n v="19"/>
    <n v="3"/>
    <n v="3103"/>
    <n v="9309"/>
    <n v="2932.32"/>
    <x v="2"/>
    <s v="Wallet"/>
    <n v="45955"/>
    <s v="Oct-2025"/>
    <n v="169"/>
    <x v="136"/>
  </r>
  <r>
    <n v="931"/>
    <n v="566"/>
    <n v="13"/>
    <n v="3"/>
    <n v="2281"/>
    <n v="6843"/>
    <n v="2771.3999999999996"/>
    <x v="2"/>
    <s v="Shirt"/>
    <n v="45958"/>
    <s v="Oct-2025"/>
    <n v="206"/>
    <x v="13"/>
  </r>
  <r>
    <n v="932"/>
    <n v="566"/>
    <n v="26"/>
    <n v="4"/>
    <n v="4062"/>
    <n v="16248"/>
    <n v="5849.2800000000007"/>
    <x v="3"/>
    <s v="Bedsheet"/>
    <n v="45958"/>
    <s v="Oct-2025"/>
    <n v="206"/>
    <x v="13"/>
  </r>
  <r>
    <n v="933"/>
    <n v="567"/>
    <n v="20"/>
    <n v="4"/>
    <n v="3240"/>
    <n v="12960"/>
    <n v="5832"/>
    <x v="2"/>
    <s v="Belt"/>
    <n v="45961"/>
    <s v="Oct-2025"/>
    <n v="243"/>
    <x v="308"/>
  </r>
  <r>
    <n v="934"/>
    <n v="567"/>
    <n v="33"/>
    <n v="1"/>
    <n v="5021"/>
    <n v="5021"/>
    <n v="2033.5"/>
    <x v="4"/>
    <s v="Pen Set"/>
    <n v="45961"/>
    <s v="Oct-2025"/>
    <n v="243"/>
    <x v="308"/>
  </r>
  <r>
    <n v="935"/>
    <n v="568"/>
    <n v="27"/>
    <n v="1"/>
    <n v="4199"/>
    <n v="4199"/>
    <n v="1448.65"/>
    <x v="3"/>
    <s v="Cookware Set"/>
    <n v="45964"/>
    <s v="Nov-2025"/>
    <n v="280"/>
    <x v="309"/>
  </r>
  <r>
    <n v="936"/>
    <n v="568"/>
    <n v="40"/>
    <n v="2"/>
    <n v="5980"/>
    <n v="11960"/>
    <n v="5382"/>
    <x v="7"/>
    <s v="Dumbbells"/>
    <n v="45964"/>
    <s v="Nov-2025"/>
    <n v="280"/>
    <x v="309"/>
  </r>
  <r>
    <n v="937"/>
    <n v="569"/>
    <n v="34"/>
    <n v="2"/>
    <n v="5158"/>
    <n v="10316"/>
    <n v="4023.24"/>
    <x v="4"/>
    <s v="Cookbook"/>
    <n v="45967"/>
    <s v="Nov-2025"/>
    <n v="317"/>
    <x v="204"/>
  </r>
  <r>
    <n v="938"/>
    <n v="569"/>
    <n v="47"/>
    <n v="3"/>
    <n v="6939"/>
    <n v="20817"/>
    <n v="7181.8499999999995"/>
    <x v="8"/>
    <s v="Puzzle"/>
    <n v="45967"/>
    <s v="Nov-2025"/>
    <n v="317"/>
    <x v="204"/>
  </r>
  <r>
    <n v="939"/>
    <n v="570"/>
    <n v="41"/>
    <n v="3"/>
    <n v="6117"/>
    <n v="18351"/>
    <n v="7982.67"/>
    <x v="6"/>
    <s v="Face Wash"/>
    <n v="45970"/>
    <s v="Nov-2025"/>
    <n v="354"/>
    <x v="67"/>
  </r>
  <r>
    <n v="940"/>
    <n v="570"/>
    <n v="4"/>
    <n v="4"/>
    <n v="1048"/>
    <n v="4192"/>
    <n v="1634.88"/>
    <x v="0"/>
    <s v="Smart Watch"/>
    <n v="45970"/>
    <s v="Nov-2025"/>
    <n v="354"/>
    <x v="67"/>
  </r>
  <r>
    <n v="941"/>
    <n v="571"/>
    <n v="48"/>
    <n v="4"/>
    <n v="7076"/>
    <n v="28304"/>
    <n v="9340.32"/>
    <x v="8"/>
    <s v="Board Game"/>
    <n v="45973"/>
    <s v="Nov-2025"/>
    <n v="391"/>
    <x v="86"/>
  </r>
  <r>
    <n v="942"/>
    <n v="571"/>
    <n v="11"/>
    <n v="1"/>
    <n v="2007"/>
    <n v="2007"/>
    <n v="873.04"/>
    <x v="2"/>
    <s v="T-Shirt"/>
    <n v="45973"/>
    <s v="Nov-2025"/>
    <n v="391"/>
    <x v="86"/>
  </r>
  <r>
    <n v="943"/>
    <n v="572"/>
    <n v="5"/>
    <n v="1"/>
    <n v="1185"/>
    <n v="1185"/>
    <n v="444.38"/>
    <x v="0"/>
    <s v="Keyboard"/>
    <n v="45976"/>
    <s v="Nov-2025"/>
    <n v="428"/>
    <x v="310"/>
  </r>
  <r>
    <n v="944"/>
    <n v="572"/>
    <n v="18"/>
    <n v="2"/>
    <n v="2966"/>
    <n v="5932"/>
    <n v="1957.56"/>
    <x v="2"/>
    <s v="Backpack"/>
    <n v="45976"/>
    <s v="Nov-2025"/>
    <n v="428"/>
    <x v="310"/>
  </r>
  <r>
    <n v="945"/>
    <n v="573"/>
    <n v="12"/>
    <n v="2"/>
    <n v="2144"/>
    <n v="4288"/>
    <n v="1800.96"/>
    <x v="2"/>
    <s v="Jeans"/>
    <n v="45979"/>
    <s v="Nov-2025"/>
    <n v="465"/>
    <x v="65"/>
  </r>
  <r>
    <n v="946"/>
    <n v="573"/>
    <n v="25"/>
    <n v="3"/>
    <n v="3925"/>
    <n v="11775"/>
    <n v="4415.6400000000003"/>
    <x v="1"/>
    <s v="Vacuum Cleaner"/>
    <n v="45979"/>
    <s v="Nov-2025"/>
    <n v="465"/>
    <x v="65"/>
  </r>
  <r>
    <n v="947"/>
    <n v="574"/>
    <n v="19"/>
    <n v="3"/>
    <n v="3103"/>
    <n v="9309"/>
    <n v="2932.32"/>
    <x v="2"/>
    <s v="Wallet"/>
    <n v="45982"/>
    <s v="Nov-2025"/>
    <n v="2"/>
    <x v="98"/>
  </r>
  <r>
    <n v="948"/>
    <n v="574"/>
    <n v="32"/>
    <n v="4"/>
    <n v="4884"/>
    <n v="19536"/>
    <n v="8205.1200000000008"/>
    <x v="4"/>
    <s v="Notebook"/>
    <n v="45982"/>
    <s v="Nov-2025"/>
    <n v="2"/>
    <x v="98"/>
  </r>
  <r>
    <n v="949"/>
    <n v="575"/>
    <n v="26"/>
    <n v="4"/>
    <n v="4062"/>
    <n v="16248"/>
    <n v="5849.2800000000007"/>
    <x v="3"/>
    <s v="Bedsheet"/>
    <n v="45985"/>
    <s v="Nov-2025"/>
    <n v="39"/>
    <x v="311"/>
  </r>
  <r>
    <n v="950"/>
    <n v="575"/>
    <n v="39"/>
    <n v="1"/>
    <n v="5843"/>
    <n v="5843"/>
    <n v="1840.54"/>
    <x v="7"/>
    <s v="Yoga Mat"/>
    <n v="45985"/>
    <s v="Nov-2025"/>
    <n v="39"/>
    <x v="311"/>
  </r>
  <r>
    <n v="951"/>
    <n v="576"/>
    <n v="33"/>
    <n v="1"/>
    <n v="5021"/>
    <n v="5021"/>
    <n v="2033.5"/>
    <x v="4"/>
    <s v="Pen Set"/>
    <n v="45988"/>
    <s v="Nov-2025"/>
    <n v="76"/>
    <x v="145"/>
  </r>
  <r>
    <n v="952"/>
    <n v="576"/>
    <n v="46"/>
    <n v="2"/>
    <n v="6802"/>
    <n v="13604"/>
    <n v="4897.4400000000005"/>
    <x v="8"/>
    <s v="Toys Car"/>
    <n v="45988"/>
    <s v="Nov-2025"/>
    <n v="76"/>
    <x v="145"/>
  </r>
  <r>
    <n v="953"/>
    <n v="577"/>
    <n v="40"/>
    <n v="2"/>
    <n v="5980"/>
    <n v="11960"/>
    <n v="5382"/>
    <x v="7"/>
    <s v="Dumbbells"/>
    <n v="45991"/>
    <s v="Nov-2025"/>
    <n v="113"/>
    <x v="312"/>
  </r>
  <r>
    <n v="954"/>
    <n v="577"/>
    <n v="3"/>
    <n v="3"/>
    <n v="911"/>
    <n v="2733"/>
    <n v="1106.8500000000001"/>
    <x v="0"/>
    <s v="Headphones"/>
    <n v="45991"/>
    <s v="Nov-2025"/>
    <n v="113"/>
    <x v="312"/>
  </r>
  <r>
    <n v="955"/>
    <n v="578"/>
    <n v="47"/>
    <n v="3"/>
    <n v="6939"/>
    <n v="20817"/>
    <n v="7181.8499999999995"/>
    <x v="8"/>
    <s v="Puzzle"/>
    <n v="45994"/>
    <s v="Dec-2025"/>
    <n v="150"/>
    <x v="82"/>
  </r>
  <r>
    <n v="956"/>
    <n v="578"/>
    <n v="10"/>
    <n v="4"/>
    <n v="1870"/>
    <n v="7480"/>
    <n v="3366"/>
    <x v="0"/>
    <s v="Earbuds"/>
    <n v="45994"/>
    <s v="Dec-2025"/>
    <n v="150"/>
    <x v="82"/>
  </r>
  <r>
    <n v="957"/>
    <n v="579"/>
    <n v="4"/>
    <n v="4"/>
    <n v="1048"/>
    <n v="4192"/>
    <n v="1634.88"/>
    <x v="0"/>
    <s v="Smart Watch"/>
    <n v="45997"/>
    <s v="Dec-2025"/>
    <n v="187"/>
    <x v="23"/>
  </r>
  <r>
    <n v="958"/>
    <n v="579"/>
    <n v="17"/>
    <n v="1"/>
    <n v="2829"/>
    <n v="2829"/>
    <n v="976"/>
    <x v="2"/>
    <s v="Dress"/>
    <n v="45997"/>
    <s v="Dec-2025"/>
    <n v="187"/>
    <x v="23"/>
  </r>
  <r>
    <n v="959"/>
    <n v="580"/>
    <n v="11"/>
    <n v="1"/>
    <n v="2007"/>
    <n v="2007"/>
    <n v="873.04"/>
    <x v="2"/>
    <s v="T-Shirt"/>
    <n v="46000"/>
    <s v="Dec-2025"/>
    <n v="224"/>
    <x v="313"/>
  </r>
  <r>
    <n v="960"/>
    <n v="580"/>
    <n v="24"/>
    <n v="2"/>
    <n v="3788"/>
    <n v="7576"/>
    <n v="2954.6400000000003"/>
    <x v="1"/>
    <s v="Iron"/>
    <n v="46000"/>
    <s v="Dec-2025"/>
    <n v="224"/>
    <x v="313"/>
  </r>
  <r>
    <n v="961"/>
    <n v="581"/>
    <n v="18"/>
    <n v="2"/>
    <n v="2966"/>
    <n v="5932"/>
    <n v="1957.56"/>
    <x v="2"/>
    <s v="Backpack"/>
    <n v="46003"/>
    <s v="Dec-2025"/>
    <n v="261"/>
    <x v="51"/>
  </r>
  <r>
    <n v="962"/>
    <n v="581"/>
    <n v="31"/>
    <n v="3"/>
    <n v="4747"/>
    <n v="14241"/>
    <n v="6194.82"/>
    <x v="4"/>
    <s v="Book"/>
    <n v="46003"/>
    <s v="Dec-2025"/>
    <n v="261"/>
    <x v="51"/>
  </r>
  <r>
    <n v="963"/>
    <n v="582"/>
    <n v="25"/>
    <n v="3"/>
    <n v="3925"/>
    <n v="11775"/>
    <n v="4415.6400000000003"/>
    <x v="1"/>
    <s v="Vacuum Cleaner"/>
    <n v="46006"/>
    <s v="Dec-2025"/>
    <n v="298"/>
    <x v="314"/>
  </r>
  <r>
    <n v="964"/>
    <n v="582"/>
    <n v="38"/>
    <n v="4"/>
    <n v="5706"/>
    <n v="22824"/>
    <n v="7531.92"/>
    <x v="7"/>
    <s v="Badminton Racket"/>
    <n v="46006"/>
    <s v="Dec-2025"/>
    <n v="298"/>
    <x v="314"/>
  </r>
  <r>
    <n v="965"/>
    <n v="583"/>
    <n v="32"/>
    <n v="4"/>
    <n v="4884"/>
    <n v="19536"/>
    <n v="8205.1200000000008"/>
    <x v="4"/>
    <s v="Notebook"/>
    <n v="46009"/>
    <s v="Dec-2025"/>
    <n v="335"/>
    <x v="280"/>
  </r>
  <r>
    <n v="966"/>
    <n v="583"/>
    <n v="45"/>
    <n v="1"/>
    <n v="6665"/>
    <n v="6665"/>
    <n v="2499.38"/>
    <x v="6"/>
    <s v="Sunscreen"/>
    <n v="46009"/>
    <s v="Dec-2025"/>
    <n v="335"/>
    <x v="280"/>
  </r>
  <r>
    <n v="967"/>
    <n v="584"/>
    <n v="39"/>
    <n v="1"/>
    <n v="5843"/>
    <n v="5843"/>
    <n v="1840.54"/>
    <x v="7"/>
    <s v="Yoga Mat"/>
    <n v="46012"/>
    <s v="Dec-2025"/>
    <n v="372"/>
    <x v="108"/>
  </r>
  <r>
    <n v="968"/>
    <n v="584"/>
    <n v="2"/>
    <n v="2"/>
    <n v="774"/>
    <n v="1548"/>
    <n v="650.16"/>
    <x v="0"/>
    <s v="Mobile"/>
    <n v="46012"/>
    <s v="Dec-2025"/>
    <n v="372"/>
    <x v="108"/>
  </r>
  <r>
    <n v="969"/>
    <n v="585"/>
    <n v="46"/>
    <n v="2"/>
    <n v="6802"/>
    <n v="13604"/>
    <n v="4897.4400000000005"/>
    <x v="8"/>
    <s v="Toys Car"/>
    <n v="46015"/>
    <s v="Dec-2025"/>
    <n v="409"/>
    <x v="3"/>
  </r>
  <r>
    <n v="970"/>
    <n v="585"/>
    <n v="9"/>
    <n v="3"/>
    <n v="1733"/>
    <n v="5199"/>
    <n v="1637.6700000000003"/>
    <x v="0"/>
    <s v="Power Bank"/>
    <n v="46015"/>
    <s v="Dec-2025"/>
    <n v="409"/>
    <x v="3"/>
  </r>
  <r>
    <n v="971"/>
    <n v="586"/>
    <n v="3"/>
    <n v="3"/>
    <n v="911"/>
    <n v="2733"/>
    <n v="1106.8500000000001"/>
    <x v="0"/>
    <s v="Headphones"/>
    <n v="46018"/>
    <s v="Dec-2025"/>
    <n v="446"/>
    <x v="218"/>
  </r>
  <r>
    <n v="972"/>
    <n v="586"/>
    <n v="16"/>
    <n v="4"/>
    <n v="2692"/>
    <n v="10768"/>
    <n v="3876.4799999999996"/>
    <x v="2"/>
    <s v="Saree"/>
    <n v="46018"/>
    <s v="Dec-2025"/>
    <n v="446"/>
    <x v="218"/>
  </r>
  <r>
    <n v="973"/>
    <n v="587"/>
    <n v="10"/>
    <n v="4"/>
    <n v="1870"/>
    <n v="7480"/>
    <n v="3366"/>
    <x v="0"/>
    <s v="Earbuds"/>
    <n v="46021"/>
    <s v="Dec-2025"/>
    <n v="483"/>
    <x v="300"/>
  </r>
  <r>
    <n v="974"/>
    <n v="587"/>
    <n v="23"/>
    <n v="1"/>
    <n v="3651"/>
    <n v="3651"/>
    <n v="1478.65"/>
    <x v="1"/>
    <s v="Fan"/>
    <n v="46021"/>
    <s v="Dec-2025"/>
    <n v="483"/>
    <x v="300"/>
  </r>
  <r>
    <n v="975"/>
    <n v="588"/>
    <n v="17"/>
    <n v="1"/>
    <n v="2829"/>
    <n v="2829"/>
    <n v="976"/>
    <x v="2"/>
    <s v="Dress"/>
    <n v="45659"/>
    <s v="Jan-2025"/>
    <n v="20"/>
    <x v="259"/>
  </r>
  <r>
    <n v="976"/>
    <n v="588"/>
    <n v="30"/>
    <n v="2"/>
    <n v="4610"/>
    <n v="9220"/>
    <n v="4149"/>
    <x v="5"/>
    <s v="Table"/>
    <n v="45659"/>
    <s v="Jan-2025"/>
    <n v="20"/>
    <x v="259"/>
  </r>
  <r>
    <n v="977"/>
    <n v="589"/>
    <n v="24"/>
    <n v="2"/>
    <n v="3788"/>
    <n v="7576"/>
    <n v="2954.6400000000003"/>
    <x v="1"/>
    <s v="Iron"/>
    <n v="45662"/>
    <s v="Jan-2025"/>
    <n v="57"/>
    <x v="315"/>
  </r>
  <r>
    <n v="978"/>
    <n v="589"/>
    <n v="37"/>
    <n v="3"/>
    <n v="5569"/>
    <n v="16707"/>
    <n v="5763.9000000000005"/>
    <x v="7"/>
    <s v="Football"/>
    <n v="45662"/>
    <s v="Jan-2025"/>
    <n v="57"/>
    <x v="315"/>
  </r>
  <r>
    <n v="979"/>
    <n v="590"/>
    <n v="31"/>
    <n v="3"/>
    <n v="4747"/>
    <n v="14241"/>
    <n v="6194.82"/>
    <x v="4"/>
    <s v="Book"/>
    <n v="45665"/>
    <s v="Jan-2025"/>
    <n v="94"/>
    <x v="15"/>
  </r>
  <r>
    <n v="980"/>
    <n v="590"/>
    <n v="44"/>
    <n v="4"/>
    <n v="6528"/>
    <n v="26112"/>
    <n v="10183.68"/>
    <x v="6"/>
    <s v="Moisturizer"/>
    <n v="45665"/>
    <s v="Jan-2025"/>
    <n v="94"/>
    <x v="15"/>
  </r>
  <r>
    <n v="981"/>
    <n v="591"/>
    <n v="38"/>
    <n v="4"/>
    <n v="5706"/>
    <n v="22824"/>
    <n v="7531.92"/>
    <x v="7"/>
    <s v="Badminton Racket"/>
    <n v="45668"/>
    <s v="Jan-2025"/>
    <n v="131"/>
    <x v="204"/>
  </r>
  <r>
    <n v="982"/>
    <n v="591"/>
    <n v="1"/>
    <n v="1"/>
    <n v="637"/>
    <n v="637"/>
    <n v="277.08999999999997"/>
    <x v="0"/>
    <s v="Laptop"/>
    <n v="45668"/>
    <s v="Jan-2025"/>
    <n v="131"/>
    <x v="204"/>
  </r>
  <r>
    <n v="983"/>
    <n v="592"/>
    <n v="45"/>
    <n v="1"/>
    <n v="6665"/>
    <n v="6665"/>
    <n v="2499.38"/>
    <x v="6"/>
    <s v="Sunscreen"/>
    <n v="45671"/>
    <s v="Jan-2025"/>
    <n v="168"/>
    <x v="137"/>
  </r>
  <r>
    <n v="984"/>
    <n v="592"/>
    <n v="8"/>
    <n v="2"/>
    <n v="1596"/>
    <n v="3192"/>
    <n v="1053.3600000000001"/>
    <x v="0"/>
    <s v="Tablet"/>
    <n v="45671"/>
    <s v="Jan-2025"/>
    <n v="168"/>
    <x v="137"/>
  </r>
  <r>
    <n v="985"/>
    <n v="593"/>
    <n v="2"/>
    <n v="2"/>
    <n v="774"/>
    <n v="1548"/>
    <n v="650.16"/>
    <x v="0"/>
    <s v="Mobile"/>
    <n v="45674"/>
    <s v="Jan-2025"/>
    <n v="205"/>
    <x v="237"/>
  </r>
  <r>
    <n v="986"/>
    <n v="593"/>
    <n v="15"/>
    <n v="3"/>
    <n v="2555"/>
    <n v="7665"/>
    <n v="2874.3599999999997"/>
    <x v="2"/>
    <s v="Shoes"/>
    <n v="45674"/>
    <s v="Jan-2025"/>
    <n v="205"/>
    <x v="237"/>
  </r>
  <r>
    <n v="987"/>
    <n v="594"/>
    <n v="9"/>
    <n v="3"/>
    <n v="1733"/>
    <n v="5199"/>
    <n v="1637.6700000000003"/>
    <x v="0"/>
    <s v="Power Bank"/>
    <n v="45677"/>
    <s v="Jan-2025"/>
    <n v="242"/>
    <x v="213"/>
  </r>
  <r>
    <n v="988"/>
    <n v="594"/>
    <n v="22"/>
    <n v="4"/>
    <n v="3514"/>
    <n v="14056"/>
    <n v="5903.52"/>
    <x v="1"/>
    <s v="Microwave"/>
    <n v="45677"/>
    <s v="Jan-2025"/>
    <n v="242"/>
    <x v="213"/>
  </r>
  <r>
    <n v="989"/>
    <n v="595"/>
    <n v="16"/>
    <n v="4"/>
    <n v="2692"/>
    <n v="10768"/>
    <n v="3876.4799999999996"/>
    <x v="2"/>
    <s v="Saree"/>
    <n v="45680"/>
    <s v="Jan-2025"/>
    <n v="279"/>
    <x v="35"/>
  </r>
  <r>
    <n v="990"/>
    <n v="595"/>
    <n v="29"/>
    <n v="1"/>
    <n v="4473"/>
    <n v="4473"/>
    <n v="1408.9899999999998"/>
    <x v="5"/>
    <s v="Chair"/>
    <n v="45680"/>
    <s v="Jan-2025"/>
    <n v="279"/>
    <x v="35"/>
  </r>
  <r>
    <n v="991"/>
    <n v="596"/>
    <n v="23"/>
    <n v="1"/>
    <n v="3651"/>
    <n v="3651"/>
    <n v="1478.65"/>
    <x v="1"/>
    <s v="Fan"/>
    <n v="45683"/>
    <s v="Jan-2025"/>
    <n v="316"/>
    <x v="203"/>
  </r>
  <r>
    <n v="992"/>
    <n v="596"/>
    <n v="36"/>
    <n v="2"/>
    <n v="5432"/>
    <n v="10864"/>
    <n v="3911.04"/>
    <x v="7"/>
    <s v="Cricket Bat"/>
    <n v="45683"/>
    <s v="Jan-2025"/>
    <n v="316"/>
    <x v="203"/>
  </r>
  <r>
    <n v="993"/>
    <n v="597"/>
    <n v="30"/>
    <n v="2"/>
    <n v="4610"/>
    <n v="9220"/>
    <n v="4149"/>
    <x v="5"/>
    <s v="Table"/>
    <n v="45686"/>
    <s v="Jan-2025"/>
    <n v="353"/>
    <x v="268"/>
  </r>
  <r>
    <n v="994"/>
    <n v="597"/>
    <n v="43"/>
    <n v="3"/>
    <n v="6391"/>
    <n v="19173"/>
    <n v="7765.0499999999993"/>
    <x v="6"/>
    <s v="Perfume"/>
    <n v="45686"/>
    <s v="Jan-2025"/>
    <n v="353"/>
    <x v="268"/>
  </r>
  <r>
    <n v="995"/>
    <n v="598"/>
    <n v="37"/>
    <n v="3"/>
    <n v="5569"/>
    <n v="16707"/>
    <n v="5763.9000000000005"/>
    <x v="7"/>
    <s v="Football"/>
    <n v="45689"/>
    <s v="Feb-2025"/>
    <n v="390"/>
    <x v="316"/>
  </r>
  <r>
    <n v="996"/>
    <n v="598"/>
    <n v="50"/>
    <n v="4"/>
    <n v="7350"/>
    <n v="29400"/>
    <n v="13230"/>
    <x v="8"/>
    <s v="Building Blocks"/>
    <n v="45689"/>
    <s v="Feb-2025"/>
    <n v="390"/>
    <x v="316"/>
  </r>
  <r>
    <n v="997"/>
    <n v="599"/>
    <n v="44"/>
    <n v="4"/>
    <n v="6528"/>
    <n v="26112"/>
    <n v="10183.68"/>
    <x v="6"/>
    <s v="Moisturizer"/>
    <n v="45692"/>
    <s v="Feb-2025"/>
    <n v="427"/>
    <x v="151"/>
  </r>
  <r>
    <n v="998"/>
    <n v="599"/>
    <n v="7"/>
    <n v="1"/>
    <n v="1459"/>
    <n v="1459"/>
    <n v="503.35"/>
    <x v="0"/>
    <s v="Monitor"/>
    <n v="45692"/>
    <s v="Feb-2025"/>
    <n v="427"/>
    <x v="151"/>
  </r>
  <r>
    <n v="999"/>
    <n v="600"/>
    <n v="1"/>
    <n v="1"/>
    <n v="637"/>
    <n v="637"/>
    <n v="277.08999999999997"/>
    <x v="0"/>
    <s v="Laptop"/>
    <n v="45695"/>
    <s v="Feb-2025"/>
    <n v="464"/>
    <x v="317"/>
  </r>
  <r>
    <n v="1000"/>
    <n v="600"/>
    <n v="14"/>
    <n v="2"/>
    <n v="2418"/>
    <n v="4836"/>
    <n v="1886.04"/>
    <x v="2"/>
    <s v="Jacket"/>
    <n v="45695"/>
    <s v="Feb-2025"/>
    <n v="464"/>
    <x v="31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101"/>
    <d v="2025-01-01T00:00:00"/>
    <x v="0"/>
    <s v="Paid"/>
    <n v="13323"/>
  </r>
  <r>
    <n v="2"/>
    <n v="102"/>
    <d v="2025-01-04T00:00:00"/>
    <x v="1"/>
    <s v="Paid"/>
    <n v="25009"/>
  </r>
  <r>
    <n v="3"/>
    <n v="103"/>
    <d v="2025-01-07T00:00:00"/>
    <x v="2"/>
    <s v="Paid"/>
    <n v="19351"/>
  </r>
  <r>
    <n v="4"/>
    <n v="104"/>
    <d v="2025-01-10T00:00:00"/>
    <x v="3"/>
    <s v="Paid"/>
    <n v="16981"/>
  </r>
  <r>
    <n v="5"/>
    <n v="105"/>
    <d v="2025-01-13T00:00:00"/>
    <x v="4"/>
    <s v="Paid"/>
    <n v="32503"/>
  </r>
  <r>
    <n v="6"/>
    <n v="106"/>
    <d v="2025-01-16T00:00:00"/>
    <x v="0"/>
    <s v="Paid"/>
    <n v="24461"/>
  </r>
  <r>
    <n v="7"/>
    <n v="107"/>
    <d v="2025-01-19T00:00:00"/>
    <x v="1"/>
    <s v="Paid"/>
    <n v="31681"/>
  </r>
  <r>
    <n v="8"/>
    <n v="108"/>
    <d v="2025-01-22T00:00:00"/>
    <x v="2"/>
    <s v="Paid"/>
    <n v="7939"/>
  </r>
  <r>
    <n v="9"/>
    <n v="109"/>
    <d v="2025-01-25T00:00:00"/>
    <x v="3"/>
    <s v="Paid"/>
    <n v="17433"/>
  </r>
  <r>
    <n v="10"/>
    <n v="110"/>
    <d v="2025-01-28T00:00:00"/>
    <x v="4"/>
    <s v="Paid"/>
    <n v="30763"/>
  </r>
  <r>
    <n v="11"/>
    <n v="111"/>
    <d v="2025-01-31T00:00:00"/>
    <x v="0"/>
    <s v="Paid"/>
    <n v="23461"/>
  </r>
  <r>
    <n v="12"/>
    <n v="112"/>
    <d v="2025-02-03T00:00:00"/>
    <x v="1"/>
    <s v="Paid"/>
    <n v="19447"/>
  </r>
  <r>
    <n v="13"/>
    <n v="113"/>
    <d v="2025-02-06T00:00:00"/>
    <x v="2"/>
    <s v="Paid"/>
    <n v="16063"/>
  </r>
  <r>
    <n v="14"/>
    <n v="114"/>
    <d v="2025-02-09T00:00:00"/>
    <x v="3"/>
    <s v="Paid"/>
    <n v="30215"/>
  </r>
  <r>
    <n v="15"/>
    <n v="115"/>
    <d v="2025-02-12T00:00:00"/>
    <x v="4"/>
    <s v="Paid"/>
    <n v="8391"/>
  </r>
  <r>
    <n v="16"/>
    <n v="116"/>
    <d v="2025-02-15T00:00:00"/>
    <x v="0"/>
    <s v="Paid"/>
    <n v="10405"/>
  </r>
  <r>
    <n v="17"/>
    <n v="117"/>
    <d v="2025-02-18T00:00:00"/>
    <x v="1"/>
    <s v="Paid"/>
    <n v="21543"/>
  </r>
  <r>
    <n v="18"/>
    <n v="118"/>
    <d v="2025-02-21T00:00:00"/>
    <x v="2"/>
    <s v="Paid"/>
    <n v="36517"/>
  </r>
  <r>
    <n v="19"/>
    <n v="119"/>
    <d v="2025-02-24T00:00:00"/>
    <x v="3"/>
    <s v="Paid"/>
    <n v="27571"/>
  </r>
  <r>
    <n v="20"/>
    <n v="120"/>
    <d v="2025-02-27T00:00:00"/>
    <x v="4"/>
    <s v="Paid"/>
    <n v="8213"/>
  </r>
  <r>
    <n v="21"/>
    <n v="121"/>
    <d v="2025-03-02T00:00:00"/>
    <x v="0"/>
    <s v="Paid"/>
    <n v="20173"/>
  </r>
  <r>
    <n v="22"/>
    <n v="122"/>
    <d v="2025-03-05T00:00:00"/>
    <x v="1"/>
    <s v="Paid"/>
    <n v="15419"/>
  </r>
  <r>
    <n v="23"/>
    <n v="123"/>
    <d v="2025-03-08T00:00:00"/>
    <x v="2"/>
    <s v="Paid"/>
    <n v="12501"/>
  </r>
  <r>
    <n v="24"/>
    <n v="124"/>
    <d v="2025-03-11T00:00:00"/>
    <x v="3"/>
    <s v="Paid"/>
    <n v="12871"/>
  </r>
  <r>
    <n v="25"/>
    <n v="125"/>
    <d v="2025-03-14T00:00:00"/>
    <x v="4"/>
    <s v="Paid"/>
    <n v="25653"/>
  </r>
  <r>
    <n v="26"/>
    <n v="126"/>
    <d v="2025-03-17T00:00:00"/>
    <x v="0"/>
    <s v="Paid"/>
    <n v="42271"/>
  </r>
  <r>
    <n v="27"/>
    <n v="127"/>
    <d v="2025-03-20T00:00:00"/>
    <x v="1"/>
    <s v="Paid"/>
    <n v="24831"/>
  </r>
  <r>
    <n v="28"/>
    <n v="128"/>
    <d v="2025-03-23T00:00:00"/>
    <x v="2"/>
    <s v="Paid"/>
    <n v="10679"/>
  </r>
  <r>
    <n v="29"/>
    <n v="129"/>
    <d v="2025-03-26T00:00:00"/>
    <x v="3"/>
    <s v="Paid"/>
    <n v="10583"/>
  </r>
  <r>
    <n v="30"/>
    <n v="130"/>
    <d v="2025-03-29T00:00:00"/>
    <x v="4"/>
    <s v="Paid"/>
    <n v="21173"/>
  </r>
  <r>
    <n v="31"/>
    <n v="131"/>
    <d v="2025-04-01T00:00:00"/>
    <x v="0"/>
    <s v="Paid"/>
    <n v="16611"/>
  </r>
  <r>
    <n v="32"/>
    <n v="132"/>
    <d v="2025-04-04T00:00:00"/>
    <x v="1"/>
    <s v="Paid"/>
    <n v="15337"/>
  </r>
  <r>
    <n v="33"/>
    <n v="133"/>
    <d v="2025-04-07T00:00:00"/>
    <x v="2"/>
    <s v="Paid"/>
    <n v="29763"/>
  </r>
  <r>
    <n v="34"/>
    <n v="134"/>
    <d v="2025-04-10T00:00:00"/>
    <x v="3"/>
    <s v="Paid"/>
    <n v="20625"/>
  </r>
  <r>
    <n v="35"/>
    <n v="135"/>
    <d v="2025-04-13T00:00:00"/>
    <x v="4"/>
    <s v="Paid"/>
    <n v="28941"/>
  </r>
  <r>
    <n v="36"/>
    <n v="136"/>
    <d v="2025-04-16T00:00:00"/>
    <x v="0"/>
    <s v="Paid"/>
    <n v="6295"/>
  </r>
  <r>
    <n v="37"/>
    <n v="137"/>
    <d v="2025-04-19T00:00:00"/>
    <x v="1"/>
    <s v="Paid"/>
    <n v="14693"/>
  </r>
  <r>
    <n v="38"/>
    <n v="138"/>
    <d v="2025-04-22T00:00:00"/>
    <x v="2"/>
    <s v="Paid"/>
    <n v="26927"/>
  </r>
  <r>
    <n v="39"/>
    <n v="139"/>
    <d v="2025-04-25T00:00:00"/>
    <x v="3"/>
    <s v="Paid"/>
    <n v="20721"/>
  </r>
  <r>
    <n v="40"/>
    <n v="140"/>
    <d v="2025-04-28T00:00:00"/>
    <x v="4"/>
    <s v="Paid"/>
    <n v="17803"/>
  </r>
  <r>
    <n v="41"/>
    <n v="141"/>
    <d v="2025-05-01T00:00:00"/>
    <x v="0"/>
    <s v="Paid"/>
    <n v="13323"/>
  </r>
  <r>
    <n v="42"/>
    <n v="142"/>
    <d v="2025-05-04T00:00:00"/>
    <x v="1"/>
    <s v="Paid"/>
    <n v="26379"/>
  </r>
  <r>
    <n v="43"/>
    <n v="143"/>
    <d v="2025-05-07T00:00:00"/>
    <x v="2"/>
    <s v="Failed"/>
    <n v="5651"/>
  </r>
  <r>
    <n v="44"/>
    <n v="144"/>
    <d v="2025-05-10T00:00:00"/>
    <x v="3"/>
    <s v="Paid"/>
    <n v="8761"/>
  </r>
  <r>
    <n v="45"/>
    <n v="145"/>
    <d v="2025-05-13T00:00:00"/>
    <x v="4"/>
    <s v="Paid"/>
    <n v="18803"/>
  </r>
  <r>
    <n v="46"/>
    <n v="146"/>
    <d v="2025-05-16T00:00:00"/>
    <x v="0"/>
    <s v="Paid"/>
    <n v="32681"/>
  </r>
  <r>
    <n v="47"/>
    <n v="147"/>
    <d v="2025-05-19T00:00:00"/>
    <x v="1"/>
    <s v="Paid"/>
    <n v="24831"/>
  </r>
  <r>
    <n v="48"/>
    <n v="148"/>
    <d v="2025-05-22T00:00:00"/>
    <x v="2"/>
    <s v="Paid"/>
    <n v="20269"/>
  </r>
  <r>
    <n v="49"/>
    <n v="149"/>
    <d v="2025-05-25T00:00:00"/>
    <x v="3"/>
    <s v="Paid"/>
    <n v="17433"/>
  </r>
  <r>
    <n v="50"/>
    <n v="150"/>
    <d v="2025-05-28T00:00:00"/>
    <x v="4"/>
    <s v="Paid"/>
    <n v="11583"/>
  </r>
  <r>
    <n v="51"/>
    <n v="151"/>
    <d v="2025-05-31T00:00:00"/>
    <x v="0"/>
    <s v="Paid"/>
    <n v="9761"/>
  </r>
  <r>
    <n v="52"/>
    <n v="152"/>
    <d v="2025-06-03T00:00:00"/>
    <x v="1"/>
    <s v="Paid"/>
    <n v="11227"/>
  </r>
  <r>
    <n v="53"/>
    <n v="153"/>
    <d v="2025-06-06T00:00:00"/>
    <x v="2"/>
    <s v="Paid"/>
    <n v="22913"/>
  </r>
  <r>
    <n v="54"/>
    <n v="154"/>
    <d v="2025-06-09T00:00:00"/>
    <x v="3"/>
    <s v="Paid"/>
    <n v="38435"/>
  </r>
  <r>
    <n v="55"/>
    <n v="155"/>
    <d v="2025-06-12T00:00:00"/>
    <x v="4"/>
    <s v="Failed"/>
    <n v="28941"/>
  </r>
  <r>
    <n v="56"/>
    <n v="156"/>
    <d v="2025-06-15T00:00:00"/>
    <x v="0"/>
    <s v="Paid"/>
    <n v="9035"/>
  </r>
  <r>
    <n v="57"/>
    <n v="157"/>
    <d v="2025-06-18T00:00:00"/>
    <x v="1"/>
    <s v="Paid"/>
    <n v="21543"/>
  </r>
  <r>
    <n v="58"/>
    <n v="158"/>
    <d v="2025-06-21T00:00:00"/>
    <x v="2"/>
    <s v="Paid"/>
    <n v="17337"/>
  </r>
  <r>
    <n v="59"/>
    <n v="159"/>
    <d v="2025-06-24T00:00:00"/>
    <x v="3"/>
    <s v="Paid"/>
    <n v="13871"/>
  </r>
  <r>
    <n v="60"/>
    <n v="160"/>
    <d v="2025-06-27T00:00:00"/>
    <x v="4"/>
    <s v="Paid"/>
    <n v="13693"/>
  </r>
  <r>
    <n v="61"/>
    <n v="161"/>
    <d v="2025-06-30T00:00:00"/>
    <x v="0"/>
    <s v="Paid"/>
    <n v="27023"/>
  </r>
  <r>
    <n v="62"/>
    <n v="162"/>
    <d v="2025-07-03T00:00:00"/>
    <x v="1"/>
    <s v="Paid"/>
    <n v="44189"/>
  </r>
  <r>
    <n v="63"/>
    <n v="163"/>
    <d v="2025-07-06T00:00:00"/>
    <x v="2"/>
    <s v="Paid"/>
    <n v="26201"/>
  </r>
  <r>
    <n v="64"/>
    <n v="164"/>
    <d v="2025-07-09T00:00:00"/>
    <x v="3"/>
    <s v="Paid"/>
    <n v="11501"/>
  </r>
  <r>
    <n v="65"/>
    <n v="165"/>
    <d v="2025-07-12T00:00:00"/>
    <x v="4"/>
    <s v="Failed"/>
    <n v="11953"/>
  </r>
  <r>
    <n v="66"/>
    <n v="166"/>
    <d v="2025-07-15T00:00:00"/>
    <x v="0"/>
    <s v="Paid"/>
    <n v="23091"/>
  </r>
  <r>
    <n v="67"/>
    <n v="167"/>
    <d v="2025-07-18T00:00:00"/>
    <x v="1"/>
    <s v="Paid"/>
    <n v="17981"/>
  </r>
  <r>
    <n v="68"/>
    <n v="168"/>
    <d v="2025-07-21T00:00:00"/>
    <x v="2"/>
    <s v="Paid"/>
    <n v="16159"/>
  </r>
  <r>
    <n v="69"/>
    <n v="169"/>
    <d v="2025-07-24T00:00:00"/>
    <x v="3"/>
    <s v="Paid"/>
    <n v="31133"/>
  </r>
  <r>
    <n v="70"/>
    <n v="170"/>
    <d v="2025-07-27T00:00:00"/>
    <x v="4"/>
    <s v="Paid"/>
    <n v="22543"/>
  </r>
  <r>
    <n v="71"/>
    <n v="171"/>
    <d v="2025-07-30T00:00:00"/>
    <x v="0"/>
    <s v="Paid"/>
    <n v="30311"/>
  </r>
  <r>
    <n v="72"/>
    <n v="172"/>
    <d v="2025-08-02T00:00:00"/>
    <x v="1"/>
    <s v="Failed"/>
    <n v="7117"/>
  </r>
  <r>
    <n v="73"/>
    <n v="173"/>
    <d v="2025-08-05T00:00:00"/>
    <x v="2"/>
    <s v="Failed"/>
    <n v="16063"/>
  </r>
  <r>
    <n v="74"/>
    <n v="174"/>
    <d v="2025-08-08T00:00:00"/>
    <x v="3"/>
    <s v="Paid"/>
    <n v="28845"/>
  </r>
  <r>
    <n v="75"/>
    <n v="175"/>
    <d v="2025-08-11T00:00:00"/>
    <x v="4"/>
    <s v="Paid"/>
    <n v="22091"/>
  </r>
  <r>
    <n v="76"/>
    <n v="176"/>
    <d v="2025-08-14T00:00:00"/>
    <x v="0"/>
    <s v="Paid"/>
    <n v="18625"/>
  </r>
  <r>
    <n v="77"/>
    <n v="177"/>
    <d v="2025-08-17T00:00:00"/>
    <x v="1"/>
    <s v="Paid"/>
    <n v="14693"/>
  </r>
  <r>
    <n v="78"/>
    <n v="178"/>
    <d v="2025-08-20T00:00:00"/>
    <x v="2"/>
    <s v="Paid"/>
    <n v="28297"/>
  </r>
  <r>
    <n v="79"/>
    <n v="179"/>
    <d v="2025-08-23T00:00:00"/>
    <x v="3"/>
    <s v="Paid"/>
    <n v="7021"/>
  </r>
  <r>
    <n v="80"/>
    <n v="180"/>
    <d v="2025-08-26T00:00:00"/>
    <x v="4"/>
    <s v="Paid"/>
    <n v="9583"/>
  </r>
  <r>
    <n v="81"/>
    <n v="181"/>
    <d v="2025-08-29T00:00:00"/>
    <x v="0"/>
    <s v="Paid"/>
    <n v="20173"/>
  </r>
  <r>
    <n v="82"/>
    <n v="182"/>
    <d v="2025-09-01T00:00:00"/>
    <x v="1"/>
    <s v="Paid"/>
    <n v="34599"/>
  </r>
  <r>
    <n v="83"/>
    <n v="183"/>
    <d v="2025-09-04T00:00:00"/>
    <x v="2"/>
    <s v="Paid"/>
    <n v="26201"/>
  </r>
  <r>
    <n v="84"/>
    <n v="184"/>
    <d v="2025-09-07T00:00:00"/>
    <x v="3"/>
    <s v="Paid"/>
    <n v="7391"/>
  </r>
  <r>
    <n v="85"/>
    <n v="185"/>
    <d v="2025-09-10T00:00:00"/>
    <x v="4"/>
    <s v="Paid"/>
    <n v="18803"/>
  </r>
  <r>
    <n v="86"/>
    <n v="186"/>
    <d v="2025-09-13T00:00:00"/>
    <x v="0"/>
    <s v="Paid"/>
    <n v="13501"/>
  </r>
  <r>
    <n v="87"/>
    <n v="187"/>
    <d v="2025-09-16T00:00:00"/>
    <x v="1"/>
    <s v="Paid"/>
    <n v="11131"/>
  </r>
  <r>
    <n v="88"/>
    <n v="188"/>
    <d v="2025-09-19T00:00:00"/>
    <x v="2"/>
    <s v="Paid"/>
    <n v="12049"/>
  </r>
  <r>
    <n v="89"/>
    <n v="189"/>
    <d v="2025-09-22T00:00:00"/>
    <x v="3"/>
    <s v="Paid"/>
    <n v="24283"/>
  </r>
  <r>
    <n v="90"/>
    <n v="190"/>
    <d v="2025-09-25T00:00:00"/>
    <x v="4"/>
    <s v="Paid"/>
    <n v="40353"/>
  </r>
  <r>
    <n v="91"/>
    <n v="191"/>
    <d v="2025-09-28T00:00:00"/>
    <x v="0"/>
    <s v="Paid"/>
    <n v="23461"/>
  </r>
  <r>
    <n v="92"/>
    <n v="192"/>
    <d v="2025-10-01T00:00:00"/>
    <x v="1"/>
    <s v="Paid"/>
    <n v="9857"/>
  </r>
  <r>
    <n v="93"/>
    <n v="193"/>
    <d v="2025-10-04T00:00:00"/>
    <x v="2"/>
    <s v="Paid"/>
    <n v="9213"/>
  </r>
  <r>
    <n v="94"/>
    <n v="194"/>
    <d v="2025-10-07T00:00:00"/>
    <x v="3"/>
    <s v="Paid"/>
    <n v="19255"/>
  </r>
  <r>
    <n v="95"/>
    <n v="195"/>
    <d v="2025-10-10T00:00:00"/>
    <x v="4"/>
    <s v="Paid"/>
    <n v="15241"/>
  </r>
  <r>
    <n v="96"/>
    <n v="196"/>
    <d v="2025-10-13T00:00:00"/>
    <x v="0"/>
    <s v="Paid"/>
    <n v="14515"/>
  </r>
  <r>
    <n v="97"/>
    <n v="197"/>
    <d v="2025-10-16T00:00:00"/>
    <x v="1"/>
    <s v="Failed"/>
    <n v="28393"/>
  </r>
  <r>
    <n v="98"/>
    <n v="198"/>
    <d v="2025-10-19T00:00:00"/>
    <x v="2"/>
    <s v="Paid"/>
    <n v="46107"/>
  </r>
  <r>
    <n v="99"/>
    <n v="199"/>
    <d v="2025-10-22T00:00:00"/>
    <x v="3"/>
    <s v="Failed"/>
    <n v="27571"/>
  </r>
  <r>
    <n v="100"/>
    <n v="200"/>
    <d v="2025-10-25T00:00:00"/>
    <x v="4"/>
    <s v="Failed"/>
    <n v="5473"/>
  </r>
  <r>
    <n v="101"/>
    <n v="201"/>
    <d v="2025-10-28T00:00:00"/>
    <x v="0"/>
    <s v="Failed"/>
    <n v="13323"/>
  </r>
  <r>
    <n v="102"/>
    <n v="202"/>
    <d v="2025-10-31T00:00:00"/>
    <x v="1"/>
    <s v="Failed"/>
    <n v="25009"/>
  </r>
  <r>
    <n v="103"/>
    <n v="203"/>
    <d v="2025-11-03T00:00:00"/>
    <x v="2"/>
    <s v="Paid"/>
    <n v="19351"/>
  </r>
  <r>
    <n v="104"/>
    <n v="204"/>
    <d v="2025-11-06T00:00:00"/>
    <x v="3"/>
    <s v="Paid"/>
    <n v="16981"/>
  </r>
  <r>
    <n v="105"/>
    <n v="205"/>
    <d v="2025-11-09T00:00:00"/>
    <x v="4"/>
    <s v="Paid"/>
    <n v="32503"/>
  </r>
  <r>
    <n v="106"/>
    <n v="206"/>
    <d v="2025-11-12T00:00:00"/>
    <x v="0"/>
    <s v="Paid"/>
    <n v="24461"/>
  </r>
  <r>
    <n v="107"/>
    <n v="207"/>
    <d v="2025-11-15T00:00:00"/>
    <x v="1"/>
    <s v="Paid"/>
    <n v="31681"/>
  </r>
  <r>
    <n v="108"/>
    <n v="208"/>
    <d v="2025-11-18T00:00:00"/>
    <x v="2"/>
    <s v="Paid"/>
    <n v="7939"/>
  </r>
  <r>
    <n v="109"/>
    <n v="209"/>
    <d v="2025-11-21T00:00:00"/>
    <x v="3"/>
    <s v="Paid"/>
    <n v="17433"/>
  </r>
  <r>
    <n v="110"/>
    <n v="210"/>
    <d v="2025-11-24T00:00:00"/>
    <x v="4"/>
    <s v="Paid"/>
    <n v="30763"/>
  </r>
  <r>
    <n v="111"/>
    <n v="211"/>
    <d v="2025-11-27T00:00:00"/>
    <x v="0"/>
    <s v="Paid"/>
    <n v="23461"/>
  </r>
  <r>
    <n v="112"/>
    <n v="212"/>
    <d v="2025-11-30T00:00:00"/>
    <x v="1"/>
    <s v="Paid"/>
    <n v="19447"/>
  </r>
  <r>
    <n v="113"/>
    <n v="213"/>
    <d v="2025-12-03T00:00:00"/>
    <x v="2"/>
    <s v="Paid"/>
    <n v="16063"/>
  </r>
  <r>
    <n v="114"/>
    <n v="214"/>
    <d v="2025-12-06T00:00:00"/>
    <x v="3"/>
    <s v="Paid"/>
    <n v="30215"/>
  </r>
  <r>
    <n v="115"/>
    <n v="215"/>
    <d v="2025-12-09T00:00:00"/>
    <x v="4"/>
    <s v="Failed"/>
    <n v="8391"/>
  </r>
  <r>
    <n v="116"/>
    <n v="216"/>
    <d v="2025-12-12T00:00:00"/>
    <x v="0"/>
    <s v="Paid"/>
    <n v="10405"/>
  </r>
  <r>
    <n v="117"/>
    <n v="217"/>
    <d v="2025-12-15T00:00:00"/>
    <x v="1"/>
    <s v="Paid"/>
    <n v="21543"/>
  </r>
  <r>
    <n v="118"/>
    <n v="218"/>
    <d v="2025-12-18T00:00:00"/>
    <x v="2"/>
    <s v="Paid"/>
    <n v="36517"/>
  </r>
  <r>
    <n v="119"/>
    <n v="219"/>
    <d v="2025-12-21T00:00:00"/>
    <x v="3"/>
    <s v="Paid"/>
    <n v="27571"/>
  </r>
  <r>
    <n v="120"/>
    <n v="220"/>
    <d v="2025-12-24T00:00:00"/>
    <x v="4"/>
    <s v="Paid"/>
    <n v="8213"/>
  </r>
  <r>
    <n v="121"/>
    <n v="221"/>
    <d v="2025-12-27T00:00:00"/>
    <x v="0"/>
    <s v="Paid"/>
    <n v="20173"/>
  </r>
  <r>
    <n v="122"/>
    <n v="222"/>
    <d v="2025-12-30T00:00:00"/>
    <x v="1"/>
    <s v="Paid"/>
    <n v="15419"/>
  </r>
  <r>
    <n v="123"/>
    <n v="223"/>
    <d v="2025-01-02T00:00:00"/>
    <x v="2"/>
    <s v="Paid"/>
    <n v="12501"/>
  </r>
  <r>
    <n v="124"/>
    <n v="224"/>
    <d v="2025-01-05T00:00:00"/>
    <x v="3"/>
    <s v="Paid"/>
    <n v="12871"/>
  </r>
  <r>
    <n v="125"/>
    <n v="225"/>
    <d v="2025-01-08T00:00:00"/>
    <x v="4"/>
    <s v="Paid"/>
    <n v="25653"/>
  </r>
  <r>
    <n v="126"/>
    <n v="226"/>
    <d v="2025-01-11T00:00:00"/>
    <x v="0"/>
    <s v="Paid"/>
    <n v="42271"/>
  </r>
  <r>
    <n v="127"/>
    <n v="227"/>
    <d v="2025-01-14T00:00:00"/>
    <x v="1"/>
    <s v="Failed"/>
    <n v="24831"/>
  </r>
  <r>
    <n v="128"/>
    <n v="228"/>
    <d v="2025-01-17T00:00:00"/>
    <x v="2"/>
    <s v="Paid"/>
    <n v="10679"/>
  </r>
  <r>
    <n v="129"/>
    <n v="229"/>
    <d v="2025-01-20T00:00:00"/>
    <x v="3"/>
    <s v="Failed"/>
    <n v="10583"/>
  </r>
  <r>
    <n v="130"/>
    <n v="230"/>
    <d v="2025-01-23T00:00:00"/>
    <x v="4"/>
    <s v="Paid"/>
    <n v="21173"/>
  </r>
  <r>
    <n v="131"/>
    <n v="231"/>
    <d v="2025-01-26T00:00:00"/>
    <x v="0"/>
    <s v="Paid"/>
    <n v="16611"/>
  </r>
  <r>
    <n v="132"/>
    <n v="232"/>
    <d v="2025-01-29T00:00:00"/>
    <x v="1"/>
    <s v="Paid"/>
    <n v="15337"/>
  </r>
  <r>
    <n v="133"/>
    <n v="233"/>
    <d v="2025-02-01T00:00:00"/>
    <x v="2"/>
    <s v="Paid"/>
    <n v="29763"/>
  </r>
  <r>
    <n v="134"/>
    <n v="234"/>
    <d v="2025-02-04T00:00:00"/>
    <x v="3"/>
    <s v="Paid"/>
    <n v="20625"/>
  </r>
  <r>
    <n v="135"/>
    <n v="235"/>
    <d v="2025-02-07T00:00:00"/>
    <x v="4"/>
    <s v="Paid"/>
    <n v="28941"/>
  </r>
  <r>
    <n v="136"/>
    <n v="236"/>
    <d v="2025-02-10T00:00:00"/>
    <x v="0"/>
    <s v="Paid"/>
    <n v="6295"/>
  </r>
  <r>
    <n v="137"/>
    <n v="237"/>
    <d v="2025-02-13T00:00:00"/>
    <x v="1"/>
    <s v="Paid"/>
    <n v="14693"/>
  </r>
  <r>
    <n v="138"/>
    <n v="238"/>
    <d v="2025-02-16T00:00:00"/>
    <x v="2"/>
    <s v="Paid"/>
    <n v="26927"/>
  </r>
  <r>
    <n v="139"/>
    <n v="239"/>
    <d v="2025-02-19T00:00:00"/>
    <x v="3"/>
    <s v="Failed"/>
    <n v="20721"/>
  </r>
  <r>
    <n v="140"/>
    <n v="240"/>
    <d v="2025-02-22T00:00:00"/>
    <x v="4"/>
    <s v="Paid"/>
    <n v="17803"/>
  </r>
  <r>
    <n v="141"/>
    <n v="241"/>
    <d v="2025-02-25T00:00:00"/>
    <x v="0"/>
    <s v="Paid"/>
    <n v="13323"/>
  </r>
  <r>
    <n v="142"/>
    <n v="242"/>
    <d v="2025-02-28T00:00:00"/>
    <x v="1"/>
    <s v="Failed"/>
    <n v="26379"/>
  </r>
  <r>
    <n v="143"/>
    <n v="243"/>
    <d v="2025-03-03T00:00:00"/>
    <x v="2"/>
    <s v="Paid"/>
    <n v="5651"/>
  </r>
  <r>
    <n v="144"/>
    <n v="244"/>
    <d v="2025-03-06T00:00:00"/>
    <x v="3"/>
    <s v="Failed"/>
    <n v="8761"/>
  </r>
  <r>
    <n v="145"/>
    <n v="245"/>
    <d v="2025-03-09T00:00:00"/>
    <x v="4"/>
    <s v="Paid"/>
    <n v="18803"/>
  </r>
  <r>
    <n v="146"/>
    <n v="246"/>
    <d v="2025-03-12T00:00:00"/>
    <x v="0"/>
    <s v="Paid"/>
    <n v="32681"/>
  </r>
  <r>
    <n v="147"/>
    <n v="247"/>
    <d v="2025-03-15T00:00:00"/>
    <x v="1"/>
    <s v="Paid"/>
    <n v="24831"/>
  </r>
  <r>
    <n v="148"/>
    <n v="248"/>
    <d v="2025-03-18T00:00:00"/>
    <x v="2"/>
    <s v="Failed"/>
    <n v="20269"/>
  </r>
  <r>
    <n v="149"/>
    <n v="249"/>
    <d v="2025-03-21T00:00:00"/>
    <x v="3"/>
    <s v="Paid"/>
    <n v="17433"/>
  </r>
  <r>
    <n v="150"/>
    <n v="250"/>
    <d v="2025-03-24T00:00:00"/>
    <x v="4"/>
    <s v="Paid"/>
    <n v="11583"/>
  </r>
  <r>
    <n v="151"/>
    <n v="251"/>
    <d v="2025-03-27T00:00:00"/>
    <x v="0"/>
    <s v="Paid"/>
    <n v="9761"/>
  </r>
  <r>
    <n v="152"/>
    <n v="252"/>
    <d v="2025-03-30T00:00:00"/>
    <x v="1"/>
    <s v="Paid"/>
    <n v="11227"/>
  </r>
  <r>
    <n v="153"/>
    <n v="253"/>
    <d v="2025-04-02T00:00:00"/>
    <x v="2"/>
    <s v="Paid"/>
    <n v="22913"/>
  </r>
  <r>
    <n v="154"/>
    <n v="254"/>
    <d v="2025-04-05T00:00:00"/>
    <x v="3"/>
    <s v="Paid"/>
    <n v="38435"/>
  </r>
  <r>
    <n v="155"/>
    <n v="255"/>
    <d v="2025-04-08T00:00:00"/>
    <x v="4"/>
    <s v="Paid"/>
    <n v="28941"/>
  </r>
  <r>
    <n v="156"/>
    <n v="256"/>
    <d v="2025-04-11T00:00:00"/>
    <x v="0"/>
    <s v="Paid"/>
    <n v="9035"/>
  </r>
  <r>
    <n v="157"/>
    <n v="257"/>
    <d v="2025-04-14T00:00:00"/>
    <x v="1"/>
    <s v="Paid"/>
    <n v="21543"/>
  </r>
  <r>
    <n v="158"/>
    <n v="258"/>
    <d v="2025-04-17T00:00:00"/>
    <x v="2"/>
    <s v="Paid"/>
    <n v="17337"/>
  </r>
  <r>
    <n v="159"/>
    <n v="259"/>
    <d v="2025-04-20T00:00:00"/>
    <x v="3"/>
    <s v="Paid"/>
    <n v="13871"/>
  </r>
  <r>
    <n v="160"/>
    <n v="260"/>
    <d v="2025-04-23T00:00:00"/>
    <x v="4"/>
    <s v="Paid"/>
    <n v="13693"/>
  </r>
  <r>
    <n v="161"/>
    <n v="261"/>
    <d v="2025-04-26T00:00:00"/>
    <x v="0"/>
    <s v="Paid"/>
    <n v="27023"/>
  </r>
  <r>
    <n v="162"/>
    <n v="262"/>
    <d v="2025-04-29T00:00:00"/>
    <x v="1"/>
    <s v="Paid"/>
    <n v="44189"/>
  </r>
  <r>
    <n v="163"/>
    <n v="263"/>
    <d v="2025-05-02T00:00:00"/>
    <x v="2"/>
    <s v="Paid"/>
    <n v="26201"/>
  </r>
  <r>
    <n v="164"/>
    <n v="264"/>
    <d v="2025-05-05T00:00:00"/>
    <x v="3"/>
    <s v="Paid"/>
    <n v="11501"/>
  </r>
  <r>
    <n v="165"/>
    <n v="265"/>
    <d v="2025-05-08T00:00:00"/>
    <x v="4"/>
    <s v="Paid"/>
    <n v="11953"/>
  </r>
  <r>
    <n v="166"/>
    <n v="266"/>
    <d v="2025-05-11T00:00:00"/>
    <x v="0"/>
    <s v="Paid"/>
    <n v="23091"/>
  </r>
  <r>
    <n v="167"/>
    <n v="267"/>
    <d v="2025-05-14T00:00:00"/>
    <x v="1"/>
    <s v="Paid"/>
    <n v="17981"/>
  </r>
  <r>
    <n v="168"/>
    <n v="268"/>
    <d v="2025-05-17T00:00:00"/>
    <x v="2"/>
    <s v="Paid"/>
    <n v="16159"/>
  </r>
  <r>
    <n v="169"/>
    <n v="269"/>
    <d v="2025-05-20T00:00:00"/>
    <x v="3"/>
    <s v="Paid"/>
    <n v="31133"/>
  </r>
  <r>
    <n v="170"/>
    <n v="270"/>
    <d v="2025-05-23T00:00:00"/>
    <x v="4"/>
    <s v="Paid"/>
    <n v="22543"/>
  </r>
  <r>
    <n v="171"/>
    <n v="271"/>
    <d v="2025-05-26T00:00:00"/>
    <x v="0"/>
    <s v="Paid"/>
    <n v="30311"/>
  </r>
  <r>
    <n v="172"/>
    <n v="272"/>
    <d v="2025-05-29T00:00:00"/>
    <x v="1"/>
    <s v="Paid"/>
    <n v="7117"/>
  </r>
  <r>
    <n v="173"/>
    <n v="273"/>
    <d v="2025-06-01T00:00:00"/>
    <x v="2"/>
    <s v="Paid"/>
    <n v="16063"/>
  </r>
  <r>
    <n v="174"/>
    <n v="274"/>
    <d v="2025-06-04T00:00:00"/>
    <x v="3"/>
    <s v="Paid"/>
    <n v="28845"/>
  </r>
  <r>
    <n v="175"/>
    <n v="275"/>
    <d v="2025-06-07T00:00:00"/>
    <x v="4"/>
    <s v="Paid"/>
    <n v="22091"/>
  </r>
  <r>
    <n v="176"/>
    <n v="276"/>
    <d v="2025-06-10T00:00:00"/>
    <x v="0"/>
    <s v="Paid"/>
    <n v="18625"/>
  </r>
  <r>
    <n v="177"/>
    <n v="277"/>
    <d v="2025-06-13T00:00:00"/>
    <x v="1"/>
    <s v="Paid"/>
    <n v="14693"/>
  </r>
  <r>
    <n v="178"/>
    <n v="278"/>
    <d v="2025-06-16T00:00:00"/>
    <x v="2"/>
    <s v="Paid"/>
    <n v="28297"/>
  </r>
  <r>
    <n v="179"/>
    <n v="279"/>
    <d v="2025-06-19T00:00:00"/>
    <x v="3"/>
    <s v="Paid"/>
    <n v="7021"/>
  </r>
  <r>
    <n v="180"/>
    <n v="280"/>
    <d v="2025-06-22T00:00:00"/>
    <x v="4"/>
    <s v="Paid"/>
    <n v="9583"/>
  </r>
  <r>
    <n v="181"/>
    <n v="281"/>
    <d v="2025-06-25T00:00:00"/>
    <x v="0"/>
    <s v="Paid"/>
    <n v="20173"/>
  </r>
  <r>
    <n v="182"/>
    <n v="282"/>
    <d v="2025-06-28T00:00:00"/>
    <x v="1"/>
    <s v="Paid"/>
    <n v="34599"/>
  </r>
  <r>
    <n v="183"/>
    <n v="283"/>
    <d v="2025-07-01T00:00:00"/>
    <x v="2"/>
    <s v="Paid"/>
    <n v="26201"/>
  </r>
  <r>
    <n v="184"/>
    <n v="284"/>
    <d v="2025-07-04T00:00:00"/>
    <x v="3"/>
    <s v="Paid"/>
    <n v="7391"/>
  </r>
  <r>
    <n v="185"/>
    <n v="285"/>
    <d v="2025-07-07T00:00:00"/>
    <x v="4"/>
    <s v="Paid"/>
    <n v="18803"/>
  </r>
  <r>
    <n v="186"/>
    <n v="286"/>
    <d v="2025-07-10T00:00:00"/>
    <x v="0"/>
    <s v="Paid"/>
    <n v="13501"/>
  </r>
  <r>
    <n v="187"/>
    <n v="287"/>
    <d v="2025-07-13T00:00:00"/>
    <x v="1"/>
    <s v="Paid"/>
    <n v="11131"/>
  </r>
  <r>
    <n v="188"/>
    <n v="288"/>
    <d v="2025-07-16T00:00:00"/>
    <x v="2"/>
    <s v="Failed"/>
    <n v="12049"/>
  </r>
  <r>
    <n v="189"/>
    <n v="289"/>
    <d v="2025-07-19T00:00:00"/>
    <x v="3"/>
    <s v="Paid"/>
    <n v="24283"/>
  </r>
  <r>
    <n v="190"/>
    <n v="290"/>
    <d v="2025-07-22T00:00:00"/>
    <x v="4"/>
    <s v="Paid"/>
    <n v="40353"/>
  </r>
  <r>
    <n v="191"/>
    <n v="291"/>
    <d v="2025-07-25T00:00:00"/>
    <x v="0"/>
    <s v="Paid"/>
    <n v="23461"/>
  </r>
  <r>
    <n v="192"/>
    <n v="292"/>
    <d v="2025-07-28T00:00:00"/>
    <x v="1"/>
    <s v="Paid"/>
    <n v="9857"/>
  </r>
  <r>
    <n v="193"/>
    <n v="293"/>
    <d v="2025-07-31T00:00:00"/>
    <x v="2"/>
    <s v="Paid"/>
    <n v="9213"/>
  </r>
  <r>
    <n v="194"/>
    <n v="294"/>
    <d v="2025-08-03T00:00:00"/>
    <x v="3"/>
    <s v="Paid"/>
    <n v="19255"/>
  </r>
  <r>
    <n v="195"/>
    <n v="295"/>
    <d v="2025-08-06T00:00:00"/>
    <x v="4"/>
    <s v="Paid"/>
    <n v="15241"/>
  </r>
  <r>
    <n v="196"/>
    <n v="296"/>
    <d v="2025-08-09T00:00:00"/>
    <x v="0"/>
    <s v="Paid"/>
    <n v="14515"/>
  </r>
  <r>
    <n v="197"/>
    <n v="297"/>
    <d v="2025-08-12T00:00:00"/>
    <x v="1"/>
    <s v="Paid"/>
    <n v="28393"/>
  </r>
  <r>
    <n v="198"/>
    <n v="298"/>
    <d v="2025-08-15T00:00:00"/>
    <x v="2"/>
    <s v="Failed"/>
    <n v="46107"/>
  </r>
  <r>
    <n v="199"/>
    <n v="299"/>
    <d v="2025-08-18T00:00:00"/>
    <x v="3"/>
    <s v="Paid"/>
    <n v="27571"/>
  </r>
  <r>
    <n v="200"/>
    <n v="300"/>
    <d v="2025-08-21T00:00:00"/>
    <x v="4"/>
    <s v="Paid"/>
    <n v="5473"/>
  </r>
  <r>
    <n v="201"/>
    <n v="301"/>
    <d v="2025-08-24T00:00:00"/>
    <x v="0"/>
    <s v="Paid"/>
    <n v="13323"/>
  </r>
  <r>
    <n v="202"/>
    <n v="302"/>
    <d v="2025-08-27T00:00:00"/>
    <x v="1"/>
    <s v="Paid"/>
    <n v="25009"/>
  </r>
  <r>
    <n v="203"/>
    <n v="303"/>
    <d v="2025-08-30T00:00:00"/>
    <x v="2"/>
    <s v="Paid"/>
    <n v="19351"/>
  </r>
  <r>
    <n v="204"/>
    <n v="304"/>
    <d v="2025-09-02T00:00:00"/>
    <x v="3"/>
    <s v="Failed"/>
    <n v="16981"/>
  </r>
  <r>
    <n v="205"/>
    <n v="305"/>
    <d v="2025-09-05T00:00:00"/>
    <x v="4"/>
    <s v="Paid"/>
    <n v="32503"/>
  </r>
  <r>
    <n v="206"/>
    <n v="306"/>
    <d v="2025-09-08T00:00:00"/>
    <x v="0"/>
    <s v="Failed"/>
    <n v="24461"/>
  </r>
  <r>
    <n v="207"/>
    <n v="307"/>
    <d v="2025-09-11T00:00:00"/>
    <x v="1"/>
    <s v="Failed"/>
    <n v="31681"/>
  </r>
  <r>
    <n v="208"/>
    <n v="308"/>
    <d v="2025-09-14T00:00:00"/>
    <x v="2"/>
    <s v="Paid"/>
    <n v="7939"/>
  </r>
  <r>
    <n v="209"/>
    <n v="309"/>
    <d v="2025-09-17T00:00:00"/>
    <x v="3"/>
    <s v="Paid"/>
    <n v="17433"/>
  </r>
  <r>
    <n v="210"/>
    <n v="310"/>
    <d v="2025-09-20T00:00:00"/>
    <x v="4"/>
    <s v="Paid"/>
    <n v="30763"/>
  </r>
  <r>
    <n v="211"/>
    <n v="311"/>
    <d v="2025-09-23T00:00:00"/>
    <x v="0"/>
    <s v="Failed"/>
    <n v="23461"/>
  </r>
  <r>
    <n v="212"/>
    <n v="312"/>
    <d v="2025-09-26T00:00:00"/>
    <x v="1"/>
    <s v="Paid"/>
    <n v="19447"/>
  </r>
  <r>
    <n v="213"/>
    <n v="313"/>
    <d v="2025-09-29T00:00:00"/>
    <x v="2"/>
    <s v="Paid"/>
    <n v="16063"/>
  </r>
  <r>
    <n v="214"/>
    <n v="314"/>
    <d v="2025-10-02T00:00:00"/>
    <x v="3"/>
    <s v="Paid"/>
    <n v="30215"/>
  </r>
  <r>
    <n v="215"/>
    <n v="315"/>
    <d v="2025-10-05T00:00:00"/>
    <x v="4"/>
    <s v="Paid"/>
    <n v="8391"/>
  </r>
  <r>
    <n v="216"/>
    <n v="316"/>
    <d v="2025-10-08T00:00:00"/>
    <x v="0"/>
    <s v="Paid"/>
    <n v="10405"/>
  </r>
  <r>
    <n v="217"/>
    <n v="317"/>
    <d v="2025-10-11T00:00:00"/>
    <x v="1"/>
    <s v="Paid"/>
    <n v="21543"/>
  </r>
  <r>
    <n v="218"/>
    <n v="318"/>
    <d v="2025-10-14T00:00:00"/>
    <x v="2"/>
    <s v="Paid"/>
    <n v="36517"/>
  </r>
  <r>
    <n v="219"/>
    <n v="319"/>
    <d v="2025-10-17T00:00:00"/>
    <x v="3"/>
    <s v="Paid"/>
    <n v="27571"/>
  </r>
  <r>
    <n v="220"/>
    <n v="320"/>
    <d v="2025-10-20T00:00:00"/>
    <x v="4"/>
    <s v="Failed"/>
    <n v="8213"/>
  </r>
  <r>
    <n v="221"/>
    <n v="321"/>
    <d v="2025-10-23T00:00:00"/>
    <x v="0"/>
    <s v="Paid"/>
    <n v="20173"/>
  </r>
  <r>
    <n v="222"/>
    <n v="322"/>
    <d v="2025-10-26T00:00:00"/>
    <x v="1"/>
    <s v="Paid"/>
    <n v="15419"/>
  </r>
  <r>
    <n v="223"/>
    <n v="323"/>
    <d v="2025-10-29T00:00:00"/>
    <x v="2"/>
    <s v="Paid"/>
    <n v="12501"/>
  </r>
  <r>
    <n v="224"/>
    <n v="324"/>
    <d v="2025-11-01T00:00:00"/>
    <x v="3"/>
    <s v="Paid"/>
    <n v="12871"/>
  </r>
  <r>
    <n v="225"/>
    <n v="325"/>
    <d v="2025-11-04T00:00:00"/>
    <x v="4"/>
    <s v="Paid"/>
    <n v="25653"/>
  </r>
  <r>
    <n v="226"/>
    <n v="326"/>
    <d v="2025-11-07T00:00:00"/>
    <x v="0"/>
    <s v="Paid"/>
    <n v="42271"/>
  </r>
  <r>
    <n v="227"/>
    <n v="327"/>
    <d v="2025-11-10T00:00:00"/>
    <x v="1"/>
    <s v="Paid"/>
    <n v="24831"/>
  </r>
  <r>
    <n v="228"/>
    <n v="328"/>
    <d v="2025-11-13T00:00:00"/>
    <x v="2"/>
    <s v="Paid"/>
    <n v="10679"/>
  </r>
  <r>
    <n v="229"/>
    <n v="329"/>
    <d v="2025-11-16T00:00:00"/>
    <x v="3"/>
    <s v="Paid"/>
    <n v="10583"/>
  </r>
  <r>
    <n v="230"/>
    <n v="330"/>
    <d v="2025-11-19T00:00:00"/>
    <x v="4"/>
    <s v="Failed"/>
    <n v="21173"/>
  </r>
  <r>
    <n v="231"/>
    <n v="331"/>
    <d v="2025-11-22T00:00:00"/>
    <x v="0"/>
    <s v="Paid"/>
    <n v="16611"/>
  </r>
  <r>
    <n v="232"/>
    <n v="332"/>
    <d v="2025-11-25T00:00:00"/>
    <x v="1"/>
    <s v="Paid"/>
    <n v="15337"/>
  </r>
  <r>
    <n v="233"/>
    <n v="333"/>
    <d v="2025-11-28T00:00:00"/>
    <x v="2"/>
    <s v="Paid"/>
    <n v="29763"/>
  </r>
  <r>
    <n v="234"/>
    <n v="334"/>
    <d v="2025-12-01T00:00:00"/>
    <x v="3"/>
    <s v="Paid"/>
    <n v="20625"/>
  </r>
  <r>
    <n v="235"/>
    <n v="335"/>
    <d v="2025-12-04T00:00:00"/>
    <x v="4"/>
    <s v="Paid"/>
    <n v="28941"/>
  </r>
  <r>
    <n v="236"/>
    <n v="336"/>
    <d v="2025-12-07T00:00:00"/>
    <x v="0"/>
    <s v="Paid"/>
    <n v="6295"/>
  </r>
  <r>
    <n v="237"/>
    <n v="337"/>
    <d v="2025-12-10T00:00:00"/>
    <x v="1"/>
    <s v="Paid"/>
    <n v="14693"/>
  </r>
  <r>
    <n v="238"/>
    <n v="338"/>
    <d v="2025-12-13T00:00:00"/>
    <x v="2"/>
    <s v="Paid"/>
    <n v="26927"/>
  </r>
  <r>
    <n v="239"/>
    <n v="339"/>
    <d v="2025-12-16T00:00:00"/>
    <x v="3"/>
    <s v="Paid"/>
    <n v="20721"/>
  </r>
  <r>
    <n v="240"/>
    <n v="340"/>
    <d v="2025-12-19T00:00:00"/>
    <x v="4"/>
    <s v="Paid"/>
    <n v="17803"/>
  </r>
  <r>
    <n v="241"/>
    <n v="341"/>
    <d v="2025-12-22T00:00:00"/>
    <x v="0"/>
    <s v="Paid"/>
    <n v="13323"/>
  </r>
  <r>
    <n v="242"/>
    <n v="342"/>
    <d v="2025-12-25T00:00:00"/>
    <x v="1"/>
    <s v="Paid"/>
    <n v="26379"/>
  </r>
  <r>
    <n v="243"/>
    <n v="343"/>
    <d v="2025-12-28T00:00:00"/>
    <x v="2"/>
    <s v="Paid"/>
    <n v="5651"/>
  </r>
  <r>
    <n v="244"/>
    <n v="344"/>
    <d v="2025-12-31T00:00:00"/>
    <x v="3"/>
    <s v="Paid"/>
    <n v="8761"/>
  </r>
  <r>
    <n v="245"/>
    <n v="345"/>
    <d v="2025-01-03T00:00:00"/>
    <x v="4"/>
    <s v="Paid"/>
    <n v="18803"/>
  </r>
  <r>
    <n v="246"/>
    <n v="346"/>
    <d v="2025-01-06T00:00:00"/>
    <x v="0"/>
    <s v="Paid"/>
    <n v="32681"/>
  </r>
  <r>
    <n v="247"/>
    <n v="347"/>
    <d v="2025-01-09T00:00:00"/>
    <x v="1"/>
    <s v="Paid"/>
    <n v="24831"/>
  </r>
  <r>
    <n v="248"/>
    <n v="348"/>
    <d v="2025-01-12T00:00:00"/>
    <x v="2"/>
    <s v="Paid"/>
    <n v="20269"/>
  </r>
  <r>
    <n v="249"/>
    <n v="349"/>
    <d v="2025-01-15T00:00:00"/>
    <x v="3"/>
    <s v="Paid"/>
    <n v="17433"/>
  </r>
  <r>
    <n v="250"/>
    <n v="350"/>
    <d v="2025-01-18T00:00:00"/>
    <x v="4"/>
    <s v="Paid"/>
    <n v="11583"/>
  </r>
  <r>
    <n v="251"/>
    <n v="351"/>
    <d v="2025-01-21T00:00:00"/>
    <x v="0"/>
    <s v="Failed"/>
    <n v="9761"/>
  </r>
  <r>
    <n v="252"/>
    <n v="352"/>
    <d v="2025-01-24T00:00:00"/>
    <x v="1"/>
    <s v="Failed"/>
    <n v="11227"/>
  </r>
  <r>
    <n v="253"/>
    <n v="353"/>
    <d v="2025-01-27T00:00:00"/>
    <x v="2"/>
    <s v="Paid"/>
    <n v="22913"/>
  </r>
  <r>
    <n v="254"/>
    <n v="354"/>
    <d v="2025-01-30T00:00:00"/>
    <x v="3"/>
    <s v="Paid"/>
    <n v="38435"/>
  </r>
  <r>
    <n v="255"/>
    <n v="355"/>
    <d v="2025-02-02T00:00:00"/>
    <x v="4"/>
    <s v="Paid"/>
    <n v="28941"/>
  </r>
  <r>
    <n v="256"/>
    <n v="356"/>
    <d v="2025-02-05T00:00:00"/>
    <x v="0"/>
    <s v="Paid"/>
    <n v="9035"/>
  </r>
  <r>
    <n v="257"/>
    <n v="357"/>
    <d v="2025-02-08T00:00:00"/>
    <x v="1"/>
    <s v="Paid"/>
    <n v="21543"/>
  </r>
  <r>
    <n v="258"/>
    <n v="358"/>
    <d v="2025-02-11T00:00:00"/>
    <x v="2"/>
    <s v="Paid"/>
    <n v="17337"/>
  </r>
  <r>
    <n v="259"/>
    <n v="359"/>
    <d v="2025-02-14T00:00:00"/>
    <x v="3"/>
    <s v="Paid"/>
    <n v="13871"/>
  </r>
  <r>
    <n v="260"/>
    <n v="360"/>
    <d v="2025-02-17T00:00:00"/>
    <x v="4"/>
    <s v="Paid"/>
    <n v="13693"/>
  </r>
  <r>
    <n v="261"/>
    <n v="361"/>
    <d v="2025-02-20T00:00:00"/>
    <x v="0"/>
    <s v="Paid"/>
    <n v="27023"/>
  </r>
  <r>
    <n v="262"/>
    <n v="362"/>
    <d v="2025-02-23T00:00:00"/>
    <x v="1"/>
    <s v="Paid"/>
    <n v="44189"/>
  </r>
  <r>
    <n v="263"/>
    <n v="363"/>
    <d v="2025-02-26T00:00:00"/>
    <x v="2"/>
    <s v="Paid"/>
    <n v="26201"/>
  </r>
  <r>
    <n v="264"/>
    <n v="364"/>
    <d v="2025-03-01T00:00:00"/>
    <x v="3"/>
    <s v="Paid"/>
    <n v="11501"/>
  </r>
  <r>
    <n v="265"/>
    <n v="365"/>
    <d v="2025-03-04T00:00:00"/>
    <x v="4"/>
    <s v="Paid"/>
    <n v="11953"/>
  </r>
  <r>
    <n v="266"/>
    <n v="366"/>
    <d v="2025-03-07T00:00:00"/>
    <x v="0"/>
    <s v="Paid"/>
    <n v="23091"/>
  </r>
  <r>
    <n v="267"/>
    <n v="367"/>
    <d v="2025-03-10T00:00:00"/>
    <x v="1"/>
    <s v="Paid"/>
    <n v="17981"/>
  </r>
  <r>
    <n v="268"/>
    <n v="368"/>
    <d v="2025-03-13T00:00:00"/>
    <x v="2"/>
    <s v="Paid"/>
    <n v="16159"/>
  </r>
  <r>
    <n v="269"/>
    <n v="369"/>
    <d v="2025-03-16T00:00:00"/>
    <x v="3"/>
    <s v="Paid"/>
    <n v="31133"/>
  </r>
  <r>
    <n v="270"/>
    <n v="370"/>
    <d v="2025-03-19T00:00:00"/>
    <x v="4"/>
    <s v="Paid"/>
    <n v="22543"/>
  </r>
  <r>
    <n v="271"/>
    <n v="371"/>
    <d v="2025-03-22T00:00:00"/>
    <x v="0"/>
    <s v="Paid"/>
    <n v="30311"/>
  </r>
  <r>
    <n v="272"/>
    <n v="372"/>
    <d v="2025-03-25T00:00:00"/>
    <x v="1"/>
    <s v="Paid"/>
    <n v="7117"/>
  </r>
  <r>
    <n v="273"/>
    <n v="373"/>
    <d v="2025-03-28T00:00:00"/>
    <x v="2"/>
    <s v="Paid"/>
    <n v="16063"/>
  </r>
  <r>
    <n v="274"/>
    <n v="374"/>
    <d v="2025-03-31T00:00:00"/>
    <x v="3"/>
    <s v="Paid"/>
    <n v="28845"/>
  </r>
  <r>
    <n v="275"/>
    <n v="375"/>
    <d v="2025-04-03T00:00:00"/>
    <x v="4"/>
    <s v="Paid"/>
    <n v="22091"/>
  </r>
  <r>
    <n v="276"/>
    <n v="376"/>
    <d v="2025-04-06T00:00:00"/>
    <x v="0"/>
    <s v="Failed"/>
    <n v="18625"/>
  </r>
  <r>
    <n v="277"/>
    <n v="377"/>
    <d v="2025-04-09T00:00:00"/>
    <x v="1"/>
    <s v="Paid"/>
    <n v="14693"/>
  </r>
  <r>
    <n v="278"/>
    <n v="378"/>
    <d v="2025-04-12T00:00:00"/>
    <x v="2"/>
    <s v="Paid"/>
    <n v="28297"/>
  </r>
  <r>
    <n v="279"/>
    <n v="379"/>
    <d v="2025-04-15T00:00:00"/>
    <x v="3"/>
    <s v="Failed"/>
    <n v="7021"/>
  </r>
  <r>
    <n v="280"/>
    <n v="380"/>
    <d v="2025-04-18T00:00:00"/>
    <x v="4"/>
    <s v="Paid"/>
    <n v="9583"/>
  </r>
  <r>
    <n v="281"/>
    <n v="381"/>
    <d v="2025-04-21T00:00:00"/>
    <x v="0"/>
    <s v="Paid"/>
    <n v="20173"/>
  </r>
  <r>
    <n v="282"/>
    <n v="382"/>
    <d v="2025-04-24T00:00:00"/>
    <x v="1"/>
    <s v="Failed"/>
    <n v="34599"/>
  </r>
  <r>
    <n v="283"/>
    <n v="383"/>
    <d v="2025-04-27T00:00:00"/>
    <x v="2"/>
    <s v="Paid"/>
    <n v="26201"/>
  </r>
  <r>
    <n v="284"/>
    <n v="384"/>
    <d v="2025-04-30T00:00:00"/>
    <x v="3"/>
    <s v="Paid"/>
    <n v="7391"/>
  </r>
  <r>
    <n v="285"/>
    <n v="385"/>
    <d v="2025-05-03T00:00:00"/>
    <x v="4"/>
    <s v="Paid"/>
    <n v="18803"/>
  </r>
  <r>
    <n v="286"/>
    <n v="386"/>
    <d v="2025-05-06T00:00:00"/>
    <x v="0"/>
    <s v="Paid"/>
    <n v="13501"/>
  </r>
  <r>
    <n v="287"/>
    <n v="387"/>
    <d v="2025-05-09T00:00:00"/>
    <x v="1"/>
    <s v="Paid"/>
    <n v="11131"/>
  </r>
  <r>
    <n v="288"/>
    <n v="388"/>
    <d v="2025-05-12T00:00:00"/>
    <x v="2"/>
    <s v="Paid"/>
    <n v="12049"/>
  </r>
  <r>
    <n v="289"/>
    <n v="389"/>
    <d v="2025-05-15T00:00:00"/>
    <x v="3"/>
    <s v="Paid"/>
    <n v="24283"/>
  </r>
  <r>
    <n v="290"/>
    <n v="390"/>
    <d v="2025-05-18T00:00:00"/>
    <x v="4"/>
    <s v="Paid"/>
    <n v="40353"/>
  </r>
  <r>
    <n v="291"/>
    <n v="391"/>
    <d v="2025-05-21T00:00:00"/>
    <x v="0"/>
    <s v="Paid"/>
    <n v="23461"/>
  </r>
  <r>
    <n v="292"/>
    <n v="392"/>
    <d v="2025-05-24T00:00:00"/>
    <x v="1"/>
    <s v="Paid"/>
    <n v="9857"/>
  </r>
  <r>
    <n v="293"/>
    <n v="393"/>
    <d v="2025-05-27T00:00:00"/>
    <x v="2"/>
    <s v="Paid"/>
    <n v="9213"/>
  </r>
  <r>
    <n v="294"/>
    <n v="394"/>
    <d v="2025-05-30T00:00:00"/>
    <x v="3"/>
    <s v="Failed"/>
    <n v="19255"/>
  </r>
  <r>
    <n v="295"/>
    <n v="395"/>
    <d v="2025-06-02T00:00:00"/>
    <x v="4"/>
    <s v="Paid"/>
    <n v="15241"/>
  </r>
  <r>
    <n v="296"/>
    <n v="396"/>
    <d v="2025-06-05T00:00:00"/>
    <x v="0"/>
    <s v="Paid"/>
    <n v="14515"/>
  </r>
  <r>
    <n v="297"/>
    <n v="397"/>
    <d v="2025-06-08T00:00:00"/>
    <x v="1"/>
    <s v="Paid"/>
    <n v="28393"/>
  </r>
  <r>
    <n v="298"/>
    <n v="398"/>
    <d v="2025-06-11T00:00:00"/>
    <x v="2"/>
    <s v="Paid"/>
    <n v="46107"/>
  </r>
  <r>
    <n v="299"/>
    <n v="399"/>
    <d v="2025-06-14T00:00:00"/>
    <x v="3"/>
    <s v="Paid"/>
    <n v="27571"/>
  </r>
  <r>
    <n v="300"/>
    <n v="400"/>
    <d v="2025-06-17T00:00:00"/>
    <x v="4"/>
    <s v="Paid"/>
    <n v="5473"/>
  </r>
  <r>
    <n v="301"/>
    <n v="401"/>
    <d v="2025-06-20T00:00:00"/>
    <x v="0"/>
    <s v="Paid"/>
    <n v="13323"/>
  </r>
  <r>
    <n v="302"/>
    <n v="402"/>
    <d v="2025-06-23T00:00:00"/>
    <x v="1"/>
    <s v="Paid"/>
    <n v="25009"/>
  </r>
  <r>
    <n v="303"/>
    <n v="403"/>
    <d v="2025-06-26T00:00:00"/>
    <x v="2"/>
    <s v="Paid"/>
    <n v="19351"/>
  </r>
  <r>
    <n v="304"/>
    <n v="404"/>
    <d v="2025-06-29T00:00:00"/>
    <x v="3"/>
    <s v="Paid"/>
    <n v="16981"/>
  </r>
  <r>
    <n v="305"/>
    <n v="405"/>
    <d v="2025-07-02T00:00:00"/>
    <x v="4"/>
    <s v="Paid"/>
    <n v="32503"/>
  </r>
  <r>
    <n v="306"/>
    <n v="406"/>
    <d v="2025-07-05T00:00:00"/>
    <x v="0"/>
    <s v="Paid"/>
    <n v="24461"/>
  </r>
  <r>
    <n v="307"/>
    <n v="407"/>
    <d v="2025-07-08T00:00:00"/>
    <x v="1"/>
    <s v="Paid"/>
    <n v="31681"/>
  </r>
  <r>
    <n v="308"/>
    <n v="408"/>
    <d v="2025-07-11T00:00:00"/>
    <x v="2"/>
    <s v="Paid"/>
    <n v="7939"/>
  </r>
  <r>
    <n v="309"/>
    <n v="409"/>
    <d v="2025-07-14T00:00:00"/>
    <x v="3"/>
    <s v="Paid"/>
    <n v="17433"/>
  </r>
  <r>
    <n v="310"/>
    <n v="410"/>
    <d v="2025-07-17T00:00:00"/>
    <x v="4"/>
    <s v="Paid"/>
    <n v="30763"/>
  </r>
  <r>
    <n v="311"/>
    <n v="411"/>
    <d v="2025-07-20T00:00:00"/>
    <x v="0"/>
    <s v="Paid"/>
    <n v="23461"/>
  </r>
  <r>
    <n v="312"/>
    <n v="412"/>
    <d v="2025-07-23T00:00:00"/>
    <x v="1"/>
    <s v="Paid"/>
    <n v="19447"/>
  </r>
  <r>
    <n v="313"/>
    <n v="413"/>
    <d v="2025-07-26T00:00:00"/>
    <x v="2"/>
    <s v="Paid"/>
    <n v="16063"/>
  </r>
  <r>
    <n v="314"/>
    <n v="414"/>
    <d v="2025-07-29T00:00:00"/>
    <x v="3"/>
    <s v="Paid"/>
    <n v="30215"/>
  </r>
  <r>
    <n v="315"/>
    <n v="415"/>
    <d v="2025-08-01T00:00:00"/>
    <x v="4"/>
    <s v="Paid"/>
    <n v="8391"/>
  </r>
  <r>
    <n v="316"/>
    <n v="416"/>
    <d v="2025-08-04T00:00:00"/>
    <x v="0"/>
    <s v="Paid"/>
    <n v="10405"/>
  </r>
  <r>
    <n v="317"/>
    <n v="417"/>
    <d v="2025-08-07T00:00:00"/>
    <x v="1"/>
    <s v="Paid"/>
    <n v="21543"/>
  </r>
  <r>
    <n v="318"/>
    <n v="418"/>
    <d v="2025-08-10T00:00:00"/>
    <x v="2"/>
    <s v="Paid"/>
    <n v="36517"/>
  </r>
  <r>
    <n v="319"/>
    <n v="419"/>
    <d v="2025-08-13T00:00:00"/>
    <x v="3"/>
    <s v="Failed"/>
    <n v="27571"/>
  </r>
  <r>
    <n v="320"/>
    <n v="420"/>
    <d v="2025-08-16T00:00:00"/>
    <x v="4"/>
    <s v="Failed"/>
    <n v="8213"/>
  </r>
  <r>
    <n v="321"/>
    <n v="421"/>
    <d v="2025-08-19T00:00:00"/>
    <x v="0"/>
    <s v="Paid"/>
    <n v="20173"/>
  </r>
  <r>
    <n v="322"/>
    <n v="422"/>
    <d v="2025-08-22T00:00:00"/>
    <x v="1"/>
    <s v="Paid"/>
    <n v="15419"/>
  </r>
  <r>
    <n v="323"/>
    <n v="423"/>
    <d v="2025-08-25T00:00:00"/>
    <x v="2"/>
    <s v="Paid"/>
    <n v="12501"/>
  </r>
  <r>
    <n v="324"/>
    <n v="424"/>
    <d v="2025-08-28T00:00:00"/>
    <x v="3"/>
    <s v="Paid"/>
    <n v="12871"/>
  </r>
  <r>
    <n v="325"/>
    <n v="425"/>
    <d v="2025-08-31T00:00:00"/>
    <x v="4"/>
    <s v="Paid"/>
    <n v="25653"/>
  </r>
  <r>
    <n v="326"/>
    <n v="426"/>
    <d v="2025-09-03T00:00:00"/>
    <x v="0"/>
    <s v="Paid"/>
    <n v="42271"/>
  </r>
  <r>
    <n v="327"/>
    <n v="427"/>
    <d v="2025-09-06T00:00:00"/>
    <x v="1"/>
    <s v="Paid"/>
    <n v="24831"/>
  </r>
  <r>
    <n v="328"/>
    <n v="428"/>
    <d v="2025-09-09T00:00:00"/>
    <x v="2"/>
    <s v="Paid"/>
    <n v="10679"/>
  </r>
  <r>
    <n v="329"/>
    <n v="429"/>
    <d v="2025-09-12T00:00:00"/>
    <x v="3"/>
    <s v="Paid"/>
    <n v="10583"/>
  </r>
  <r>
    <n v="330"/>
    <n v="430"/>
    <d v="2025-09-15T00:00:00"/>
    <x v="4"/>
    <s v="Paid"/>
    <n v="21173"/>
  </r>
  <r>
    <n v="331"/>
    <n v="431"/>
    <d v="2025-09-18T00:00:00"/>
    <x v="0"/>
    <s v="Failed"/>
    <n v="16611"/>
  </r>
  <r>
    <n v="332"/>
    <n v="432"/>
    <d v="2025-09-21T00:00:00"/>
    <x v="1"/>
    <s v="Failed"/>
    <n v="15337"/>
  </r>
  <r>
    <n v="333"/>
    <n v="433"/>
    <d v="2025-09-24T00:00:00"/>
    <x v="2"/>
    <s v="Paid"/>
    <n v="29763"/>
  </r>
  <r>
    <n v="334"/>
    <n v="434"/>
    <d v="2025-09-27T00:00:00"/>
    <x v="3"/>
    <s v="Paid"/>
    <n v="20625"/>
  </r>
  <r>
    <n v="335"/>
    <n v="435"/>
    <d v="2025-09-30T00:00:00"/>
    <x v="4"/>
    <s v="Failed"/>
    <n v="28941"/>
  </r>
  <r>
    <n v="336"/>
    <n v="436"/>
    <d v="2025-10-03T00:00:00"/>
    <x v="0"/>
    <s v="Paid"/>
    <n v="6295"/>
  </r>
  <r>
    <n v="337"/>
    <n v="437"/>
    <d v="2025-10-06T00:00:00"/>
    <x v="1"/>
    <s v="Paid"/>
    <n v="14693"/>
  </r>
  <r>
    <n v="338"/>
    <n v="438"/>
    <d v="2025-10-09T00:00:00"/>
    <x v="2"/>
    <s v="Paid"/>
    <n v="26927"/>
  </r>
  <r>
    <n v="339"/>
    <n v="439"/>
    <d v="2025-10-12T00:00:00"/>
    <x v="3"/>
    <s v="Paid"/>
    <n v="20721"/>
  </r>
  <r>
    <n v="340"/>
    <n v="440"/>
    <d v="2025-10-15T00:00:00"/>
    <x v="4"/>
    <s v="Paid"/>
    <n v="17803"/>
  </r>
  <r>
    <n v="341"/>
    <n v="441"/>
    <d v="2025-10-18T00:00:00"/>
    <x v="0"/>
    <s v="Paid"/>
    <n v="13323"/>
  </r>
  <r>
    <n v="342"/>
    <n v="442"/>
    <d v="2025-10-21T00:00:00"/>
    <x v="1"/>
    <s v="Paid"/>
    <n v="26379"/>
  </r>
  <r>
    <n v="343"/>
    <n v="443"/>
    <d v="2025-10-24T00:00:00"/>
    <x v="2"/>
    <s v="Paid"/>
    <n v="5651"/>
  </r>
  <r>
    <n v="344"/>
    <n v="444"/>
    <d v="2025-10-27T00:00:00"/>
    <x v="3"/>
    <s v="Failed"/>
    <n v="8761"/>
  </r>
  <r>
    <n v="345"/>
    <n v="445"/>
    <d v="2025-10-30T00:00:00"/>
    <x v="4"/>
    <s v="Failed"/>
    <n v="18803"/>
  </r>
  <r>
    <n v="346"/>
    <n v="446"/>
    <d v="2025-11-02T00:00:00"/>
    <x v="0"/>
    <s v="Paid"/>
    <n v="32681"/>
  </r>
  <r>
    <n v="347"/>
    <n v="447"/>
    <d v="2025-11-05T00:00:00"/>
    <x v="1"/>
    <s v="Paid"/>
    <n v="24831"/>
  </r>
  <r>
    <n v="348"/>
    <n v="448"/>
    <d v="2025-11-08T00:00:00"/>
    <x v="2"/>
    <s v="Paid"/>
    <n v="20269"/>
  </r>
  <r>
    <n v="349"/>
    <n v="449"/>
    <d v="2025-11-11T00:00:00"/>
    <x v="3"/>
    <s v="Paid"/>
    <n v="17433"/>
  </r>
  <r>
    <n v="350"/>
    <n v="450"/>
    <d v="2025-11-14T00:00:00"/>
    <x v="4"/>
    <s v="Paid"/>
    <n v="11583"/>
  </r>
  <r>
    <n v="351"/>
    <n v="451"/>
    <d v="2025-11-17T00:00:00"/>
    <x v="0"/>
    <s v="Paid"/>
    <n v="9761"/>
  </r>
  <r>
    <n v="352"/>
    <n v="452"/>
    <d v="2025-11-20T00:00:00"/>
    <x v="1"/>
    <s v="Paid"/>
    <n v="11227"/>
  </r>
  <r>
    <n v="353"/>
    <n v="453"/>
    <d v="2025-11-23T00:00:00"/>
    <x v="2"/>
    <s v="Failed"/>
    <n v="22913"/>
  </r>
  <r>
    <n v="354"/>
    <n v="454"/>
    <d v="2025-11-26T00:00:00"/>
    <x v="3"/>
    <s v="Paid"/>
    <n v="38435"/>
  </r>
  <r>
    <n v="355"/>
    <n v="455"/>
    <d v="2025-11-29T00:00:00"/>
    <x v="4"/>
    <s v="Paid"/>
    <n v="28941"/>
  </r>
  <r>
    <n v="356"/>
    <n v="456"/>
    <d v="2025-12-02T00:00:00"/>
    <x v="0"/>
    <s v="Paid"/>
    <n v="9035"/>
  </r>
  <r>
    <n v="357"/>
    <n v="457"/>
    <d v="2025-12-05T00:00:00"/>
    <x v="1"/>
    <s v="Paid"/>
    <n v="21543"/>
  </r>
  <r>
    <n v="358"/>
    <n v="458"/>
    <d v="2025-12-08T00:00:00"/>
    <x v="2"/>
    <s v="Paid"/>
    <n v="17337"/>
  </r>
  <r>
    <n v="359"/>
    <n v="459"/>
    <d v="2025-12-11T00:00:00"/>
    <x v="3"/>
    <s v="Paid"/>
    <n v="13871"/>
  </r>
  <r>
    <n v="360"/>
    <n v="460"/>
    <d v="2025-12-14T00:00:00"/>
    <x v="4"/>
    <s v="Paid"/>
    <n v="13693"/>
  </r>
  <r>
    <n v="361"/>
    <n v="461"/>
    <d v="2025-12-17T00:00:00"/>
    <x v="0"/>
    <s v="Paid"/>
    <n v="27023"/>
  </r>
  <r>
    <n v="362"/>
    <n v="462"/>
    <d v="2025-12-20T00:00:00"/>
    <x v="1"/>
    <s v="Paid"/>
    <n v="44189"/>
  </r>
  <r>
    <n v="363"/>
    <n v="463"/>
    <d v="2025-12-23T00:00:00"/>
    <x v="2"/>
    <s v="Paid"/>
    <n v="26201"/>
  </r>
  <r>
    <n v="364"/>
    <n v="464"/>
    <d v="2025-12-26T00:00:00"/>
    <x v="3"/>
    <s v="Paid"/>
    <n v="11501"/>
  </r>
  <r>
    <n v="365"/>
    <n v="465"/>
    <d v="2025-12-29T00:00:00"/>
    <x v="4"/>
    <s v="Paid"/>
    <n v="11953"/>
  </r>
  <r>
    <n v="366"/>
    <n v="466"/>
    <d v="2025-01-01T00:00:00"/>
    <x v="0"/>
    <s v="Failed"/>
    <n v="23091"/>
  </r>
  <r>
    <n v="367"/>
    <n v="467"/>
    <d v="2025-01-04T00:00:00"/>
    <x v="1"/>
    <s v="Paid"/>
    <n v="17981"/>
  </r>
  <r>
    <n v="368"/>
    <n v="468"/>
    <d v="2025-01-07T00:00:00"/>
    <x v="2"/>
    <s v="Paid"/>
    <n v="16159"/>
  </r>
  <r>
    <n v="369"/>
    <n v="469"/>
    <d v="2025-01-10T00:00:00"/>
    <x v="3"/>
    <s v="Paid"/>
    <n v="31133"/>
  </r>
  <r>
    <n v="370"/>
    <n v="470"/>
    <d v="2025-01-13T00:00:00"/>
    <x v="4"/>
    <s v="Paid"/>
    <n v="22543"/>
  </r>
  <r>
    <n v="371"/>
    <n v="471"/>
    <d v="2025-01-16T00:00:00"/>
    <x v="0"/>
    <s v="Paid"/>
    <n v="30311"/>
  </r>
  <r>
    <n v="372"/>
    <n v="472"/>
    <d v="2025-01-19T00:00:00"/>
    <x v="1"/>
    <s v="Paid"/>
    <n v="7117"/>
  </r>
  <r>
    <n v="373"/>
    <n v="473"/>
    <d v="2025-01-22T00:00:00"/>
    <x v="2"/>
    <s v="Paid"/>
    <n v="16063"/>
  </r>
  <r>
    <n v="374"/>
    <n v="474"/>
    <d v="2025-01-25T00:00:00"/>
    <x v="3"/>
    <s v="Paid"/>
    <n v="28845"/>
  </r>
  <r>
    <n v="375"/>
    <n v="475"/>
    <d v="2025-01-28T00:00:00"/>
    <x v="4"/>
    <s v="Paid"/>
    <n v="22091"/>
  </r>
  <r>
    <n v="376"/>
    <n v="476"/>
    <d v="2025-01-31T00:00:00"/>
    <x v="0"/>
    <s v="Paid"/>
    <n v="18625"/>
  </r>
  <r>
    <n v="377"/>
    <n v="477"/>
    <d v="2025-02-03T00:00:00"/>
    <x v="1"/>
    <s v="Failed"/>
    <n v="14693"/>
  </r>
  <r>
    <n v="378"/>
    <n v="478"/>
    <d v="2025-02-06T00:00:00"/>
    <x v="2"/>
    <s v="Failed"/>
    <n v="28297"/>
  </r>
  <r>
    <n v="379"/>
    <n v="479"/>
    <d v="2025-02-09T00:00:00"/>
    <x v="3"/>
    <s v="Paid"/>
    <n v="7021"/>
  </r>
  <r>
    <n v="380"/>
    <n v="480"/>
    <d v="2025-02-12T00:00:00"/>
    <x v="4"/>
    <s v="Paid"/>
    <n v="9583"/>
  </r>
  <r>
    <n v="381"/>
    <n v="481"/>
    <d v="2025-02-15T00:00:00"/>
    <x v="0"/>
    <s v="Paid"/>
    <n v="20173"/>
  </r>
  <r>
    <n v="382"/>
    <n v="482"/>
    <d v="2025-02-18T00:00:00"/>
    <x v="1"/>
    <s v="Paid"/>
    <n v="34599"/>
  </r>
  <r>
    <n v="383"/>
    <n v="483"/>
    <d v="2025-02-21T00:00:00"/>
    <x v="2"/>
    <s v="Paid"/>
    <n v="26201"/>
  </r>
  <r>
    <n v="384"/>
    <n v="484"/>
    <d v="2025-02-24T00:00:00"/>
    <x v="3"/>
    <s v="Paid"/>
    <n v="7391"/>
  </r>
  <r>
    <n v="385"/>
    <n v="485"/>
    <d v="2025-02-27T00:00:00"/>
    <x v="4"/>
    <s v="Paid"/>
    <n v="18803"/>
  </r>
  <r>
    <n v="386"/>
    <n v="486"/>
    <d v="2025-03-02T00:00:00"/>
    <x v="0"/>
    <s v="Paid"/>
    <n v="13501"/>
  </r>
  <r>
    <n v="387"/>
    <n v="487"/>
    <d v="2025-03-05T00:00:00"/>
    <x v="1"/>
    <s v="Paid"/>
    <n v="11131"/>
  </r>
  <r>
    <n v="388"/>
    <n v="488"/>
    <d v="2025-03-08T00:00:00"/>
    <x v="2"/>
    <s v="Paid"/>
    <n v="12049"/>
  </r>
  <r>
    <n v="389"/>
    <n v="489"/>
    <d v="2025-03-11T00:00:00"/>
    <x v="3"/>
    <s v="Paid"/>
    <n v="24283"/>
  </r>
  <r>
    <n v="390"/>
    <n v="490"/>
    <d v="2025-03-14T00:00:00"/>
    <x v="4"/>
    <s v="Paid"/>
    <n v="40353"/>
  </r>
  <r>
    <n v="391"/>
    <n v="491"/>
    <d v="2025-03-17T00:00:00"/>
    <x v="0"/>
    <s v="Paid"/>
    <n v="23461"/>
  </r>
  <r>
    <n v="392"/>
    <n v="492"/>
    <d v="2025-03-20T00:00:00"/>
    <x v="1"/>
    <s v="Paid"/>
    <n v="9857"/>
  </r>
  <r>
    <n v="393"/>
    <n v="493"/>
    <d v="2025-03-23T00:00:00"/>
    <x v="2"/>
    <s v="Paid"/>
    <n v="9213"/>
  </r>
  <r>
    <n v="394"/>
    <n v="494"/>
    <d v="2025-03-26T00:00:00"/>
    <x v="3"/>
    <s v="Paid"/>
    <n v="19255"/>
  </r>
  <r>
    <n v="395"/>
    <n v="495"/>
    <d v="2025-03-29T00:00:00"/>
    <x v="4"/>
    <s v="Paid"/>
    <n v="15241"/>
  </r>
  <r>
    <n v="396"/>
    <n v="496"/>
    <d v="2025-04-01T00:00:00"/>
    <x v="0"/>
    <s v="Paid"/>
    <n v="14515"/>
  </r>
  <r>
    <n v="397"/>
    <n v="497"/>
    <d v="2025-04-04T00:00:00"/>
    <x v="1"/>
    <s v="Paid"/>
    <n v="28393"/>
  </r>
  <r>
    <n v="398"/>
    <n v="498"/>
    <d v="2025-04-07T00:00:00"/>
    <x v="2"/>
    <s v="Paid"/>
    <n v="46107"/>
  </r>
  <r>
    <n v="399"/>
    <n v="499"/>
    <d v="2025-04-10T00:00:00"/>
    <x v="3"/>
    <s v="Paid"/>
    <n v="27571"/>
  </r>
  <r>
    <n v="400"/>
    <n v="500"/>
    <d v="2025-04-13T00:00:00"/>
    <x v="4"/>
    <s v="Paid"/>
    <n v="5473"/>
  </r>
  <r>
    <n v="401"/>
    <n v="501"/>
    <d v="2025-04-16T00:00:00"/>
    <x v="0"/>
    <s v="Paid"/>
    <n v="13323"/>
  </r>
  <r>
    <n v="402"/>
    <n v="502"/>
    <d v="2025-04-19T00:00:00"/>
    <x v="1"/>
    <s v="Paid"/>
    <n v="25009"/>
  </r>
  <r>
    <n v="403"/>
    <n v="503"/>
    <d v="2025-04-22T00:00:00"/>
    <x v="2"/>
    <s v="Paid"/>
    <n v="19351"/>
  </r>
  <r>
    <n v="404"/>
    <n v="504"/>
    <d v="2025-04-25T00:00:00"/>
    <x v="3"/>
    <s v="Paid"/>
    <n v="16981"/>
  </r>
  <r>
    <n v="405"/>
    <n v="505"/>
    <d v="2025-04-28T00:00:00"/>
    <x v="4"/>
    <s v="Paid"/>
    <n v="32503"/>
  </r>
  <r>
    <n v="406"/>
    <n v="506"/>
    <d v="2025-05-01T00:00:00"/>
    <x v="0"/>
    <s v="Paid"/>
    <n v="24461"/>
  </r>
  <r>
    <n v="407"/>
    <n v="507"/>
    <d v="2025-05-04T00:00:00"/>
    <x v="1"/>
    <s v="Failed"/>
    <n v="31681"/>
  </r>
  <r>
    <n v="408"/>
    <n v="508"/>
    <d v="2025-05-07T00:00:00"/>
    <x v="2"/>
    <s v="Paid"/>
    <n v="7939"/>
  </r>
  <r>
    <n v="409"/>
    <n v="509"/>
    <d v="2025-05-10T00:00:00"/>
    <x v="3"/>
    <s v="Paid"/>
    <n v="17433"/>
  </r>
  <r>
    <n v="410"/>
    <n v="510"/>
    <d v="2025-05-13T00:00:00"/>
    <x v="4"/>
    <s v="Failed"/>
    <n v="30763"/>
  </r>
  <r>
    <n v="411"/>
    <n v="511"/>
    <d v="2025-05-16T00:00:00"/>
    <x v="0"/>
    <s v="Paid"/>
    <n v="23461"/>
  </r>
  <r>
    <n v="412"/>
    <n v="512"/>
    <d v="2025-05-19T00:00:00"/>
    <x v="1"/>
    <s v="Paid"/>
    <n v="19447"/>
  </r>
  <r>
    <n v="413"/>
    <n v="513"/>
    <d v="2025-05-22T00:00:00"/>
    <x v="2"/>
    <s v="Paid"/>
    <n v="16063"/>
  </r>
  <r>
    <n v="414"/>
    <n v="514"/>
    <d v="2025-05-25T00:00:00"/>
    <x v="3"/>
    <s v="Paid"/>
    <n v="30215"/>
  </r>
  <r>
    <n v="415"/>
    <n v="515"/>
    <d v="2025-05-28T00:00:00"/>
    <x v="4"/>
    <s v="Paid"/>
    <n v="8391"/>
  </r>
  <r>
    <n v="416"/>
    <n v="516"/>
    <d v="2025-05-31T00:00:00"/>
    <x v="0"/>
    <s v="Paid"/>
    <n v="10405"/>
  </r>
  <r>
    <n v="417"/>
    <n v="517"/>
    <d v="2025-06-03T00:00:00"/>
    <x v="1"/>
    <s v="Paid"/>
    <n v="21543"/>
  </r>
  <r>
    <n v="418"/>
    <n v="518"/>
    <d v="2025-06-06T00:00:00"/>
    <x v="2"/>
    <s v="Paid"/>
    <n v="36517"/>
  </r>
  <r>
    <n v="419"/>
    <n v="519"/>
    <d v="2025-06-09T00:00:00"/>
    <x v="3"/>
    <s v="Paid"/>
    <n v="27571"/>
  </r>
  <r>
    <n v="420"/>
    <n v="520"/>
    <d v="2025-06-12T00:00:00"/>
    <x v="4"/>
    <s v="Paid"/>
    <n v="8213"/>
  </r>
  <r>
    <n v="421"/>
    <n v="521"/>
    <d v="2025-06-15T00:00:00"/>
    <x v="0"/>
    <s v="Failed"/>
    <n v="20173"/>
  </r>
  <r>
    <n v="422"/>
    <n v="522"/>
    <d v="2025-06-18T00:00:00"/>
    <x v="1"/>
    <s v="Paid"/>
    <n v="15419"/>
  </r>
  <r>
    <n v="423"/>
    <n v="523"/>
    <d v="2025-06-21T00:00:00"/>
    <x v="2"/>
    <s v="Paid"/>
    <n v="12501"/>
  </r>
  <r>
    <n v="424"/>
    <n v="524"/>
    <d v="2025-06-24T00:00:00"/>
    <x v="3"/>
    <s v="Paid"/>
    <n v="12871"/>
  </r>
  <r>
    <n v="425"/>
    <n v="525"/>
    <d v="2025-06-27T00:00:00"/>
    <x v="4"/>
    <s v="Paid"/>
    <n v="25653"/>
  </r>
  <r>
    <n v="426"/>
    <n v="526"/>
    <d v="2025-06-30T00:00:00"/>
    <x v="0"/>
    <s v="Paid"/>
    <n v="42271"/>
  </r>
  <r>
    <n v="427"/>
    <n v="527"/>
    <d v="2025-07-03T00:00:00"/>
    <x v="1"/>
    <s v="Paid"/>
    <n v="24831"/>
  </r>
  <r>
    <n v="428"/>
    <n v="528"/>
    <d v="2025-07-06T00:00:00"/>
    <x v="2"/>
    <s v="Paid"/>
    <n v="10679"/>
  </r>
  <r>
    <n v="429"/>
    <n v="529"/>
    <d v="2025-07-09T00:00:00"/>
    <x v="3"/>
    <s v="Paid"/>
    <n v="10583"/>
  </r>
  <r>
    <n v="430"/>
    <n v="530"/>
    <d v="2025-07-12T00:00:00"/>
    <x v="4"/>
    <s v="Paid"/>
    <n v="21173"/>
  </r>
  <r>
    <n v="431"/>
    <n v="531"/>
    <d v="2025-07-15T00:00:00"/>
    <x v="0"/>
    <s v="Paid"/>
    <n v="16611"/>
  </r>
  <r>
    <n v="432"/>
    <n v="532"/>
    <d v="2025-07-18T00:00:00"/>
    <x v="1"/>
    <s v="Paid"/>
    <n v="15337"/>
  </r>
  <r>
    <n v="433"/>
    <n v="533"/>
    <d v="2025-07-21T00:00:00"/>
    <x v="2"/>
    <s v="Paid"/>
    <n v="29763"/>
  </r>
  <r>
    <n v="434"/>
    <n v="534"/>
    <d v="2025-07-24T00:00:00"/>
    <x v="3"/>
    <s v="Paid"/>
    <n v="20625"/>
  </r>
  <r>
    <n v="435"/>
    <n v="535"/>
    <d v="2025-07-27T00:00:00"/>
    <x v="4"/>
    <s v="Paid"/>
    <n v="28941"/>
  </r>
  <r>
    <n v="436"/>
    <n v="536"/>
    <d v="2025-07-30T00:00:00"/>
    <x v="0"/>
    <s v="Paid"/>
    <n v="6295"/>
  </r>
  <r>
    <n v="437"/>
    <n v="537"/>
    <d v="2025-08-02T00:00:00"/>
    <x v="1"/>
    <s v="Paid"/>
    <n v="14693"/>
  </r>
  <r>
    <n v="438"/>
    <n v="538"/>
    <d v="2025-08-05T00:00:00"/>
    <x v="2"/>
    <s v="Paid"/>
    <n v="26927"/>
  </r>
  <r>
    <n v="439"/>
    <n v="539"/>
    <d v="2025-08-08T00:00:00"/>
    <x v="3"/>
    <s v="Paid"/>
    <n v="20721"/>
  </r>
  <r>
    <n v="440"/>
    <n v="540"/>
    <d v="2025-08-11T00:00:00"/>
    <x v="4"/>
    <s v="Paid"/>
    <n v="17803"/>
  </r>
  <r>
    <n v="441"/>
    <n v="541"/>
    <d v="2025-08-14T00:00:00"/>
    <x v="0"/>
    <s v="Paid"/>
    <n v="13323"/>
  </r>
  <r>
    <n v="442"/>
    <n v="542"/>
    <d v="2025-08-17T00:00:00"/>
    <x v="1"/>
    <s v="Paid"/>
    <n v="26379"/>
  </r>
  <r>
    <n v="443"/>
    <n v="543"/>
    <d v="2025-08-20T00:00:00"/>
    <x v="2"/>
    <s v="Paid"/>
    <n v="5651"/>
  </r>
  <r>
    <n v="444"/>
    <n v="544"/>
    <d v="2025-08-23T00:00:00"/>
    <x v="3"/>
    <s v="Paid"/>
    <n v="8761"/>
  </r>
  <r>
    <n v="445"/>
    <n v="545"/>
    <d v="2025-08-26T00:00:00"/>
    <x v="4"/>
    <s v="Paid"/>
    <n v="18803"/>
  </r>
  <r>
    <n v="446"/>
    <n v="546"/>
    <d v="2025-08-29T00:00:00"/>
    <x v="0"/>
    <s v="Paid"/>
    <n v="32681"/>
  </r>
  <r>
    <n v="447"/>
    <n v="547"/>
    <d v="2025-09-01T00:00:00"/>
    <x v="1"/>
    <s v="Paid"/>
    <n v="24831"/>
  </r>
  <r>
    <n v="448"/>
    <n v="548"/>
    <d v="2025-09-04T00:00:00"/>
    <x v="2"/>
    <s v="Paid"/>
    <n v="20269"/>
  </r>
  <r>
    <n v="449"/>
    <n v="549"/>
    <d v="2025-09-07T00:00:00"/>
    <x v="3"/>
    <s v="Paid"/>
    <n v="17433"/>
  </r>
  <r>
    <n v="450"/>
    <n v="550"/>
    <d v="2025-09-10T00:00:00"/>
    <x v="4"/>
    <s v="Paid"/>
    <n v="11583"/>
  </r>
  <r>
    <n v="451"/>
    <n v="551"/>
    <d v="2025-09-13T00:00:00"/>
    <x v="0"/>
    <s v="Paid"/>
    <n v="9761"/>
  </r>
  <r>
    <n v="452"/>
    <n v="552"/>
    <d v="2025-09-16T00:00:00"/>
    <x v="1"/>
    <s v="Paid"/>
    <n v="11227"/>
  </r>
  <r>
    <n v="453"/>
    <n v="553"/>
    <d v="2025-09-19T00:00:00"/>
    <x v="2"/>
    <s v="Paid"/>
    <n v="22913"/>
  </r>
  <r>
    <n v="454"/>
    <n v="554"/>
    <d v="2025-09-22T00:00:00"/>
    <x v="3"/>
    <s v="Paid"/>
    <n v="38435"/>
  </r>
  <r>
    <n v="455"/>
    <n v="555"/>
    <d v="2025-09-25T00:00:00"/>
    <x v="4"/>
    <s v="Paid"/>
    <n v="28941"/>
  </r>
  <r>
    <n v="456"/>
    <n v="556"/>
    <d v="2025-09-28T00:00:00"/>
    <x v="0"/>
    <s v="Paid"/>
    <n v="9035"/>
  </r>
  <r>
    <n v="457"/>
    <n v="557"/>
    <d v="2025-10-01T00:00:00"/>
    <x v="1"/>
    <s v="Paid"/>
    <n v="21543"/>
  </r>
  <r>
    <n v="458"/>
    <n v="558"/>
    <d v="2025-10-04T00:00:00"/>
    <x v="2"/>
    <s v="Paid"/>
    <n v="17337"/>
  </r>
  <r>
    <n v="459"/>
    <n v="559"/>
    <d v="2025-10-07T00:00:00"/>
    <x v="3"/>
    <s v="Paid"/>
    <n v="13871"/>
  </r>
  <r>
    <n v="460"/>
    <n v="560"/>
    <d v="2025-10-10T00:00:00"/>
    <x v="4"/>
    <s v="Paid"/>
    <n v="13693"/>
  </r>
  <r>
    <n v="461"/>
    <n v="561"/>
    <d v="2025-10-13T00:00:00"/>
    <x v="0"/>
    <s v="Paid"/>
    <n v="27023"/>
  </r>
  <r>
    <n v="462"/>
    <n v="562"/>
    <d v="2025-10-16T00:00:00"/>
    <x v="1"/>
    <s v="Paid"/>
    <n v="44189"/>
  </r>
  <r>
    <n v="463"/>
    <n v="563"/>
    <d v="2025-10-19T00:00:00"/>
    <x v="2"/>
    <s v="Paid"/>
    <n v="26201"/>
  </r>
  <r>
    <n v="464"/>
    <n v="564"/>
    <d v="2025-10-22T00:00:00"/>
    <x v="3"/>
    <s v="Paid"/>
    <n v="11501"/>
  </r>
  <r>
    <n v="465"/>
    <n v="565"/>
    <d v="2025-10-25T00:00:00"/>
    <x v="4"/>
    <s v="Paid"/>
    <n v="11953"/>
  </r>
  <r>
    <n v="466"/>
    <n v="566"/>
    <d v="2025-10-28T00:00:00"/>
    <x v="0"/>
    <s v="Paid"/>
    <n v="23091"/>
  </r>
  <r>
    <n v="467"/>
    <n v="567"/>
    <d v="2025-10-31T00:00:00"/>
    <x v="1"/>
    <s v="Paid"/>
    <n v="17981"/>
  </r>
  <r>
    <n v="468"/>
    <n v="568"/>
    <d v="2025-11-03T00:00:00"/>
    <x v="2"/>
    <s v="Failed"/>
    <n v="16159"/>
  </r>
  <r>
    <n v="469"/>
    <n v="569"/>
    <d v="2025-11-06T00:00:00"/>
    <x v="3"/>
    <s v="Paid"/>
    <n v="31133"/>
  </r>
  <r>
    <n v="470"/>
    <n v="570"/>
    <d v="2025-11-09T00:00:00"/>
    <x v="4"/>
    <s v="Paid"/>
    <n v="22543"/>
  </r>
  <r>
    <n v="471"/>
    <n v="571"/>
    <d v="2025-11-12T00:00:00"/>
    <x v="0"/>
    <s v="Paid"/>
    <n v="30311"/>
  </r>
  <r>
    <n v="472"/>
    <n v="572"/>
    <d v="2025-11-15T00:00:00"/>
    <x v="1"/>
    <s v="Paid"/>
    <n v="7117"/>
  </r>
  <r>
    <n v="473"/>
    <n v="573"/>
    <d v="2025-11-18T00:00:00"/>
    <x v="2"/>
    <s v="Paid"/>
    <n v="16063"/>
  </r>
  <r>
    <n v="474"/>
    <n v="574"/>
    <d v="2025-11-21T00:00:00"/>
    <x v="3"/>
    <s v="Paid"/>
    <n v="28845"/>
  </r>
  <r>
    <n v="475"/>
    <n v="575"/>
    <d v="2025-11-24T00:00:00"/>
    <x v="4"/>
    <s v="Failed"/>
    <n v="22091"/>
  </r>
  <r>
    <n v="476"/>
    <n v="576"/>
    <d v="2025-11-27T00:00:00"/>
    <x v="0"/>
    <s v="Paid"/>
    <n v="18625"/>
  </r>
  <r>
    <n v="477"/>
    <n v="577"/>
    <d v="2025-11-30T00:00:00"/>
    <x v="1"/>
    <s v="Paid"/>
    <n v="14693"/>
  </r>
  <r>
    <n v="478"/>
    <n v="578"/>
    <d v="2025-12-03T00:00:00"/>
    <x v="2"/>
    <s v="Paid"/>
    <n v="28297"/>
  </r>
  <r>
    <n v="479"/>
    <n v="579"/>
    <d v="2025-12-06T00:00:00"/>
    <x v="3"/>
    <s v="Paid"/>
    <n v="7021"/>
  </r>
  <r>
    <n v="480"/>
    <n v="580"/>
    <d v="2025-12-09T00:00:00"/>
    <x v="4"/>
    <s v="Paid"/>
    <n v="9583"/>
  </r>
  <r>
    <n v="481"/>
    <n v="581"/>
    <d v="2025-12-12T00:00:00"/>
    <x v="0"/>
    <s v="Paid"/>
    <n v="20173"/>
  </r>
  <r>
    <n v="482"/>
    <n v="582"/>
    <d v="2025-12-15T00:00:00"/>
    <x v="1"/>
    <s v="Paid"/>
    <n v="34599"/>
  </r>
  <r>
    <n v="483"/>
    <n v="583"/>
    <d v="2025-12-18T00:00:00"/>
    <x v="2"/>
    <s v="Paid"/>
    <n v="26201"/>
  </r>
  <r>
    <n v="484"/>
    <n v="584"/>
    <d v="2025-12-21T00:00:00"/>
    <x v="3"/>
    <s v="Paid"/>
    <n v="7391"/>
  </r>
  <r>
    <n v="485"/>
    <n v="585"/>
    <d v="2025-12-24T00:00:00"/>
    <x v="4"/>
    <s v="Paid"/>
    <n v="18803"/>
  </r>
  <r>
    <n v="486"/>
    <n v="586"/>
    <d v="2025-12-27T00:00:00"/>
    <x v="0"/>
    <s v="Paid"/>
    <n v="13501"/>
  </r>
  <r>
    <n v="487"/>
    <n v="587"/>
    <d v="2025-12-30T00:00:00"/>
    <x v="1"/>
    <s v="Failed"/>
    <n v="11131"/>
  </r>
  <r>
    <n v="488"/>
    <n v="588"/>
    <d v="2025-01-02T00:00:00"/>
    <x v="2"/>
    <s v="Paid"/>
    <n v="12049"/>
  </r>
  <r>
    <n v="489"/>
    <n v="589"/>
    <d v="2025-01-05T00:00:00"/>
    <x v="3"/>
    <s v="Paid"/>
    <n v="24283"/>
  </r>
  <r>
    <n v="490"/>
    <n v="590"/>
    <d v="2025-01-08T00:00:00"/>
    <x v="4"/>
    <s v="Failed"/>
    <n v="40353"/>
  </r>
  <r>
    <n v="491"/>
    <n v="591"/>
    <d v="2025-01-11T00:00:00"/>
    <x v="0"/>
    <s v="Paid"/>
    <n v="23461"/>
  </r>
  <r>
    <n v="492"/>
    <n v="592"/>
    <d v="2025-01-14T00:00:00"/>
    <x v="1"/>
    <s v="Failed"/>
    <n v="9857"/>
  </r>
  <r>
    <n v="493"/>
    <n v="593"/>
    <d v="2025-01-17T00:00:00"/>
    <x v="2"/>
    <s v="Paid"/>
    <n v="9213"/>
  </r>
  <r>
    <n v="494"/>
    <n v="594"/>
    <d v="2025-01-20T00:00:00"/>
    <x v="3"/>
    <s v="Paid"/>
    <n v="19255"/>
  </r>
  <r>
    <n v="495"/>
    <n v="595"/>
    <d v="2025-01-23T00:00:00"/>
    <x v="4"/>
    <s v="Paid"/>
    <n v="15241"/>
  </r>
  <r>
    <n v="496"/>
    <n v="596"/>
    <d v="2025-01-26T00:00:00"/>
    <x v="0"/>
    <s v="Paid"/>
    <n v="14515"/>
  </r>
  <r>
    <n v="497"/>
    <n v="597"/>
    <d v="2025-01-29T00:00:00"/>
    <x v="1"/>
    <s v="Paid"/>
    <n v="28393"/>
  </r>
  <r>
    <n v="498"/>
    <n v="598"/>
    <d v="2025-02-01T00:00:00"/>
    <x v="2"/>
    <s v="Paid"/>
    <n v="46107"/>
  </r>
  <r>
    <n v="499"/>
    <n v="599"/>
    <d v="2025-02-04T00:00:00"/>
    <x v="3"/>
    <s v="Paid"/>
    <n v="27571"/>
  </r>
  <r>
    <n v="500"/>
    <n v="600"/>
    <d v="2025-02-07T00:00:00"/>
    <x v="4"/>
    <s v="Paid"/>
    <n v="54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904F7-A95D-4A4E-808F-D7298F8179F8}" name="PivotTable3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6">
    <pivotField dataField="1" compact="0" outline="0" showAll="0"/>
    <pivotField compact="0" outline="0" showAll="0"/>
    <pivotField compact="0" numFmtId="14" outline="0" showAll="0"/>
    <pivotField axis="axisRow"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dataField="1" compact="0" numFmtId="165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yment_id" fld="0" baseField="0" baseItem="0"/>
    <dataField name="Sum of amount" fld="5" baseField="0" baseItem="0" numFmtId="165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3250D-2494-4A52-9F42-D3ACAB4AF672}" name="PivotTable2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319">
        <item x="143"/>
        <item x="215"/>
        <item x="50"/>
        <item x="243"/>
        <item x="158"/>
        <item x="184"/>
        <item x="138"/>
        <item x="288"/>
        <item x="209"/>
        <item x="72"/>
        <item x="118"/>
        <item x="164"/>
        <item x="59"/>
        <item x="265"/>
        <item x="193"/>
        <item x="224"/>
        <item x="302"/>
        <item x="314"/>
        <item x="100"/>
        <item x="275"/>
        <item x="120"/>
        <item x="103"/>
        <item x="236"/>
        <item x="168"/>
        <item x="276"/>
        <item x="142"/>
        <item x="181"/>
        <item x="32"/>
        <item x="22"/>
        <item x="266"/>
        <item x="296"/>
        <item x="167"/>
        <item x="268"/>
        <item x="148"/>
        <item x="57"/>
        <item x="170"/>
        <item x="270"/>
        <item x="26"/>
        <item x="107"/>
        <item x="68"/>
        <item x="37"/>
        <item x="267"/>
        <item x="73"/>
        <item x="163"/>
        <item x="98"/>
        <item x="8"/>
        <item x="137"/>
        <item x="58"/>
        <item x="155"/>
        <item x="260"/>
        <item x="315"/>
        <item x="121"/>
        <item x="225"/>
        <item x="230"/>
        <item x="245"/>
        <item x="206"/>
        <item x="217"/>
        <item x="75"/>
        <item x="278"/>
        <item x="159"/>
        <item x="35"/>
        <item x="105"/>
        <item x="81"/>
        <item x="86"/>
        <item x="93"/>
        <item x="177"/>
        <item x="303"/>
        <item x="262"/>
        <item x="70"/>
        <item x="90"/>
        <item x="156"/>
        <item x="76"/>
        <item x="277"/>
        <item x="255"/>
        <item x="20"/>
        <item x="205"/>
        <item x="88"/>
        <item x="128"/>
        <item x="56"/>
        <item x="269"/>
        <item x="12"/>
        <item x="102"/>
        <item x="233"/>
        <item x="283"/>
        <item x="99"/>
        <item x="69"/>
        <item x="234"/>
        <item x="140"/>
        <item x="203"/>
        <item x="257"/>
        <item x="47"/>
        <item x="228"/>
        <item x="132"/>
        <item x="187"/>
        <item x="201"/>
        <item x="126"/>
        <item x="31"/>
        <item x="28"/>
        <item x="263"/>
        <item x="139"/>
        <item x="291"/>
        <item x="24"/>
        <item x="19"/>
        <item x="221"/>
        <item x="104"/>
        <item x="53"/>
        <item x="165"/>
        <item x="192"/>
        <item x="242"/>
        <item x="188"/>
        <item x="251"/>
        <item x="13"/>
        <item x="298"/>
        <item x="281"/>
        <item x="152"/>
        <item x="15"/>
        <item x="27"/>
        <item x="40"/>
        <item x="117"/>
        <item x="299"/>
        <item x="161"/>
        <item x="285"/>
        <item x="114"/>
        <item x="197"/>
        <item x="207"/>
        <item x="235"/>
        <item x="198"/>
        <item x="78"/>
        <item x="179"/>
        <item x="123"/>
        <item x="295"/>
        <item x="55"/>
        <item x="264"/>
        <item x="282"/>
        <item x="183"/>
        <item x="63"/>
        <item x="244"/>
        <item x="71"/>
        <item x="199"/>
        <item x="125"/>
        <item x="218"/>
        <item x="290"/>
        <item x="202"/>
        <item x="279"/>
        <item x="87"/>
        <item x="82"/>
        <item x="3"/>
        <item x="146"/>
        <item x="300"/>
        <item x="9"/>
        <item x="44"/>
        <item x="127"/>
        <item x="95"/>
        <item x="79"/>
        <item x="1"/>
        <item x="256"/>
        <item x="294"/>
        <item x="162"/>
        <item x="258"/>
        <item x="130"/>
        <item x="180"/>
        <item x="216"/>
        <item x="7"/>
        <item x="5"/>
        <item x="247"/>
        <item x="190"/>
        <item x="6"/>
        <item x="122"/>
        <item x="239"/>
        <item x="89"/>
        <item x="129"/>
        <item x="250"/>
        <item x="213"/>
        <item x="214"/>
        <item x="85"/>
        <item x="309"/>
        <item x="212"/>
        <item x="111"/>
        <item x="237"/>
        <item x="62"/>
        <item x="77"/>
        <item x="136"/>
        <item x="101"/>
        <item x="311"/>
        <item x="178"/>
        <item x="229"/>
        <item x="84"/>
        <item x="271"/>
        <item x="200"/>
        <item x="308"/>
        <item x="293"/>
        <item x="289"/>
        <item x="301"/>
        <item x="186"/>
        <item x="238"/>
        <item x="149"/>
        <item x="33"/>
        <item x="112"/>
        <item x="97"/>
        <item x="65"/>
        <item x="226"/>
        <item x="38"/>
        <item x="34"/>
        <item x="10"/>
        <item x="204"/>
        <item x="310"/>
        <item x="261"/>
        <item x="45"/>
        <item x="169"/>
        <item x="119"/>
        <item x="16"/>
        <item x="317"/>
        <item x="189"/>
        <item x="219"/>
        <item x="307"/>
        <item x="174"/>
        <item x="2"/>
        <item x="153"/>
        <item x="232"/>
        <item x="36"/>
        <item x="30"/>
        <item x="220"/>
        <item x="135"/>
        <item x="0"/>
        <item x="304"/>
        <item x="222"/>
        <item x="176"/>
        <item x="280"/>
        <item x="4"/>
        <item x="157"/>
        <item x="185"/>
        <item x="305"/>
        <item x="211"/>
        <item x="150"/>
        <item x="249"/>
        <item x="175"/>
        <item x="195"/>
        <item x="25"/>
        <item x="253"/>
        <item x="46"/>
        <item x="134"/>
        <item x="312"/>
        <item x="74"/>
        <item x="313"/>
        <item x="109"/>
        <item x="94"/>
        <item x="64"/>
        <item x="241"/>
        <item x="173"/>
        <item x="248"/>
        <item x="145"/>
        <item x="54"/>
        <item x="29"/>
        <item x="147"/>
        <item x="292"/>
        <item x="284"/>
        <item x="182"/>
        <item x="191"/>
        <item x="272"/>
        <item x="51"/>
        <item x="49"/>
        <item x="166"/>
        <item x="11"/>
        <item x="116"/>
        <item x="223"/>
        <item x="60"/>
        <item x="110"/>
        <item x="171"/>
        <item x="106"/>
        <item x="254"/>
        <item x="124"/>
        <item x="41"/>
        <item x="252"/>
        <item x="144"/>
        <item x="287"/>
        <item x="286"/>
        <item x="141"/>
        <item x="83"/>
        <item x="115"/>
        <item x="160"/>
        <item x="80"/>
        <item x="96"/>
        <item x="172"/>
        <item x="17"/>
        <item x="91"/>
        <item x="274"/>
        <item x="194"/>
        <item x="108"/>
        <item x="227"/>
        <item x="246"/>
        <item x="273"/>
        <item x="259"/>
        <item x="67"/>
        <item x="92"/>
        <item x="23"/>
        <item x="210"/>
        <item x="113"/>
        <item x="240"/>
        <item x="18"/>
        <item x="14"/>
        <item x="306"/>
        <item x="208"/>
        <item x="61"/>
        <item x="48"/>
        <item x="231"/>
        <item x="154"/>
        <item x="133"/>
        <item x="66"/>
        <item x="131"/>
        <item x="42"/>
        <item x="52"/>
        <item x="196"/>
        <item x="21"/>
        <item x="297"/>
        <item x="316"/>
        <item x="151"/>
        <item x="43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62"/>
    </i>
    <i>
      <x v="202"/>
    </i>
    <i>
      <x v="197"/>
    </i>
    <i>
      <x v="267"/>
    </i>
    <i>
      <x v="245"/>
    </i>
    <i>
      <x v="74"/>
    </i>
    <i>
      <x v="308"/>
    </i>
    <i>
      <x v="294"/>
    </i>
    <i>
      <x v="34"/>
    </i>
    <i>
      <x v="265"/>
    </i>
    <i t="grand">
      <x/>
    </i>
  </rowItems>
  <colItems count="1">
    <i/>
  </colItems>
  <dataFields count="1">
    <dataField name="Sum of revenue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C9288-8468-4BEB-9E59-37B8EA4D2EAF}" name="PivotTable2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3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outline="0" showAll="0"/>
    <pivotField compact="0" outline="0" showAll="0"/>
    <pivotField axis="axisRow" compact="0" outline="0" showAll="0" sortType="descending">
      <items count="10">
        <item x="6"/>
        <item x="4"/>
        <item x="0"/>
        <item x="2"/>
        <item x="5"/>
        <item x="3"/>
        <item x="1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10">
    <i>
      <x v="8"/>
    </i>
    <i>
      <x/>
    </i>
    <i>
      <x v="7"/>
    </i>
    <i>
      <x v="3"/>
    </i>
    <i>
      <x v="1"/>
    </i>
    <i>
      <x v="6"/>
    </i>
    <i>
      <x v="5"/>
    </i>
    <i>
      <x v="2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21C4F-7E6A-442A-9EF8-F52944AD63DB}" name="PivotTable7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14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 measureFilter="1" sortType="descending">
      <items count="52">
        <item x="30"/>
        <item x="40"/>
        <item x="24"/>
        <item x="15"/>
        <item x="20"/>
        <item x="39"/>
        <item x="3"/>
        <item x="12"/>
        <item x="6"/>
        <item x="18"/>
        <item x="17"/>
        <item x="8"/>
        <item x="37"/>
        <item x="26"/>
        <item x="36"/>
        <item x="19"/>
        <item x="45"/>
        <item x="47"/>
        <item x="35"/>
        <item x="38"/>
        <item x="16"/>
        <item x="22"/>
        <item x="21"/>
        <item x="49"/>
        <item x="4"/>
        <item x="1"/>
        <item x="42"/>
        <item x="48"/>
        <item x="14"/>
        <item x="11"/>
        <item x="32"/>
        <item x="5"/>
        <item x="25"/>
        <item x="10"/>
        <item x="43"/>
        <item x="27"/>
        <item x="9"/>
        <item x="44"/>
        <item x="7"/>
        <item x="13"/>
        <item x="2"/>
        <item x="28"/>
        <item x="41"/>
        <item x="46"/>
        <item x="0"/>
        <item x="34"/>
        <item x="29"/>
        <item x="31"/>
        <item x="23"/>
        <item x="33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11">
    <i>
      <x v="7"/>
    </i>
    <i>
      <x v="4"/>
    </i>
    <i>
      <x v="45"/>
    </i>
    <i>
      <x v="27"/>
    </i>
    <i>
      <x v="38"/>
    </i>
    <i>
      <x v="13"/>
    </i>
    <i>
      <x v="1"/>
    </i>
    <i>
      <x v="11"/>
    </i>
    <i>
      <x v="9"/>
    </i>
    <i>
      <x v="30"/>
    </i>
    <i t="grand">
      <x/>
    </i>
  </rowItems>
  <colItems count="1">
    <i/>
  </colItems>
  <dataFields count="1">
    <dataField name="Sum of revenue" fld="5" baseField="0" baseItem="0"/>
  </dataField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7B549-A923-4581-9E14-87718ED85293}" name="PivotTable10" cacheId="5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0">
    <pivotField compact="0" outline="0" showAll="0"/>
    <pivotField compact="0" outline="0" showAll="0"/>
    <pivotField compact="0" numFmtId="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0B354-948A-401A-A601-EFB101B5C91C}" name="Table1" displayName="Table1" ref="A1:G501" totalsRowShown="0">
  <autoFilter ref="A1:G501" xr:uid="{0D90B354-948A-401A-A601-EFB101B5C91C}"/>
  <tableColumns count="7">
    <tableColumn id="1" xr3:uid="{1AC2C511-4033-4955-86DB-3DECE33D0A99}" name="customer_id"/>
    <tableColumn id="2" xr3:uid="{B200B002-EBFF-4FBB-BAAF-311904A649C5}" name="customer_name"/>
    <tableColumn id="3" xr3:uid="{FF9839FC-8D65-44C3-8ADA-E10EB1C363A6}" name="city"/>
    <tableColumn id="4" xr3:uid="{9A3F9ABA-3089-4B56-8B74-8D5DE68EB5EE}" name="state"/>
    <tableColumn id="5" xr3:uid="{FEF8A353-838C-40BC-B280-438B934735B0}" name="age"/>
    <tableColumn id="6" xr3:uid="{5976A2F6-6C70-4F20-960F-307261F7FB39}" name="gender"/>
    <tableColumn id="7" xr3:uid="{B6636BA7-8E2D-419C-BE86-E9E0CBDA8E9B}" name="Duplicate_Check" dataDxfId="18">
      <calculatedColumnFormula>COUNTIF(A:A,A2)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208F11-441B-4630-B078-CF8A36CA5093}" name="Table2" displayName="Table2" ref="A1:E51" totalsRowShown="0">
  <autoFilter ref="A1:E51" xr:uid="{80208F11-441B-4630-B078-CF8A36CA5093}"/>
  <tableColumns count="5">
    <tableColumn id="1" xr3:uid="{26FEFF57-93DA-4100-BEA7-6773748C8DBB}" name="product_id"/>
    <tableColumn id="2" xr3:uid="{CCC6BA60-983E-43A8-8F7C-5095D0CFF192}" name="product_name"/>
    <tableColumn id="3" xr3:uid="{7C6363D7-95E9-4744-8AAD-6BD7233678E0}" name="category" dataDxfId="17"/>
    <tableColumn id="4" xr3:uid="{14893A9F-5E06-4DAB-A175-1D95BF5DF57E}" name="price" dataDxfId="16"/>
    <tableColumn id="5" xr3:uid="{92ADE3E3-1EA5-4CEC-9B4A-6F7ACFBFAF52}" name="cost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A2D95F-0A66-411F-8E33-1463F2ED414C}" name="Table3" displayName="Table3" ref="A1:E501" totalsRowShown="0">
  <autoFilter ref="A1:E501" xr:uid="{84A2D95F-0A66-411F-8E33-1463F2ED414C}"/>
  <tableColumns count="5">
    <tableColumn id="1" xr3:uid="{4952200E-F528-438E-8012-B8DAA6966A40}" name="order_id"/>
    <tableColumn id="2" xr3:uid="{E1F5CAD1-DCC4-4225-AF49-4761D630A496}" name="customer_id"/>
    <tableColumn id="3" xr3:uid="{FFAF8BA4-5E5B-4FCF-8233-886DAE0B2D88}" name="order_date" dataDxfId="14"/>
    <tableColumn id="4" xr3:uid="{D872E5DB-BEB1-4626-8F49-20DE3F171C7A}" name="order_status" dataDxfId="13"/>
    <tableColumn id="5" xr3:uid="{B85EC8CF-180A-44DD-B759-56B65D8C22C6}" name="order_month" dataDxfId="12">
      <calculatedColumnFormula>TEXT(Table3[[#This Row],[order_date]],"mmm-yyyy")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1DF930-17F9-4195-9A3A-BA8FCBE7851C}" name="Table4" displayName="Table4" ref="A1:M1001" totalsRowShown="0">
  <autoFilter ref="A1:M1001" xr:uid="{0F1DF930-17F9-4195-9A3A-BA8FCBE7851C}"/>
  <tableColumns count="13">
    <tableColumn id="1" xr3:uid="{04E50547-3850-4671-81F5-54EAC998EF1D}" name="order_item_id"/>
    <tableColumn id="2" xr3:uid="{13E4A39F-312F-46D7-86D9-7D4184F4A981}" name="order_id"/>
    <tableColumn id="3" xr3:uid="{1A18B221-25E8-4B55-AD69-C2D920C0EE5C}" name="product_id"/>
    <tableColumn id="4" xr3:uid="{A6CE68EF-8863-4DA3-9183-EA06BCED69BE}" name="quantity" dataDxfId="11"/>
    <tableColumn id="5" xr3:uid="{DDB67A29-C258-4FAD-89D1-DD8F9F9BBADD}" name="unit_price" dataDxfId="10">
      <calculatedColumnFormula>_xlfn.XLOOKUP(C2,products!A:A,products!D:D)</calculatedColumnFormula>
    </tableColumn>
    <tableColumn id="6" xr3:uid="{9F07AC46-A81D-4E46-A5CE-606D4C3DBF33}" name="revenue" dataDxfId="9">
      <calculatedColumnFormula>D2*E2</calculatedColumnFormula>
    </tableColumn>
    <tableColumn id="7" xr3:uid="{DA931443-357E-45A8-A812-4743D9B7EF97}" name="profit" dataDxfId="8">
      <calculatedColumnFormula>D2*(E2-_xlfn.XLOOKUP(C2,products!A:A,products!E:E))</calculatedColumnFormula>
    </tableColumn>
    <tableColumn id="8" xr3:uid="{10796B15-C6EC-4BEC-95C9-D321FE29E945}" name="category" dataDxfId="7">
      <calculatedColumnFormula>_xlfn.XLOOKUP(C2,products!A:A,products!C:C)</calculatedColumnFormula>
    </tableColumn>
    <tableColumn id="9" xr3:uid="{8426F2CC-AF97-4667-8505-D61662AF73E7}" name="product_name" dataDxfId="6">
      <calculatedColumnFormula>_xlfn.XLOOKUP(C2,products!A:A,products!B:B)</calculatedColumnFormula>
    </tableColumn>
    <tableColumn id="10" xr3:uid="{A9860A69-6EA5-4018-B9D0-C86BE7D24B89}" name="order_date" dataDxfId="5">
      <calculatedColumnFormula>_xlfn.XLOOKUP(B2,orders!A:A,orders!C:C)</calculatedColumnFormula>
    </tableColumn>
    <tableColumn id="11" xr3:uid="{740E3540-4ADD-45D4-9264-4C3DF84A07BF}" name="order_month" dataDxfId="4">
      <calculatedColumnFormula>TEXT(J2,"mmm-yyyy")</calculatedColumnFormula>
    </tableColumn>
    <tableColumn id="12" xr3:uid="{2ECC79D2-3511-4C14-B8CF-35EA403C5F3F}" name="customer_id" dataDxfId="3">
      <calculatedColumnFormula>_xlfn.XLOOKUP(B2,orders!A:A,orders!B:B)</calculatedColumnFormula>
    </tableColumn>
    <tableColumn id="13" xr3:uid="{49B0366F-9E78-41AE-9424-61ADF9EE660E}" name="customer_name" dataDxfId="2">
      <calculatedColumnFormula>_xlfn.XLOOKUP("C"&amp;TEXT(L2,"000"),customers!A:A,customers!B:B,"Not Found")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A3B3F8-B5B7-4E1F-9D14-77A285064AE4}" name="Table5" displayName="Table5" ref="A1:F501" totalsRowShown="0">
  <autoFilter ref="A1:F501" xr:uid="{FFA3B3F8-B5B7-4E1F-9D14-77A285064AE4}"/>
  <tableColumns count="6">
    <tableColumn id="1" xr3:uid="{7C4DDEA6-94DC-43AC-AF00-58CD50E379DF}" name="payment_id"/>
    <tableColumn id="2" xr3:uid="{8F7C7862-398C-4533-A322-DB1C73631366}" name="order_id"/>
    <tableColumn id="3" xr3:uid="{2B39C16F-0291-403A-A613-477F902C9CAB}" name="payment_date" dataDxfId="1"/>
    <tableColumn id="4" xr3:uid="{33BDACA3-0A6A-46E1-9CE9-5DAE3B7F15B2}" name="payment_method"/>
    <tableColumn id="5" xr3:uid="{77EE89BE-4A2A-43C7-9DCD-76D7B54D92B8}" name="payment_status"/>
    <tableColumn id="6" xr3:uid="{F79A4CBD-41D2-4652-93D4-E28493AFFD9C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>
      <selection activeCell="I8" sqref="I8"/>
    </sheetView>
  </sheetViews>
  <sheetFormatPr defaultRowHeight="15"/>
  <cols>
    <col min="1" max="1" width="14.5703125" bestFit="1" customWidth="1"/>
    <col min="2" max="2" width="18" bestFit="1" customWidth="1"/>
    <col min="3" max="3" width="15.7109375" customWidth="1"/>
    <col min="4" max="4" width="16.5703125" customWidth="1"/>
    <col min="6" max="6" width="10.5703125" customWidth="1"/>
    <col min="7" max="7" width="18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35</v>
      </c>
      <c r="F2" t="s">
        <v>11</v>
      </c>
      <c r="G2">
        <f t="shared" ref="G2:G65" si="0">COUNTIF(A:A,A2)</f>
        <v>1</v>
      </c>
    </row>
    <row r="3" spans="1:7">
      <c r="A3" t="s">
        <v>12</v>
      </c>
      <c r="B3" t="s">
        <v>13</v>
      </c>
      <c r="C3" t="s">
        <v>14</v>
      </c>
      <c r="D3" t="s">
        <v>15</v>
      </c>
      <c r="E3">
        <v>24</v>
      </c>
      <c r="F3" t="s">
        <v>11</v>
      </c>
      <c r="G3">
        <f t="shared" si="0"/>
        <v>1</v>
      </c>
    </row>
    <row r="4" spans="1:7">
      <c r="A4" t="s">
        <v>16</v>
      </c>
      <c r="B4" t="s">
        <v>17</v>
      </c>
      <c r="C4" t="s">
        <v>18</v>
      </c>
      <c r="D4" t="s">
        <v>19</v>
      </c>
      <c r="E4">
        <v>19</v>
      </c>
      <c r="F4" t="s">
        <v>11</v>
      </c>
      <c r="G4">
        <f t="shared" si="0"/>
        <v>1</v>
      </c>
    </row>
    <row r="5" spans="1:7">
      <c r="A5" t="s">
        <v>20</v>
      </c>
      <c r="B5" t="s">
        <v>21</v>
      </c>
      <c r="C5" t="s">
        <v>22</v>
      </c>
      <c r="D5" t="s">
        <v>23</v>
      </c>
      <c r="E5">
        <v>56</v>
      </c>
      <c r="F5" t="s">
        <v>11</v>
      </c>
      <c r="G5">
        <f t="shared" si="0"/>
        <v>1</v>
      </c>
    </row>
    <row r="6" spans="1:7">
      <c r="A6" t="s">
        <v>24</v>
      </c>
      <c r="B6" t="s">
        <v>25</v>
      </c>
      <c r="C6" t="s">
        <v>26</v>
      </c>
      <c r="D6" t="s">
        <v>27</v>
      </c>
      <c r="E6">
        <v>59</v>
      </c>
      <c r="F6" t="s">
        <v>28</v>
      </c>
      <c r="G6">
        <f t="shared" si="0"/>
        <v>1</v>
      </c>
    </row>
    <row r="7" spans="1:7">
      <c r="A7" t="s">
        <v>29</v>
      </c>
      <c r="B7" t="s">
        <v>30</v>
      </c>
      <c r="C7" t="s">
        <v>14</v>
      </c>
      <c r="D7" t="s">
        <v>15</v>
      </c>
      <c r="E7">
        <v>35</v>
      </c>
      <c r="F7" t="s">
        <v>11</v>
      </c>
      <c r="G7">
        <f t="shared" si="0"/>
        <v>1</v>
      </c>
    </row>
    <row r="8" spans="1:7">
      <c r="A8" t="s">
        <v>31</v>
      </c>
      <c r="B8" t="s">
        <v>32</v>
      </c>
      <c r="C8" t="s">
        <v>33</v>
      </c>
      <c r="D8" t="s">
        <v>19</v>
      </c>
      <c r="E8">
        <v>35</v>
      </c>
      <c r="F8" t="s">
        <v>11</v>
      </c>
      <c r="G8">
        <f t="shared" si="0"/>
        <v>1</v>
      </c>
    </row>
    <row r="9" spans="1:7">
      <c r="A9" t="s">
        <v>34</v>
      </c>
      <c r="B9" t="s">
        <v>35</v>
      </c>
      <c r="C9" t="s">
        <v>22</v>
      </c>
      <c r="D9" t="s">
        <v>23</v>
      </c>
      <c r="E9">
        <v>23</v>
      </c>
      <c r="F9" t="s">
        <v>28</v>
      </c>
      <c r="G9">
        <f t="shared" si="0"/>
        <v>1</v>
      </c>
    </row>
    <row r="10" spans="1:7">
      <c r="A10" t="s">
        <v>36</v>
      </c>
      <c r="B10" t="s">
        <v>37</v>
      </c>
      <c r="C10" t="s">
        <v>9</v>
      </c>
      <c r="D10" t="s">
        <v>10</v>
      </c>
      <c r="E10">
        <v>56</v>
      </c>
      <c r="F10" t="s">
        <v>28</v>
      </c>
      <c r="G10">
        <f t="shared" si="0"/>
        <v>1</v>
      </c>
    </row>
    <row r="11" spans="1:7">
      <c r="A11" t="s">
        <v>38</v>
      </c>
      <c r="B11" t="s">
        <v>39</v>
      </c>
      <c r="C11" t="s">
        <v>40</v>
      </c>
      <c r="D11" t="s">
        <v>10</v>
      </c>
      <c r="E11">
        <v>25</v>
      </c>
      <c r="F11" t="s">
        <v>28</v>
      </c>
      <c r="G11">
        <f t="shared" si="0"/>
        <v>1</v>
      </c>
    </row>
    <row r="12" spans="1:7">
      <c r="A12" t="s">
        <v>41</v>
      </c>
      <c r="B12" t="s">
        <v>42</v>
      </c>
      <c r="C12" t="s">
        <v>43</v>
      </c>
      <c r="D12" t="s">
        <v>10</v>
      </c>
      <c r="E12">
        <v>58</v>
      </c>
      <c r="F12" t="s">
        <v>28</v>
      </c>
      <c r="G12">
        <f t="shared" si="0"/>
        <v>1</v>
      </c>
    </row>
    <row r="13" spans="1:7">
      <c r="A13" t="s">
        <v>44</v>
      </c>
      <c r="B13" t="s">
        <v>25</v>
      </c>
      <c r="C13" t="s">
        <v>18</v>
      </c>
      <c r="D13" t="s">
        <v>19</v>
      </c>
      <c r="E13">
        <v>22</v>
      </c>
      <c r="F13" t="s">
        <v>11</v>
      </c>
      <c r="G13">
        <f t="shared" si="0"/>
        <v>1</v>
      </c>
    </row>
    <row r="14" spans="1:7">
      <c r="A14" t="s">
        <v>45</v>
      </c>
      <c r="B14" t="s">
        <v>46</v>
      </c>
      <c r="C14" t="s">
        <v>14</v>
      </c>
      <c r="D14" t="s">
        <v>15</v>
      </c>
      <c r="E14">
        <v>32</v>
      </c>
      <c r="F14" t="s">
        <v>11</v>
      </c>
      <c r="G14">
        <f t="shared" si="0"/>
        <v>1</v>
      </c>
    </row>
    <row r="15" spans="1:7">
      <c r="A15" t="s">
        <v>47</v>
      </c>
      <c r="B15" t="s">
        <v>48</v>
      </c>
      <c r="C15" t="s">
        <v>49</v>
      </c>
      <c r="D15" t="s">
        <v>50</v>
      </c>
      <c r="E15">
        <v>58</v>
      </c>
      <c r="F15" t="s">
        <v>28</v>
      </c>
      <c r="G15">
        <f t="shared" si="0"/>
        <v>1</v>
      </c>
    </row>
    <row r="16" spans="1:7">
      <c r="A16" t="s">
        <v>51</v>
      </c>
      <c r="B16" t="s">
        <v>37</v>
      </c>
      <c r="C16" t="s">
        <v>33</v>
      </c>
      <c r="D16" t="s">
        <v>19</v>
      </c>
      <c r="E16">
        <v>31</v>
      </c>
      <c r="F16" t="s">
        <v>28</v>
      </c>
      <c r="G16">
        <f t="shared" si="0"/>
        <v>1</v>
      </c>
    </row>
    <row r="17" spans="1:7">
      <c r="A17" t="s">
        <v>52</v>
      </c>
      <c r="B17" t="s">
        <v>53</v>
      </c>
      <c r="C17" t="s">
        <v>43</v>
      </c>
      <c r="D17" t="s">
        <v>10</v>
      </c>
      <c r="E17">
        <v>28</v>
      </c>
      <c r="F17" t="s">
        <v>11</v>
      </c>
      <c r="G17">
        <f t="shared" si="0"/>
        <v>1</v>
      </c>
    </row>
    <row r="18" spans="1:7">
      <c r="A18" t="s">
        <v>54</v>
      </c>
      <c r="B18" t="s">
        <v>55</v>
      </c>
      <c r="C18" t="s">
        <v>33</v>
      </c>
      <c r="D18" t="s">
        <v>19</v>
      </c>
      <c r="E18">
        <v>35</v>
      </c>
      <c r="F18" t="s">
        <v>11</v>
      </c>
      <c r="G18">
        <f t="shared" si="0"/>
        <v>1</v>
      </c>
    </row>
    <row r="19" spans="1:7">
      <c r="A19" t="s">
        <v>56</v>
      </c>
      <c r="B19" t="s">
        <v>57</v>
      </c>
      <c r="C19" t="s">
        <v>58</v>
      </c>
      <c r="D19" t="s">
        <v>59</v>
      </c>
      <c r="E19">
        <v>20</v>
      </c>
      <c r="F19" t="s">
        <v>28</v>
      </c>
      <c r="G19">
        <f t="shared" si="0"/>
        <v>1</v>
      </c>
    </row>
    <row r="20" spans="1:7">
      <c r="A20" t="s">
        <v>60</v>
      </c>
      <c r="B20" t="s">
        <v>61</v>
      </c>
      <c r="C20" t="s">
        <v>49</v>
      </c>
      <c r="D20" t="s">
        <v>50</v>
      </c>
      <c r="E20">
        <v>31</v>
      </c>
      <c r="F20" t="s">
        <v>28</v>
      </c>
      <c r="G20">
        <f t="shared" si="0"/>
        <v>1</v>
      </c>
    </row>
    <row r="21" spans="1:7">
      <c r="A21" t="s">
        <v>62</v>
      </c>
      <c r="B21" t="s">
        <v>63</v>
      </c>
      <c r="C21" t="s">
        <v>22</v>
      </c>
      <c r="D21" t="s">
        <v>23</v>
      </c>
      <c r="E21">
        <v>59</v>
      </c>
      <c r="F21" t="s">
        <v>28</v>
      </c>
      <c r="G21">
        <f t="shared" si="0"/>
        <v>1</v>
      </c>
    </row>
    <row r="22" spans="1:7">
      <c r="A22" t="s">
        <v>64</v>
      </c>
      <c r="B22" t="s">
        <v>65</v>
      </c>
      <c r="C22" t="s">
        <v>66</v>
      </c>
      <c r="D22" t="s">
        <v>67</v>
      </c>
      <c r="E22">
        <v>33</v>
      </c>
      <c r="F22" t="s">
        <v>28</v>
      </c>
      <c r="G22">
        <f t="shared" si="0"/>
        <v>1</v>
      </c>
    </row>
    <row r="23" spans="1:7">
      <c r="A23" t="s">
        <v>68</v>
      </c>
      <c r="B23" t="s">
        <v>69</v>
      </c>
      <c r="C23" t="s">
        <v>18</v>
      </c>
      <c r="D23" t="s">
        <v>19</v>
      </c>
      <c r="E23">
        <v>43</v>
      </c>
      <c r="F23" t="s">
        <v>28</v>
      </c>
      <c r="G23">
        <f t="shared" si="0"/>
        <v>1</v>
      </c>
    </row>
    <row r="24" spans="1:7">
      <c r="A24" t="s">
        <v>70</v>
      </c>
      <c r="B24" t="s">
        <v>71</v>
      </c>
      <c r="C24" t="s">
        <v>14</v>
      </c>
      <c r="D24" t="s">
        <v>15</v>
      </c>
      <c r="E24">
        <v>49</v>
      </c>
      <c r="F24" t="s">
        <v>11</v>
      </c>
      <c r="G24">
        <f t="shared" si="0"/>
        <v>1</v>
      </c>
    </row>
    <row r="25" spans="1:7">
      <c r="A25" t="s">
        <v>72</v>
      </c>
      <c r="B25" t="s">
        <v>73</v>
      </c>
      <c r="C25" t="s">
        <v>40</v>
      </c>
      <c r="D25" t="s">
        <v>10</v>
      </c>
      <c r="E25">
        <v>58</v>
      </c>
      <c r="F25" t="s">
        <v>11</v>
      </c>
      <c r="G25">
        <f t="shared" si="0"/>
        <v>1</v>
      </c>
    </row>
    <row r="26" spans="1:7">
      <c r="A26" t="s">
        <v>74</v>
      </c>
      <c r="B26" t="s">
        <v>75</v>
      </c>
      <c r="C26" t="s">
        <v>76</v>
      </c>
      <c r="D26" t="s">
        <v>77</v>
      </c>
      <c r="E26">
        <v>42</v>
      </c>
      <c r="F26" t="s">
        <v>28</v>
      </c>
      <c r="G26">
        <f t="shared" si="0"/>
        <v>1</v>
      </c>
    </row>
    <row r="27" spans="1:7">
      <c r="A27" t="s">
        <v>78</v>
      </c>
      <c r="B27" t="s">
        <v>79</v>
      </c>
      <c r="C27" t="s">
        <v>80</v>
      </c>
      <c r="D27" t="s">
        <v>23</v>
      </c>
      <c r="E27">
        <v>34</v>
      </c>
      <c r="F27" t="s">
        <v>11</v>
      </c>
      <c r="G27">
        <f t="shared" si="0"/>
        <v>1</v>
      </c>
    </row>
    <row r="28" spans="1:7">
      <c r="A28" t="s">
        <v>81</v>
      </c>
      <c r="B28" t="s">
        <v>82</v>
      </c>
      <c r="C28" t="s">
        <v>9</v>
      </c>
      <c r="D28" t="s">
        <v>10</v>
      </c>
      <c r="E28">
        <v>35</v>
      </c>
      <c r="F28" t="s">
        <v>28</v>
      </c>
      <c r="G28">
        <f t="shared" si="0"/>
        <v>1</v>
      </c>
    </row>
    <row r="29" spans="1:7">
      <c r="A29" t="s">
        <v>83</v>
      </c>
      <c r="B29" t="s">
        <v>84</v>
      </c>
      <c r="C29" t="s">
        <v>9</v>
      </c>
      <c r="D29" t="s">
        <v>10</v>
      </c>
      <c r="E29">
        <v>28</v>
      </c>
      <c r="F29" t="s">
        <v>28</v>
      </c>
      <c r="G29">
        <f t="shared" si="0"/>
        <v>1</v>
      </c>
    </row>
    <row r="30" spans="1:7">
      <c r="A30" t="s">
        <v>85</v>
      </c>
      <c r="B30" t="s">
        <v>86</v>
      </c>
      <c r="C30" t="s">
        <v>87</v>
      </c>
      <c r="D30" t="s">
        <v>67</v>
      </c>
      <c r="E30">
        <v>29</v>
      </c>
      <c r="F30" t="s">
        <v>11</v>
      </c>
      <c r="G30">
        <f t="shared" si="0"/>
        <v>1</v>
      </c>
    </row>
    <row r="31" spans="1:7">
      <c r="A31" t="s">
        <v>88</v>
      </c>
      <c r="B31" t="s">
        <v>89</v>
      </c>
      <c r="C31" t="s">
        <v>90</v>
      </c>
      <c r="D31" t="s">
        <v>90</v>
      </c>
      <c r="E31">
        <v>30</v>
      </c>
      <c r="F31" t="s">
        <v>11</v>
      </c>
      <c r="G31">
        <f t="shared" si="0"/>
        <v>1</v>
      </c>
    </row>
    <row r="32" spans="1:7">
      <c r="A32" t="s">
        <v>91</v>
      </c>
      <c r="B32" t="s">
        <v>92</v>
      </c>
      <c r="C32" t="s">
        <v>93</v>
      </c>
      <c r="D32" t="s">
        <v>94</v>
      </c>
      <c r="E32">
        <v>51</v>
      </c>
      <c r="F32" t="s">
        <v>11</v>
      </c>
      <c r="G32">
        <f t="shared" si="0"/>
        <v>1</v>
      </c>
    </row>
    <row r="33" spans="1:7">
      <c r="A33" t="s">
        <v>95</v>
      </c>
      <c r="B33" t="s">
        <v>96</v>
      </c>
      <c r="C33" t="s">
        <v>80</v>
      </c>
      <c r="D33" t="s">
        <v>23</v>
      </c>
      <c r="E33">
        <v>19</v>
      </c>
      <c r="F33" t="s">
        <v>11</v>
      </c>
      <c r="G33">
        <f t="shared" si="0"/>
        <v>1</v>
      </c>
    </row>
    <row r="34" spans="1:7">
      <c r="A34" t="s">
        <v>97</v>
      </c>
      <c r="B34" t="s">
        <v>98</v>
      </c>
      <c r="C34" t="s">
        <v>93</v>
      </c>
      <c r="D34" t="s">
        <v>94</v>
      </c>
      <c r="E34">
        <v>21</v>
      </c>
      <c r="F34" t="s">
        <v>11</v>
      </c>
      <c r="G34">
        <f t="shared" si="0"/>
        <v>1</v>
      </c>
    </row>
    <row r="35" spans="1:7">
      <c r="A35" t="s">
        <v>99</v>
      </c>
      <c r="B35" t="s">
        <v>100</v>
      </c>
      <c r="C35" t="s">
        <v>18</v>
      </c>
      <c r="D35" t="s">
        <v>19</v>
      </c>
      <c r="E35">
        <v>49</v>
      </c>
      <c r="F35" t="s">
        <v>11</v>
      </c>
      <c r="G35">
        <f t="shared" si="0"/>
        <v>1</v>
      </c>
    </row>
    <row r="36" spans="1:7">
      <c r="A36" t="s">
        <v>101</v>
      </c>
      <c r="B36" t="s">
        <v>102</v>
      </c>
      <c r="C36" t="s">
        <v>26</v>
      </c>
      <c r="D36" t="s">
        <v>27</v>
      </c>
      <c r="E36">
        <v>60</v>
      </c>
      <c r="F36" t="s">
        <v>28</v>
      </c>
      <c r="G36">
        <f t="shared" si="0"/>
        <v>1</v>
      </c>
    </row>
    <row r="37" spans="1:7">
      <c r="A37" t="s">
        <v>103</v>
      </c>
      <c r="B37" t="s">
        <v>104</v>
      </c>
      <c r="C37" t="s">
        <v>26</v>
      </c>
      <c r="D37" t="s">
        <v>27</v>
      </c>
      <c r="E37">
        <v>51</v>
      </c>
      <c r="F37" t="s">
        <v>28</v>
      </c>
      <c r="G37">
        <f t="shared" si="0"/>
        <v>1</v>
      </c>
    </row>
    <row r="38" spans="1:7">
      <c r="A38" t="s">
        <v>105</v>
      </c>
      <c r="B38" t="s">
        <v>82</v>
      </c>
      <c r="C38" t="s">
        <v>22</v>
      </c>
      <c r="D38" t="s">
        <v>23</v>
      </c>
      <c r="E38">
        <v>30</v>
      </c>
      <c r="F38" t="s">
        <v>28</v>
      </c>
      <c r="G38">
        <f t="shared" si="0"/>
        <v>1</v>
      </c>
    </row>
    <row r="39" spans="1:7">
      <c r="A39" t="s">
        <v>106</v>
      </c>
      <c r="B39" t="s">
        <v>107</v>
      </c>
      <c r="C39" t="s">
        <v>49</v>
      </c>
      <c r="D39" t="s">
        <v>50</v>
      </c>
      <c r="E39">
        <v>51</v>
      </c>
      <c r="F39" t="s">
        <v>28</v>
      </c>
      <c r="G39">
        <f t="shared" si="0"/>
        <v>1</v>
      </c>
    </row>
    <row r="40" spans="1:7">
      <c r="A40" t="s">
        <v>108</v>
      </c>
      <c r="B40" t="s">
        <v>109</v>
      </c>
      <c r="C40" t="s">
        <v>9</v>
      </c>
      <c r="D40" t="s">
        <v>10</v>
      </c>
      <c r="E40">
        <v>22</v>
      </c>
      <c r="F40" t="s">
        <v>28</v>
      </c>
      <c r="G40">
        <f t="shared" si="0"/>
        <v>1</v>
      </c>
    </row>
    <row r="41" spans="1:7">
      <c r="A41" t="s">
        <v>110</v>
      </c>
      <c r="B41" t="s">
        <v>111</v>
      </c>
      <c r="C41" t="s">
        <v>87</v>
      </c>
      <c r="D41" t="s">
        <v>67</v>
      </c>
      <c r="E41">
        <v>32</v>
      </c>
      <c r="F41" t="s">
        <v>11</v>
      </c>
      <c r="G41">
        <f t="shared" si="0"/>
        <v>1</v>
      </c>
    </row>
    <row r="42" spans="1:7">
      <c r="A42" t="s">
        <v>112</v>
      </c>
      <c r="B42" t="s">
        <v>113</v>
      </c>
      <c r="C42" t="s">
        <v>87</v>
      </c>
      <c r="D42" t="s">
        <v>67</v>
      </c>
      <c r="E42">
        <v>58</v>
      </c>
      <c r="F42" t="s">
        <v>11</v>
      </c>
      <c r="G42">
        <f t="shared" si="0"/>
        <v>1</v>
      </c>
    </row>
    <row r="43" spans="1:7">
      <c r="A43" t="s">
        <v>114</v>
      </c>
      <c r="B43" t="s">
        <v>115</v>
      </c>
      <c r="C43" t="s">
        <v>14</v>
      </c>
      <c r="D43" t="s">
        <v>15</v>
      </c>
      <c r="E43">
        <v>39</v>
      </c>
      <c r="F43" t="s">
        <v>11</v>
      </c>
      <c r="G43">
        <f t="shared" si="0"/>
        <v>1</v>
      </c>
    </row>
    <row r="44" spans="1:7">
      <c r="A44" t="s">
        <v>116</v>
      </c>
      <c r="B44" t="s">
        <v>117</v>
      </c>
      <c r="C44" t="s">
        <v>118</v>
      </c>
      <c r="D44" t="s">
        <v>119</v>
      </c>
      <c r="E44">
        <v>60</v>
      </c>
      <c r="F44" t="s">
        <v>28</v>
      </c>
      <c r="G44">
        <f t="shared" si="0"/>
        <v>1</v>
      </c>
    </row>
    <row r="45" spans="1:7">
      <c r="A45" t="s">
        <v>120</v>
      </c>
      <c r="B45" t="s">
        <v>121</v>
      </c>
      <c r="C45" t="s">
        <v>22</v>
      </c>
      <c r="D45" t="s">
        <v>23</v>
      </c>
      <c r="E45">
        <v>54</v>
      </c>
      <c r="F45" t="s">
        <v>28</v>
      </c>
      <c r="G45">
        <f t="shared" si="0"/>
        <v>1</v>
      </c>
    </row>
    <row r="46" spans="1:7">
      <c r="A46" t="s">
        <v>122</v>
      </c>
      <c r="B46" t="s">
        <v>123</v>
      </c>
      <c r="C46" t="s">
        <v>14</v>
      </c>
      <c r="D46" t="s">
        <v>15</v>
      </c>
      <c r="E46">
        <v>44</v>
      </c>
      <c r="F46" t="s">
        <v>11</v>
      </c>
      <c r="G46">
        <f t="shared" si="0"/>
        <v>1</v>
      </c>
    </row>
    <row r="47" spans="1:7">
      <c r="A47" t="s">
        <v>124</v>
      </c>
      <c r="B47" t="s">
        <v>125</v>
      </c>
      <c r="C47" t="s">
        <v>9</v>
      </c>
      <c r="D47" t="s">
        <v>10</v>
      </c>
      <c r="E47">
        <v>45</v>
      </c>
      <c r="F47" t="s">
        <v>28</v>
      </c>
      <c r="G47">
        <f t="shared" si="0"/>
        <v>1</v>
      </c>
    </row>
    <row r="48" spans="1:7">
      <c r="A48" t="s">
        <v>126</v>
      </c>
      <c r="B48" t="s">
        <v>127</v>
      </c>
      <c r="C48" t="s">
        <v>76</v>
      </c>
      <c r="D48" t="s">
        <v>77</v>
      </c>
      <c r="E48">
        <v>21</v>
      </c>
      <c r="F48" t="s">
        <v>11</v>
      </c>
      <c r="G48">
        <f t="shared" si="0"/>
        <v>1</v>
      </c>
    </row>
    <row r="49" spans="1:7">
      <c r="A49" t="s">
        <v>128</v>
      </c>
      <c r="B49" t="s">
        <v>129</v>
      </c>
      <c r="C49" t="s">
        <v>40</v>
      </c>
      <c r="D49" t="s">
        <v>10</v>
      </c>
      <c r="E49">
        <v>39</v>
      </c>
      <c r="F49" t="s">
        <v>11</v>
      </c>
      <c r="G49">
        <f t="shared" si="0"/>
        <v>1</v>
      </c>
    </row>
    <row r="50" spans="1:7">
      <c r="A50" t="s">
        <v>130</v>
      </c>
      <c r="B50" t="s">
        <v>131</v>
      </c>
      <c r="C50" t="s">
        <v>14</v>
      </c>
      <c r="D50" t="s">
        <v>15</v>
      </c>
      <c r="E50">
        <v>52</v>
      </c>
      <c r="F50" t="s">
        <v>28</v>
      </c>
      <c r="G50">
        <f t="shared" si="0"/>
        <v>1</v>
      </c>
    </row>
    <row r="51" spans="1:7">
      <c r="A51" t="s">
        <v>132</v>
      </c>
      <c r="B51" t="s">
        <v>133</v>
      </c>
      <c r="C51" t="s">
        <v>66</v>
      </c>
      <c r="D51" t="s">
        <v>67</v>
      </c>
      <c r="E51">
        <v>35</v>
      </c>
      <c r="F51" t="s">
        <v>28</v>
      </c>
      <c r="G51">
        <f t="shared" si="0"/>
        <v>1</v>
      </c>
    </row>
    <row r="52" spans="1:7">
      <c r="A52" t="s">
        <v>134</v>
      </c>
      <c r="B52" t="s">
        <v>135</v>
      </c>
      <c r="C52" t="s">
        <v>14</v>
      </c>
      <c r="D52" t="s">
        <v>15</v>
      </c>
      <c r="E52">
        <v>53</v>
      </c>
      <c r="F52" t="s">
        <v>11</v>
      </c>
      <c r="G52">
        <f t="shared" si="0"/>
        <v>1</v>
      </c>
    </row>
    <row r="53" spans="1:7">
      <c r="A53" t="s">
        <v>136</v>
      </c>
      <c r="B53" t="s">
        <v>137</v>
      </c>
      <c r="C53" t="s">
        <v>40</v>
      </c>
      <c r="D53" t="s">
        <v>10</v>
      </c>
      <c r="E53">
        <v>23</v>
      </c>
      <c r="F53" t="s">
        <v>11</v>
      </c>
      <c r="G53">
        <f t="shared" si="0"/>
        <v>1</v>
      </c>
    </row>
    <row r="54" spans="1:7">
      <c r="A54" t="s">
        <v>138</v>
      </c>
      <c r="B54" t="s">
        <v>139</v>
      </c>
      <c r="C54" t="s">
        <v>33</v>
      </c>
      <c r="D54" t="s">
        <v>19</v>
      </c>
      <c r="E54">
        <v>48</v>
      </c>
      <c r="F54" t="s">
        <v>11</v>
      </c>
      <c r="G54">
        <f t="shared" si="0"/>
        <v>1</v>
      </c>
    </row>
    <row r="55" spans="1:7">
      <c r="A55" t="s">
        <v>140</v>
      </c>
      <c r="B55" t="s">
        <v>141</v>
      </c>
      <c r="C55" t="s">
        <v>49</v>
      </c>
      <c r="D55" t="s">
        <v>50</v>
      </c>
      <c r="E55">
        <v>42</v>
      </c>
      <c r="F55" t="s">
        <v>11</v>
      </c>
      <c r="G55">
        <f t="shared" si="0"/>
        <v>1</v>
      </c>
    </row>
    <row r="56" spans="1:7">
      <c r="A56" t="s">
        <v>142</v>
      </c>
      <c r="B56" t="s">
        <v>143</v>
      </c>
      <c r="C56" t="s">
        <v>49</v>
      </c>
      <c r="D56" t="s">
        <v>50</v>
      </c>
      <c r="E56">
        <v>47</v>
      </c>
      <c r="F56" t="s">
        <v>28</v>
      </c>
      <c r="G56">
        <f t="shared" si="0"/>
        <v>1</v>
      </c>
    </row>
    <row r="57" spans="1:7">
      <c r="A57" t="s">
        <v>144</v>
      </c>
      <c r="B57" t="s">
        <v>145</v>
      </c>
      <c r="C57" t="s">
        <v>76</v>
      </c>
      <c r="D57" t="s">
        <v>77</v>
      </c>
      <c r="E57">
        <v>49</v>
      </c>
      <c r="F57" t="s">
        <v>11</v>
      </c>
      <c r="G57">
        <f t="shared" si="0"/>
        <v>1</v>
      </c>
    </row>
    <row r="58" spans="1:7">
      <c r="A58" t="s">
        <v>146</v>
      </c>
      <c r="B58" t="s">
        <v>147</v>
      </c>
      <c r="C58" t="s">
        <v>22</v>
      </c>
      <c r="D58" t="s">
        <v>23</v>
      </c>
      <c r="E58">
        <v>21</v>
      </c>
      <c r="F58" t="s">
        <v>11</v>
      </c>
      <c r="G58">
        <f t="shared" si="0"/>
        <v>1</v>
      </c>
    </row>
    <row r="59" spans="1:7">
      <c r="A59" t="s">
        <v>148</v>
      </c>
      <c r="B59" t="s">
        <v>149</v>
      </c>
      <c r="C59" t="s">
        <v>58</v>
      </c>
      <c r="D59" t="s">
        <v>59</v>
      </c>
      <c r="E59">
        <v>55</v>
      </c>
      <c r="F59" t="s">
        <v>28</v>
      </c>
      <c r="G59">
        <f t="shared" si="0"/>
        <v>1</v>
      </c>
    </row>
    <row r="60" spans="1:7">
      <c r="A60" t="s">
        <v>150</v>
      </c>
      <c r="B60" t="s">
        <v>151</v>
      </c>
      <c r="C60" t="s">
        <v>118</v>
      </c>
      <c r="D60" t="s">
        <v>119</v>
      </c>
      <c r="E60">
        <v>21</v>
      </c>
      <c r="F60" t="s">
        <v>11</v>
      </c>
      <c r="G60">
        <f t="shared" si="0"/>
        <v>1</v>
      </c>
    </row>
    <row r="61" spans="1:7">
      <c r="A61" t="s">
        <v>152</v>
      </c>
      <c r="B61" t="s">
        <v>153</v>
      </c>
      <c r="C61" t="s">
        <v>33</v>
      </c>
      <c r="D61" t="s">
        <v>19</v>
      </c>
      <c r="E61">
        <v>22</v>
      </c>
      <c r="F61" t="s">
        <v>11</v>
      </c>
      <c r="G61">
        <f t="shared" si="0"/>
        <v>1</v>
      </c>
    </row>
    <row r="62" spans="1:7">
      <c r="A62" t="s">
        <v>154</v>
      </c>
      <c r="B62" t="s">
        <v>155</v>
      </c>
      <c r="C62" t="s">
        <v>49</v>
      </c>
      <c r="D62" t="s">
        <v>50</v>
      </c>
      <c r="E62">
        <v>33</v>
      </c>
      <c r="F62" t="s">
        <v>11</v>
      </c>
      <c r="G62">
        <f t="shared" si="0"/>
        <v>1</v>
      </c>
    </row>
    <row r="63" spans="1:7">
      <c r="A63" t="s">
        <v>156</v>
      </c>
      <c r="B63" t="s">
        <v>157</v>
      </c>
      <c r="C63" t="s">
        <v>80</v>
      </c>
      <c r="D63" t="s">
        <v>23</v>
      </c>
      <c r="E63">
        <v>60</v>
      </c>
      <c r="F63" t="s">
        <v>28</v>
      </c>
      <c r="G63">
        <f t="shared" si="0"/>
        <v>1</v>
      </c>
    </row>
    <row r="64" spans="1:7">
      <c r="A64" t="s">
        <v>158</v>
      </c>
      <c r="B64" t="s">
        <v>159</v>
      </c>
      <c r="C64" t="s">
        <v>160</v>
      </c>
      <c r="D64" t="s">
        <v>15</v>
      </c>
      <c r="E64">
        <v>38</v>
      </c>
      <c r="F64" t="s">
        <v>11</v>
      </c>
      <c r="G64">
        <f t="shared" si="0"/>
        <v>1</v>
      </c>
    </row>
    <row r="65" spans="1:7">
      <c r="A65" t="s">
        <v>161</v>
      </c>
      <c r="B65" t="s">
        <v>162</v>
      </c>
      <c r="C65" t="s">
        <v>160</v>
      </c>
      <c r="D65" t="s">
        <v>15</v>
      </c>
      <c r="E65">
        <v>60</v>
      </c>
      <c r="F65" t="s">
        <v>28</v>
      </c>
      <c r="G65">
        <f t="shared" si="0"/>
        <v>1</v>
      </c>
    </row>
    <row r="66" spans="1:7">
      <c r="A66" t="s">
        <v>163</v>
      </c>
      <c r="B66" t="s">
        <v>164</v>
      </c>
      <c r="C66" t="s">
        <v>165</v>
      </c>
      <c r="D66" t="s">
        <v>166</v>
      </c>
      <c r="E66">
        <v>22</v>
      </c>
      <c r="F66" t="s">
        <v>11</v>
      </c>
      <c r="G66">
        <f t="shared" ref="G66:G129" si="1">COUNTIF(A:A,A66)</f>
        <v>1</v>
      </c>
    </row>
    <row r="67" spans="1:7">
      <c r="A67" t="s">
        <v>167</v>
      </c>
      <c r="B67" t="s">
        <v>168</v>
      </c>
      <c r="C67" t="s">
        <v>165</v>
      </c>
      <c r="D67" t="s">
        <v>166</v>
      </c>
      <c r="E67">
        <v>24</v>
      </c>
      <c r="F67" t="s">
        <v>11</v>
      </c>
      <c r="G67">
        <f t="shared" si="1"/>
        <v>1</v>
      </c>
    </row>
    <row r="68" spans="1:7">
      <c r="A68" t="s">
        <v>169</v>
      </c>
      <c r="B68" t="s">
        <v>170</v>
      </c>
      <c r="C68" t="s">
        <v>26</v>
      </c>
      <c r="D68" t="s">
        <v>27</v>
      </c>
      <c r="E68">
        <v>34</v>
      </c>
      <c r="F68" t="s">
        <v>11</v>
      </c>
      <c r="G68">
        <f t="shared" si="1"/>
        <v>1</v>
      </c>
    </row>
    <row r="69" spans="1:7">
      <c r="A69" t="s">
        <v>171</v>
      </c>
      <c r="B69" t="s">
        <v>172</v>
      </c>
      <c r="C69" t="s">
        <v>93</v>
      </c>
      <c r="D69" t="s">
        <v>94</v>
      </c>
      <c r="E69">
        <v>41</v>
      </c>
      <c r="F69" t="s">
        <v>28</v>
      </c>
      <c r="G69">
        <f t="shared" si="1"/>
        <v>1</v>
      </c>
    </row>
    <row r="70" spans="1:7">
      <c r="A70" t="s">
        <v>173</v>
      </c>
      <c r="B70" t="s">
        <v>39</v>
      </c>
      <c r="C70" t="s">
        <v>33</v>
      </c>
      <c r="D70" t="s">
        <v>19</v>
      </c>
      <c r="E70">
        <v>37</v>
      </c>
      <c r="F70" t="s">
        <v>11</v>
      </c>
      <c r="G70">
        <f t="shared" si="1"/>
        <v>1</v>
      </c>
    </row>
    <row r="71" spans="1:7">
      <c r="A71" t="s">
        <v>174</v>
      </c>
      <c r="B71" t="s">
        <v>175</v>
      </c>
      <c r="C71" t="s">
        <v>26</v>
      </c>
      <c r="D71" t="s">
        <v>27</v>
      </c>
      <c r="E71">
        <v>24</v>
      </c>
      <c r="F71" t="s">
        <v>11</v>
      </c>
      <c r="G71">
        <f t="shared" si="1"/>
        <v>1</v>
      </c>
    </row>
    <row r="72" spans="1:7">
      <c r="A72" t="s">
        <v>176</v>
      </c>
      <c r="B72" t="s">
        <v>177</v>
      </c>
      <c r="C72" t="s">
        <v>160</v>
      </c>
      <c r="D72" t="s">
        <v>15</v>
      </c>
      <c r="E72">
        <v>53</v>
      </c>
      <c r="F72" t="s">
        <v>11</v>
      </c>
      <c r="G72">
        <f t="shared" si="1"/>
        <v>1</v>
      </c>
    </row>
    <row r="73" spans="1:7">
      <c r="A73" t="s">
        <v>178</v>
      </c>
      <c r="B73" t="s">
        <v>179</v>
      </c>
      <c r="C73" t="s">
        <v>160</v>
      </c>
      <c r="D73" t="s">
        <v>15</v>
      </c>
      <c r="E73">
        <v>31</v>
      </c>
      <c r="F73" t="s">
        <v>28</v>
      </c>
      <c r="G73">
        <f t="shared" si="1"/>
        <v>1</v>
      </c>
    </row>
    <row r="74" spans="1:7">
      <c r="A74" t="s">
        <v>180</v>
      </c>
      <c r="B74" t="s">
        <v>86</v>
      </c>
      <c r="C74" t="s">
        <v>22</v>
      </c>
      <c r="D74" t="s">
        <v>23</v>
      </c>
      <c r="E74">
        <v>49</v>
      </c>
      <c r="F74" t="s">
        <v>28</v>
      </c>
      <c r="G74">
        <f t="shared" si="1"/>
        <v>1</v>
      </c>
    </row>
    <row r="75" spans="1:7">
      <c r="A75" t="s">
        <v>181</v>
      </c>
      <c r="B75" t="s">
        <v>182</v>
      </c>
      <c r="C75" t="s">
        <v>40</v>
      </c>
      <c r="D75" t="s">
        <v>10</v>
      </c>
      <c r="E75">
        <v>45</v>
      </c>
      <c r="F75" t="s">
        <v>28</v>
      </c>
      <c r="G75">
        <f t="shared" si="1"/>
        <v>1</v>
      </c>
    </row>
    <row r="76" spans="1:7">
      <c r="A76" t="s">
        <v>183</v>
      </c>
      <c r="B76" t="s">
        <v>184</v>
      </c>
      <c r="C76" t="s">
        <v>40</v>
      </c>
      <c r="D76" t="s">
        <v>10</v>
      </c>
      <c r="E76">
        <v>26</v>
      </c>
      <c r="F76" t="s">
        <v>28</v>
      </c>
      <c r="G76">
        <f t="shared" si="1"/>
        <v>1</v>
      </c>
    </row>
    <row r="77" spans="1:7">
      <c r="A77" t="s">
        <v>185</v>
      </c>
      <c r="B77" t="s">
        <v>39</v>
      </c>
      <c r="C77" t="s">
        <v>33</v>
      </c>
      <c r="D77" t="s">
        <v>19</v>
      </c>
      <c r="E77">
        <v>45</v>
      </c>
      <c r="F77" t="s">
        <v>11</v>
      </c>
      <c r="G77">
        <f t="shared" si="1"/>
        <v>1</v>
      </c>
    </row>
    <row r="78" spans="1:7">
      <c r="A78" t="s">
        <v>186</v>
      </c>
      <c r="B78" t="s">
        <v>113</v>
      </c>
      <c r="C78" t="s">
        <v>9</v>
      </c>
      <c r="D78" t="s">
        <v>10</v>
      </c>
      <c r="E78">
        <v>27</v>
      </c>
      <c r="F78" t="s">
        <v>11</v>
      </c>
      <c r="G78">
        <f t="shared" si="1"/>
        <v>1</v>
      </c>
    </row>
    <row r="79" spans="1:7">
      <c r="A79" t="s">
        <v>187</v>
      </c>
      <c r="B79" t="s">
        <v>111</v>
      </c>
      <c r="C79" t="s">
        <v>93</v>
      </c>
      <c r="D79" t="s">
        <v>94</v>
      </c>
      <c r="E79">
        <v>27</v>
      </c>
      <c r="F79" t="s">
        <v>28</v>
      </c>
      <c r="G79">
        <f t="shared" si="1"/>
        <v>1</v>
      </c>
    </row>
    <row r="80" spans="1:7">
      <c r="A80" t="s">
        <v>188</v>
      </c>
      <c r="B80" t="s">
        <v>189</v>
      </c>
      <c r="C80" t="s">
        <v>66</v>
      </c>
      <c r="D80" t="s">
        <v>67</v>
      </c>
      <c r="E80">
        <v>41</v>
      </c>
      <c r="F80" t="s">
        <v>11</v>
      </c>
      <c r="G80">
        <f t="shared" si="1"/>
        <v>1</v>
      </c>
    </row>
    <row r="81" spans="1:7">
      <c r="A81" t="s">
        <v>190</v>
      </c>
      <c r="B81" t="s">
        <v>159</v>
      </c>
      <c r="C81" t="s">
        <v>93</v>
      </c>
      <c r="D81" t="s">
        <v>94</v>
      </c>
      <c r="E81">
        <v>33</v>
      </c>
      <c r="F81" t="s">
        <v>11</v>
      </c>
      <c r="G81">
        <f t="shared" si="1"/>
        <v>1</v>
      </c>
    </row>
    <row r="82" spans="1:7">
      <c r="A82" t="s">
        <v>191</v>
      </c>
      <c r="B82" t="s">
        <v>192</v>
      </c>
      <c r="C82" t="s">
        <v>93</v>
      </c>
      <c r="D82" t="s">
        <v>94</v>
      </c>
      <c r="E82">
        <v>57</v>
      </c>
      <c r="F82" t="s">
        <v>11</v>
      </c>
      <c r="G82">
        <f t="shared" si="1"/>
        <v>1</v>
      </c>
    </row>
    <row r="83" spans="1:7">
      <c r="A83" t="s">
        <v>193</v>
      </c>
      <c r="B83" t="s">
        <v>194</v>
      </c>
      <c r="C83" t="s">
        <v>14</v>
      </c>
      <c r="D83" t="s">
        <v>15</v>
      </c>
      <c r="E83">
        <v>29</v>
      </c>
      <c r="F83" t="s">
        <v>28</v>
      </c>
      <c r="G83">
        <f t="shared" si="1"/>
        <v>1</v>
      </c>
    </row>
    <row r="84" spans="1:7">
      <c r="A84" t="s">
        <v>195</v>
      </c>
      <c r="B84" t="s">
        <v>196</v>
      </c>
      <c r="C84" t="s">
        <v>87</v>
      </c>
      <c r="D84" t="s">
        <v>67</v>
      </c>
      <c r="E84">
        <v>39</v>
      </c>
      <c r="F84" t="s">
        <v>28</v>
      </c>
      <c r="G84">
        <f t="shared" si="1"/>
        <v>1</v>
      </c>
    </row>
    <row r="85" spans="1:7">
      <c r="A85" t="s">
        <v>197</v>
      </c>
      <c r="B85" t="s">
        <v>198</v>
      </c>
      <c r="C85" t="s">
        <v>14</v>
      </c>
      <c r="D85" t="s">
        <v>15</v>
      </c>
      <c r="E85">
        <v>24</v>
      </c>
      <c r="F85" t="s">
        <v>28</v>
      </c>
      <c r="G85">
        <f t="shared" si="1"/>
        <v>1</v>
      </c>
    </row>
    <row r="86" spans="1:7">
      <c r="A86" t="s">
        <v>199</v>
      </c>
      <c r="B86" t="s">
        <v>200</v>
      </c>
      <c r="C86" t="s">
        <v>40</v>
      </c>
      <c r="D86" t="s">
        <v>10</v>
      </c>
      <c r="E86">
        <v>30</v>
      </c>
      <c r="F86" t="s">
        <v>28</v>
      </c>
      <c r="G86">
        <f t="shared" si="1"/>
        <v>1</v>
      </c>
    </row>
    <row r="87" spans="1:7">
      <c r="A87" t="s">
        <v>201</v>
      </c>
      <c r="B87" t="s">
        <v>202</v>
      </c>
      <c r="C87" t="s">
        <v>93</v>
      </c>
      <c r="D87" t="s">
        <v>94</v>
      </c>
      <c r="E87">
        <v>32</v>
      </c>
      <c r="F87" t="s">
        <v>11</v>
      </c>
      <c r="G87">
        <f t="shared" si="1"/>
        <v>1</v>
      </c>
    </row>
    <row r="88" spans="1:7">
      <c r="A88" t="s">
        <v>203</v>
      </c>
      <c r="B88" t="s">
        <v>204</v>
      </c>
      <c r="C88" t="s">
        <v>87</v>
      </c>
      <c r="D88" t="s">
        <v>67</v>
      </c>
      <c r="E88">
        <v>39</v>
      </c>
      <c r="F88" t="s">
        <v>28</v>
      </c>
      <c r="G88">
        <f t="shared" si="1"/>
        <v>1</v>
      </c>
    </row>
    <row r="89" spans="1:7">
      <c r="A89" t="s">
        <v>205</v>
      </c>
      <c r="B89" t="s">
        <v>206</v>
      </c>
      <c r="C89" t="s">
        <v>43</v>
      </c>
      <c r="D89" t="s">
        <v>10</v>
      </c>
      <c r="E89">
        <v>59</v>
      </c>
      <c r="F89" t="s">
        <v>28</v>
      </c>
      <c r="G89">
        <f t="shared" si="1"/>
        <v>1</v>
      </c>
    </row>
    <row r="90" spans="1:7">
      <c r="A90" t="s">
        <v>207</v>
      </c>
      <c r="B90" t="s">
        <v>208</v>
      </c>
      <c r="C90" t="s">
        <v>26</v>
      </c>
      <c r="D90" t="s">
        <v>27</v>
      </c>
      <c r="E90">
        <v>25</v>
      </c>
      <c r="F90" t="s">
        <v>28</v>
      </c>
      <c r="G90">
        <f t="shared" si="1"/>
        <v>1</v>
      </c>
    </row>
    <row r="91" spans="1:7">
      <c r="A91" t="s">
        <v>209</v>
      </c>
      <c r="B91" t="s">
        <v>210</v>
      </c>
      <c r="C91" t="s">
        <v>33</v>
      </c>
      <c r="D91" t="s">
        <v>19</v>
      </c>
      <c r="E91">
        <v>20</v>
      </c>
      <c r="F91" t="s">
        <v>11</v>
      </c>
      <c r="G91">
        <f t="shared" si="1"/>
        <v>1</v>
      </c>
    </row>
    <row r="92" spans="1:7">
      <c r="A92" t="s">
        <v>211</v>
      </c>
      <c r="B92" t="s">
        <v>212</v>
      </c>
      <c r="C92" t="s">
        <v>80</v>
      </c>
      <c r="D92" t="s">
        <v>23</v>
      </c>
      <c r="E92">
        <v>38</v>
      </c>
      <c r="F92" t="s">
        <v>28</v>
      </c>
      <c r="G92">
        <f t="shared" si="1"/>
        <v>1</v>
      </c>
    </row>
    <row r="93" spans="1:7">
      <c r="A93" t="s">
        <v>213</v>
      </c>
      <c r="B93" t="s">
        <v>214</v>
      </c>
      <c r="C93" t="s">
        <v>80</v>
      </c>
      <c r="D93" t="s">
        <v>23</v>
      </c>
      <c r="E93">
        <v>42</v>
      </c>
      <c r="F93" t="s">
        <v>11</v>
      </c>
      <c r="G93">
        <f t="shared" si="1"/>
        <v>1</v>
      </c>
    </row>
    <row r="94" spans="1:7">
      <c r="A94" t="s">
        <v>215</v>
      </c>
      <c r="B94" t="s">
        <v>216</v>
      </c>
      <c r="C94" t="s">
        <v>160</v>
      </c>
      <c r="D94" t="s">
        <v>15</v>
      </c>
      <c r="E94">
        <v>45</v>
      </c>
      <c r="F94" t="s">
        <v>11</v>
      </c>
      <c r="G94">
        <f t="shared" si="1"/>
        <v>1</v>
      </c>
    </row>
    <row r="95" spans="1:7">
      <c r="A95" t="s">
        <v>217</v>
      </c>
      <c r="B95" t="s">
        <v>145</v>
      </c>
      <c r="C95" t="s">
        <v>118</v>
      </c>
      <c r="D95" t="s">
        <v>119</v>
      </c>
      <c r="E95">
        <v>60</v>
      </c>
      <c r="F95" t="s">
        <v>11</v>
      </c>
      <c r="G95">
        <f t="shared" si="1"/>
        <v>1</v>
      </c>
    </row>
    <row r="96" spans="1:7">
      <c r="A96" t="s">
        <v>218</v>
      </c>
      <c r="B96" t="s">
        <v>219</v>
      </c>
      <c r="C96" t="s">
        <v>93</v>
      </c>
      <c r="D96" t="s">
        <v>94</v>
      </c>
      <c r="E96">
        <v>60</v>
      </c>
      <c r="F96" t="s">
        <v>28</v>
      </c>
      <c r="G96">
        <f t="shared" si="1"/>
        <v>1</v>
      </c>
    </row>
    <row r="97" spans="1:7">
      <c r="A97" t="s">
        <v>220</v>
      </c>
      <c r="B97" t="s">
        <v>221</v>
      </c>
      <c r="C97" t="s">
        <v>80</v>
      </c>
      <c r="D97" t="s">
        <v>23</v>
      </c>
      <c r="E97">
        <v>25</v>
      </c>
      <c r="F97" t="s">
        <v>28</v>
      </c>
      <c r="G97">
        <f t="shared" si="1"/>
        <v>1</v>
      </c>
    </row>
    <row r="98" spans="1:7">
      <c r="A98" t="s">
        <v>222</v>
      </c>
      <c r="B98" t="s">
        <v>175</v>
      </c>
      <c r="C98" t="s">
        <v>118</v>
      </c>
      <c r="D98" t="s">
        <v>119</v>
      </c>
      <c r="E98">
        <v>44</v>
      </c>
      <c r="F98" t="s">
        <v>28</v>
      </c>
      <c r="G98">
        <f t="shared" si="1"/>
        <v>1</v>
      </c>
    </row>
    <row r="99" spans="1:7">
      <c r="A99" t="s">
        <v>223</v>
      </c>
      <c r="B99" t="s">
        <v>224</v>
      </c>
      <c r="C99" t="s">
        <v>49</v>
      </c>
      <c r="D99" t="s">
        <v>50</v>
      </c>
      <c r="E99">
        <v>26</v>
      </c>
      <c r="F99" t="s">
        <v>11</v>
      </c>
      <c r="G99">
        <f t="shared" si="1"/>
        <v>1</v>
      </c>
    </row>
    <row r="100" spans="1:7">
      <c r="A100" t="s">
        <v>225</v>
      </c>
      <c r="B100" t="s">
        <v>226</v>
      </c>
      <c r="C100" t="s">
        <v>76</v>
      </c>
      <c r="D100" t="s">
        <v>77</v>
      </c>
      <c r="E100">
        <v>29</v>
      </c>
      <c r="F100" t="s">
        <v>28</v>
      </c>
      <c r="G100">
        <f t="shared" si="1"/>
        <v>1</v>
      </c>
    </row>
    <row r="101" spans="1:7">
      <c r="A101" t="s">
        <v>227</v>
      </c>
      <c r="B101" t="s">
        <v>137</v>
      </c>
      <c r="C101" t="s">
        <v>49</v>
      </c>
      <c r="D101" t="s">
        <v>50</v>
      </c>
      <c r="E101">
        <v>37</v>
      </c>
      <c r="F101" t="s">
        <v>28</v>
      </c>
      <c r="G101">
        <f t="shared" si="1"/>
        <v>1</v>
      </c>
    </row>
    <row r="102" spans="1:7">
      <c r="A102" t="s">
        <v>228</v>
      </c>
      <c r="B102" t="s">
        <v>229</v>
      </c>
      <c r="C102" t="s">
        <v>22</v>
      </c>
      <c r="D102" t="s">
        <v>23</v>
      </c>
      <c r="E102">
        <v>55</v>
      </c>
      <c r="F102" t="s">
        <v>28</v>
      </c>
      <c r="G102">
        <f t="shared" si="1"/>
        <v>1</v>
      </c>
    </row>
    <row r="103" spans="1:7">
      <c r="A103" t="s">
        <v>230</v>
      </c>
      <c r="B103" t="s">
        <v>231</v>
      </c>
      <c r="C103" t="s">
        <v>165</v>
      </c>
      <c r="D103" t="s">
        <v>166</v>
      </c>
      <c r="E103">
        <v>31</v>
      </c>
      <c r="F103" t="s">
        <v>28</v>
      </c>
      <c r="G103">
        <f t="shared" si="1"/>
        <v>1</v>
      </c>
    </row>
    <row r="104" spans="1:7">
      <c r="A104" t="s">
        <v>232</v>
      </c>
      <c r="B104" t="s">
        <v>233</v>
      </c>
      <c r="C104" t="s">
        <v>33</v>
      </c>
      <c r="D104" t="s">
        <v>19</v>
      </c>
      <c r="E104">
        <v>50</v>
      </c>
      <c r="F104" t="s">
        <v>28</v>
      </c>
      <c r="G104">
        <f t="shared" si="1"/>
        <v>1</v>
      </c>
    </row>
    <row r="105" spans="1:7">
      <c r="A105" t="s">
        <v>234</v>
      </c>
      <c r="B105" t="s">
        <v>235</v>
      </c>
      <c r="C105" t="s">
        <v>43</v>
      </c>
      <c r="D105" t="s">
        <v>10</v>
      </c>
      <c r="E105">
        <v>37</v>
      </c>
      <c r="F105" t="s">
        <v>11</v>
      </c>
      <c r="G105">
        <f t="shared" si="1"/>
        <v>1</v>
      </c>
    </row>
    <row r="106" spans="1:7">
      <c r="A106" t="s">
        <v>236</v>
      </c>
      <c r="B106" t="s">
        <v>237</v>
      </c>
      <c r="C106" t="s">
        <v>22</v>
      </c>
      <c r="D106" t="s">
        <v>23</v>
      </c>
      <c r="E106">
        <v>20</v>
      </c>
      <c r="F106" t="s">
        <v>11</v>
      </c>
      <c r="G106">
        <f t="shared" si="1"/>
        <v>1</v>
      </c>
    </row>
    <row r="107" spans="1:7">
      <c r="A107" t="s">
        <v>238</v>
      </c>
      <c r="B107" t="s">
        <v>239</v>
      </c>
      <c r="C107" t="s">
        <v>240</v>
      </c>
      <c r="D107" t="s">
        <v>241</v>
      </c>
      <c r="E107">
        <v>22</v>
      </c>
      <c r="F107" t="s">
        <v>28</v>
      </c>
      <c r="G107">
        <f t="shared" si="1"/>
        <v>1</v>
      </c>
    </row>
    <row r="108" spans="1:7">
      <c r="A108" t="s">
        <v>242</v>
      </c>
      <c r="B108" t="s">
        <v>243</v>
      </c>
      <c r="C108" t="s">
        <v>76</v>
      </c>
      <c r="D108" t="s">
        <v>77</v>
      </c>
      <c r="E108">
        <v>42</v>
      </c>
      <c r="F108" t="s">
        <v>28</v>
      </c>
      <c r="G108">
        <f t="shared" si="1"/>
        <v>1</v>
      </c>
    </row>
    <row r="109" spans="1:7">
      <c r="A109" t="s">
        <v>244</v>
      </c>
      <c r="B109" t="s">
        <v>245</v>
      </c>
      <c r="C109" t="s">
        <v>49</v>
      </c>
      <c r="D109" t="s">
        <v>50</v>
      </c>
      <c r="E109">
        <v>59</v>
      </c>
      <c r="F109" t="s">
        <v>11</v>
      </c>
      <c r="G109">
        <f t="shared" si="1"/>
        <v>1</v>
      </c>
    </row>
    <row r="110" spans="1:7">
      <c r="A110" t="s">
        <v>246</v>
      </c>
      <c r="B110" t="s">
        <v>247</v>
      </c>
      <c r="C110" t="s">
        <v>9</v>
      </c>
      <c r="D110" t="s">
        <v>10</v>
      </c>
      <c r="E110">
        <v>29</v>
      </c>
      <c r="F110" t="s">
        <v>28</v>
      </c>
      <c r="G110">
        <f t="shared" si="1"/>
        <v>1</v>
      </c>
    </row>
    <row r="111" spans="1:7">
      <c r="A111" t="s">
        <v>248</v>
      </c>
      <c r="B111" t="s">
        <v>249</v>
      </c>
      <c r="C111" t="s">
        <v>40</v>
      </c>
      <c r="D111" t="s">
        <v>10</v>
      </c>
      <c r="E111">
        <v>25</v>
      </c>
      <c r="F111" t="s">
        <v>28</v>
      </c>
      <c r="G111">
        <f t="shared" si="1"/>
        <v>1</v>
      </c>
    </row>
    <row r="112" spans="1:7">
      <c r="A112" t="s">
        <v>250</v>
      </c>
      <c r="B112" t="s">
        <v>251</v>
      </c>
      <c r="C112" t="s">
        <v>66</v>
      </c>
      <c r="D112" t="s">
        <v>67</v>
      </c>
      <c r="E112">
        <v>51</v>
      </c>
      <c r="F112" t="s">
        <v>28</v>
      </c>
      <c r="G112">
        <f t="shared" si="1"/>
        <v>1</v>
      </c>
    </row>
    <row r="113" spans="1:7">
      <c r="A113" t="s">
        <v>252</v>
      </c>
      <c r="B113" t="s">
        <v>253</v>
      </c>
      <c r="C113" t="s">
        <v>165</v>
      </c>
      <c r="D113" t="s">
        <v>166</v>
      </c>
      <c r="E113">
        <v>50</v>
      </c>
      <c r="F113" t="s">
        <v>28</v>
      </c>
      <c r="G113">
        <f t="shared" si="1"/>
        <v>1</v>
      </c>
    </row>
    <row r="114" spans="1:7">
      <c r="A114" t="s">
        <v>254</v>
      </c>
      <c r="B114" t="s">
        <v>255</v>
      </c>
      <c r="C114" t="s">
        <v>26</v>
      </c>
      <c r="D114" t="s">
        <v>27</v>
      </c>
      <c r="E114">
        <v>48</v>
      </c>
      <c r="F114" t="s">
        <v>28</v>
      </c>
      <c r="G114">
        <f t="shared" si="1"/>
        <v>1</v>
      </c>
    </row>
    <row r="115" spans="1:7">
      <c r="A115" t="s">
        <v>256</v>
      </c>
      <c r="B115" t="s">
        <v>257</v>
      </c>
      <c r="C115" t="s">
        <v>160</v>
      </c>
      <c r="D115" t="s">
        <v>15</v>
      </c>
      <c r="E115">
        <v>35</v>
      </c>
      <c r="F115" t="s">
        <v>28</v>
      </c>
      <c r="G115">
        <f t="shared" si="1"/>
        <v>1</v>
      </c>
    </row>
    <row r="116" spans="1:7">
      <c r="A116" t="s">
        <v>258</v>
      </c>
      <c r="B116" t="s">
        <v>48</v>
      </c>
      <c r="C116" t="s">
        <v>14</v>
      </c>
      <c r="D116" t="s">
        <v>15</v>
      </c>
      <c r="E116">
        <v>22</v>
      </c>
      <c r="F116" t="s">
        <v>28</v>
      </c>
      <c r="G116">
        <f t="shared" si="1"/>
        <v>1</v>
      </c>
    </row>
    <row r="117" spans="1:7">
      <c r="A117" t="s">
        <v>259</v>
      </c>
      <c r="B117" t="s">
        <v>260</v>
      </c>
      <c r="C117" t="s">
        <v>14</v>
      </c>
      <c r="D117" t="s">
        <v>15</v>
      </c>
      <c r="E117">
        <v>38</v>
      </c>
      <c r="F117" t="s">
        <v>11</v>
      </c>
      <c r="G117">
        <f t="shared" si="1"/>
        <v>1</v>
      </c>
    </row>
    <row r="118" spans="1:7">
      <c r="A118" t="s">
        <v>261</v>
      </c>
      <c r="B118" t="s">
        <v>262</v>
      </c>
      <c r="C118" t="s">
        <v>66</v>
      </c>
      <c r="D118" t="s">
        <v>67</v>
      </c>
      <c r="E118">
        <v>42</v>
      </c>
      <c r="F118" t="s">
        <v>11</v>
      </c>
      <c r="G118">
        <f t="shared" si="1"/>
        <v>1</v>
      </c>
    </row>
    <row r="119" spans="1:7">
      <c r="A119" t="s">
        <v>263</v>
      </c>
      <c r="B119" t="s">
        <v>157</v>
      </c>
      <c r="C119" t="s">
        <v>22</v>
      </c>
      <c r="D119" t="s">
        <v>23</v>
      </c>
      <c r="E119">
        <v>44</v>
      </c>
      <c r="F119" t="s">
        <v>28</v>
      </c>
      <c r="G119">
        <f t="shared" si="1"/>
        <v>1</v>
      </c>
    </row>
    <row r="120" spans="1:7">
      <c r="A120" t="s">
        <v>264</v>
      </c>
      <c r="B120" t="s">
        <v>265</v>
      </c>
      <c r="C120" t="s">
        <v>26</v>
      </c>
      <c r="D120" t="s">
        <v>27</v>
      </c>
      <c r="E120">
        <v>21</v>
      </c>
      <c r="F120" t="s">
        <v>11</v>
      </c>
      <c r="G120">
        <f t="shared" si="1"/>
        <v>1</v>
      </c>
    </row>
    <row r="121" spans="1:7">
      <c r="A121" t="s">
        <v>266</v>
      </c>
      <c r="B121" t="s">
        <v>267</v>
      </c>
      <c r="C121" t="s">
        <v>76</v>
      </c>
      <c r="D121" t="s">
        <v>77</v>
      </c>
      <c r="E121">
        <v>55</v>
      </c>
      <c r="F121" t="s">
        <v>11</v>
      </c>
      <c r="G121">
        <f t="shared" si="1"/>
        <v>1</v>
      </c>
    </row>
    <row r="122" spans="1:7">
      <c r="A122" t="s">
        <v>268</v>
      </c>
      <c r="B122" t="s">
        <v>269</v>
      </c>
      <c r="C122" t="s">
        <v>18</v>
      </c>
      <c r="D122" t="s">
        <v>19</v>
      </c>
      <c r="E122">
        <v>18</v>
      </c>
      <c r="F122" t="s">
        <v>28</v>
      </c>
      <c r="G122">
        <f t="shared" si="1"/>
        <v>1</v>
      </c>
    </row>
    <row r="123" spans="1:7">
      <c r="A123" t="s">
        <v>270</v>
      </c>
      <c r="B123" t="s">
        <v>271</v>
      </c>
      <c r="C123" t="s">
        <v>90</v>
      </c>
      <c r="D123" t="s">
        <v>90</v>
      </c>
      <c r="E123">
        <v>52</v>
      </c>
      <c r="F123" t="s">
        <v>11</v>
      </c>
      <c r="G123">
        <f t="shared" si="1"/>
        <v>1</v>
      </c>
    </row>
    <row r="124" spans="1:7">
      <c r="A124" t="s">
        <v>272</v>
      </c>
      <c r="B124" t="s">
        <v>117</v>
      </c>
      <c r="C124" t="s">
        <v>240</v>
      </c>
      <c r="D124" t="s">
        <v>241</v>
      </c>
      <c r="E124">
        <v>45</v>
      </c>
      <c r="F124" t="s">
        <v>28</v>
      </c>
      <c r="G124">
        <f t="shared" si="1"/>
        <v>1</v>
      </c>
    </row>
    <row r="125" spans="1:7">
      <c r="A125" t="s">
        <v>273</v>
      </c>
      <c r="B125" t="s">
        <v>274</v>
      </c>
      <c r="C125" t="s">
        <v>87</v>
      </c>
      <c r="D125" t="s">
        <v>67</v>
      </c>
      <c r="E125">
        <v>60</v>
      </c>
      <c r="F125" t="s">
        <v>28</v>
      </c>
      <c r="G125">
        <f t="shared" si="1"/>
        <v>1</v>
      </c>
    </row>
    <row r="126" spans="1:7">
      <c r="A126" t="s">
        <v>275</v>
      </c>
      <c r="B126" t="s">
        <v>276</v>
      </c>
      <c r="C126" t="s">
        <v>33</v>
      </c>
      <c r="D126" t="s">
        <v>19</v>
      </c>
      <c r="E126">
        <v>57</v>
      </c>
      <c r="F126" t="s">
        <v>11</v>
      </c>
      <c r="G126">
        <f t="shared" si="1"/>
        <v>1</v>
      </c>
    </row>
    <row r="127" spans="1:7">
      <c r="A127" t="s">
        <v>277</v>
      </c>
      <c r="B127" t="s">
        <v>278</v>
      </c>
      <c r="C127" t="s">
        <v>49</v>
      </c>
      <c r="D127" t="s">
        <v>50</v>
      </c>
      <c r="E127">
        <v>60</v>
      </c>
      <c r="F127" t="s">
        <v>11</v>
      </c>
      <c r="G127">
        <f t="shared" si="1"/>
        <v>1</v>
      </c>
    </row>
    <row r="128" spans="1:7">
      <c r="A128" t="s">
        <v>279</v>
      </c>
      <c r="B128" t="s">
        <v>280</v>
      </c>
      <c r="C128" t="s">
        <v>43</v>
      </c>
      <c r="D128" t="s">
        <v>10</v>
      </c>
      <c r="E128">
        <v>47</v>
      </c>
      <c r="F128" t="s">
        <v>11</v>
      </c>
      <c r="G128">
        <f t="shared" si="1"/>
        <v>1</v>
      </c>
    </row>
    <row r="129" spans="1:7">
      <c r="A129" t="s">
        <v>281</v>
      </c>
      <c r="B129" t="s">
        <v>282</v>
      </c>
      <c r="C129" t="s">
        <v>40</v>
      </c>
      <c r="D129" t="s">
        <v>10</v>
      </c>
      <c r="E129">
        <v>38</v>
      </c>
      <c r="F129" t="s">
        <v>11</v>
      </c>
      <c r="G129">
        <f t="shared" si="1"/>
        <v>1</v>
      </c>
    </row>
    <row r="130" spans="1:7">
      <c r="A130" t="s">
        <v>283</v>
      </c>
      <c r="B130" t="s">
        <v>284</v>
      </c>
      <c r="C130" t="s">
        <v>165</v>
      </c>
      <c r="D130" t="s">
        <v>166</v>
      </c>
      <c r="E130">
        <v>42</v>
      </c>
      <c r="F130" t="s">
        <v>28</v>
      </c>
      <c r="G130">
        <f t="shared" ref="G130:G193" si="2">COUNTIF(A:A,A130)</f>
        <v>1</v>
      </c>
    </row>
    <row r="131" spans="1:7">
      <c r="A131" t="s">
        <v>285</v>
      </c>
      <c r="B131" t="s">
        <v>61</v>
      </c>
      <c r="C131" t="s">
        <v>76</v>
      </c>
      <c r="D131" t="s">
        <v>77</v>
      </c>
      <c r="E131">
        <v>48</v>
      </c>
      <c r="F131" t="s">
        <v>11</v>
      </c>
      <c r="G131">
        <f t="shared" si="2"/>
        <v>1</v>
      </c>
    </row>
    <row r="132" spans="1:7">
      <c r="A132" t="s">
        <v>286</v>
      </c>
      <c r="B132" t="s">
        <v>287</v>
      </c>
      <c r="C132" t="s">
        <v>26</v>
      </c>
      <c r="D132" t="s">
        <v>27</v>
      </c>
      <c r="E132">
        <v>32</v>
      </c>
      <c r="F132" t="s">
        <v>11</v>
      </c>
      <c r="G132">
        <f t="shared" si="2"/>
        <v>1</v>
      </c>
    </row>
    <row r="133" spans="1:7">
      <c r="A133" t="s">
        <v>288</v>
      </c>
      <c r="B133" t="s">
        <v>289</v>
      </c>
      <c r="C133" t="s">
        <v>40</v>
      </c>
      <c r="D133" t="s">
        <v>10</v>
      </c>
      <c r="E133">
        <v>30</v>
      </c>
      <c r="F133" t="s">
        <v>11</v>
      </c>
      <c r="G133">
        <f t="shared" si="2"/>
        <v>1</v>
      </c>
    </row>
    <row r="134" spans="1:7">
      <c r="A134" t="s">
        <v>290</v>
      </c>
      <c r="B134" t="s">
        <v>262</v>
      </c>
      <c r="C134" t="s">
        <v>80</v>
      </c>
      <c r="D134" t="s">
        <v>23</v>
      </c>
      <c r="E134">
        <v>26</v>
      </c>
      <c r="F134" t="s">
        <v>28</v>
      </c>
      <c r="G134">
        <f t="shared" si="2"/>
        <v>1</v>
      </c>
    </row>
    <row r="135" spans="1:7">
      <c r="A135" t="s">
        <v>291</v>
      </c>
      <c r="B135" t="s">
        <v>243</v>
      </c>
      <c r="C135" t="s">
        <v>9</v>
      </c>
      <c r="D135" t="s">
        <v>10</v>
      </c>
      <c r="E135">
        <v>47</v>
      </c>
      <c r="F135" t="s">
        <v>28</v>
      </c>
      <c r="G135">
        <f t="shared" si="2"/>
        <v>1</v>
      </c>
    </row>
    <row r="136" spans="1:7">
      <c r="A136" t="s">
        <v>292</v>
      </c>
      <c r="B136" t="s">
        <v>293</v>
      </c>
      <c r="C136" t="s">
        <v>93</v>
      </c>
      <c r="D136" t="s">
        <v>94</v>
      </c>
      <c r="E136">
        <v>56</v>
      </c>
      <c r="F136" t="s">
        <v>11</v>
      </c>
      <c r="G136">
        <f t="shared" si="2"/>
        <v>1</v>
      </c>
    </row>
    <row r="137" spans="1:7">
      <c r="A137" t="s">
        <v>294</v>
      </c>
      <c r="B137" t="s">
        <v>295</v>
      </c>
      <c r="C137" t="s">
        <v>33</v>
      </c>
      <c r="D137" t="s">
        <v>19</v>
      </c>
      <c r="E137">
        <v>55</v>
      </c>
      <c r="F137" t="s">
        <v>11</v>
      </c>
      <c r="G137">
        <f t="shared" si="2"/>
        <v>1</v>
      </c>
    </row>
    <row r="138" spans="1:7">
      <c r="A138" t="s">
        <v>296</v>
      </c>
      <c r="B138" t="s">
        <v>297</v>
      </c>
      <c r="C138" t="s">
        <v>90</v>
      </c>
      <c r="D138" t="s">
        <v>90</v>
      </c>
      <c r="E138">
        <v>42</v>
      </c>
      <c r="F138" t="s">
        <v>28</v>
      </c>
      <c r="G138">
        <f t="shared" si="2"/>
        <v>1</v>
      </c>
    </row>
    <row r="139" spans="1:7">
      <c r="A139" t="s">
        <v>298</v>
      </c>
      <c r="B139" t="s">
        <v>299</v>
      </c>
      <c r="C139" t="s">
        <v>22</v>
      </c>
      <c r="D139" t="s">
        <v>23</v>
      </c>
      <c r="E139">
        <v>58</v>
      </c>
      <c r="F139" t="s">
        <v>11</v>
      </c>
      <c r="G139">
        <f t="shared" si="2"/>
        <v>1</v>
      </c>
    </row>
    <row r="140" spans="1:7">
      <c r="A140" t="s">
        <v>300</v>
      </c>
      <c r="B140" t="s">
        <v>175</v>
      </c>
      <c r="C140" t="s">
        <v>9</v>
      </c>
      <c r="D140" t="s">
        <v>10</v>
      </c>
      <c r="E140">
        <v>56</v>
      </c>
      <c r="F140" t="s">
        <v>11</v>
      </c>
      <c r="G140">
        <f t="shared" si="2"/>
        <v>1</v>
      </c>
    </row>
    <row r="141" spans="1:7">
      <c r="A141" t="s">
        <v>301</v>
      </c>
      <c r="B141" t="s">
        <v>287</v>
      </c>
      <c r="C141" t="s">
        <v>18</v>
      </c>
      <c r="D141" t="s">
        <v>19</v>
      </c>
      <c r="E141">
        <v>52</v>
      </c>
      <c r="F141" t="s">
        <v>28</v>
      </c>
      <c r="G141">
        <f t="shared" si="2"/>
        <v>1</v>
      </c>
    </row>
    <row r="142" spans="1:7">
      <c r="A142" t="s">
        <v>302</v>
      </c>
      <c r="B142" t="s">
        <v>303</v>
      </c>
      <c r="C142" t="s">
        <v>93</v>
      </c>
      <c r="D142" t="s">
        <v>94</v>
      </c>
      <c r="E142">
        <v>59</v>
      </c>
      <c r="F142" t="s">
        <v>28</v>
      </c>
      <c r="G142">
        <f t="shared" si="2"/>
        <v>1</v>
      </c>
    </row>
    <row r="143" spans="1:7">
      <c r="A143" t="s">
        <v>304</v>
      </c>
      <c r="B143" t="s">
        <v>139</v>
      </c>
      <c r="C143" t="s">
        <v>87</v>
      </c>
      <c r="D143" t="s">
        <v>67</v>
      </c>
      <c r="E143">
        <v>24</v>
      </c>
      <c r="F143" t="s">
        <v>28</v>
      </c>
      <c r="G143">
        <f t="shared" si="2"/>
        <v>1</v>
      </c>
    </row>
    <row r="144" spans="1:7">
      <c r="A144" t="s">
        <v>305</v>
      </c>
      <c r="B144" t="s">
        <v>306</v>
      </c>
      <c r="C144" t="s">
        <v>93</v>
      </c>
      <c r="D144" t="s">
        <v>94</v>
      </c>
      <c r="E144">
        <v>27</v>
      </c>
      <c r="F144" t="s">
        <v>28</v>
      </c>
      <c r="G144">
        <f t="shared" si="2"/>
        <v>1</v>
      </c>
    </row>
    <row r="145" spans="1:7">
      <c r="A145" t="s">
        <v>307</v>
      </c>
      <c r="B145" t="s">
        <v>308</v>
      </c>
      <c r="C145" t="s">
        <v>33</v>
      </c>
      <c r="D145" t="s">
        <v>19</v>
      </c>
      <c r="E145">
        <v>35</v>
      </c>
      <c r="F145" t="s">
        <v>28</v>
      </c>
      <c r="G145">
        <f t="shared" si="2"/>
        <v>1</v>
      </c>
    </row>
    <row r="146" spans="1:7">
      <c r="A146" t="s">
        <v>309</v>
      </c>
      <c r="B146" t="s">
        <v>310</v>
      </c>
      <c r="C146" t="s">
        <v>165</v>
      </c>
      <c r="D146" t="s">
        <v>166</v>
      </c>
      <c r="E146">
        <v>55</v>
      </c>
      <c r="F146" t="s">
        <v>28</v>
      </c>
      <c r="G146">
        <f t="shared" si="2"/>
        <v>1</v>
      </c>
    </row>
    <row r="147" spans="1:7">
      <c r="A147" t="s">
        <v>311</v>
      </c>
      <c r="B147" t="s">
        <v>312</v>
      </c>
      <c r="C147" t="s">
        <v>58</v>
      </c>
      <c r="D147" t="s">
        <v>59</v>
      </c>
      <c r="E147">
        <v>35</v>
      </c>
      <c r="F147" t="s">
        <v>28</v>
      </c>
      <c r="G147">
        <f t="shared" si="2"/>
        <v>1</v>
      </c>
    </row>
    <row r="148" spans="1:7">
      <c r="A148" t="s">
        <v>313</v>
      </c>
      <c r="B148" t="s">
        <v>30</v>
      </c>
      <c r="C148" t="s">
        <v>14</v>
      </c>
      <c r="D148" t="s">
        <v>15</v>
      </c>
      <c r="E148">
        <v>57</v>
      </c>
      <c r="F148" t="s">
        <v>28</v>
      </c>
      <c r="G148">
        <f t="shared" si="2"/>
        <v>1</v>
      </c>
    </row>
    <row r="149" spans="1:7">
      <c r="A149" t="s">
        <v>314</v>
      </c>
      <c r="B149" t="s">
        <v>315</v>
      </c>
      <c r="C149" t="s">
        <v>58</v>
      </c>
      <c r="D149" t="s">
        <v>59</v>
      </c>
      <c r="E149">
        <v>38</v>
      </c>
      <c r="F149" t="s">
        <v>11</v>
      </c>
      <c r="G149">
        <f t="shared" si="2"/>
        <v>1</v>
      </c>
    </row>
    <row r="150" spans="1:7">
      <c r="A150" t="s">
        <v>316</v>
      </c>
      <c r="B150" t="s">
        <v>317</v>
      </c>
      <c r="C150" t="s">
        <v>240</v>
      </c>
      <c r="D150" t="s">
        <v>241</v>
      </c>
      <c r="E150">
        <v>34</v>
      </c>
      <c r="F150" t="s">
        <v>28</v>
      </c>
      <c r="G150">
        <f t="shared" si="2"/>
        <v>1</v>
      </c>
    </row>
    <row r="151" spans="1:7">
      <c r="A151" t="s">
        <v>318</v>
      </c>
      <c r="B151" t="s">
        <v>319</v>
      </c>
      <c r="C151" t="s">
        <v>160</v>
      </c>
      <c r="D151" t="s">
        <v>15</v>
      </c>
      <c r="E151">
        <v>35</v>
      </c>
      <c r="F151" t="s">
        <v>11</v>
      </c>
      <c r="G151">
        <f t="shared" si="2"/>
        <v>1</v>
      </c>
    </row>
    <row r="152" spans="1:7">
      <c r="A152" t="s">
        <v>320</v>
      </c>
      <c r="B152" t="s">
        <v>321</v>
      </c>
      <c r="C152" t="s">
        <v>118</v>
      </c>
      <c r="D152" t="s">
        <v>119</v>
      </c>
      <c r="E152">
        <v>33</v>
      </c>
      <c r="F152" t="s">
        <v>28</v>
      </c>
      <c r="G152">
        <f t="shared" si="2"/>
        <v>1</v>
      </c>
    </row>
    <row r="153" spans="1:7">
      <c r="A153" t="s">
        <v>322</v>
      </c>
      <c r="B153" t="s">
        <v>82</v>
      </c>
      <c r="C153" t="s">
        <v>240</v>
      </c>
      <c r="D153" t="s">
        <v>241</v>
      </c>
      <c r="E153">
        <v>33</v>
      </c>
      <c r="F153" t="s">
        <v>28</v>
      </c>
      <c r="G153">
        <f t="shared" si="2"/>
        <v>1</v>
      </c>
    </row>
    <row r="154" spans="1:7">
      <c r="A154" t="s">
        <v>323</v>
      </c>
      <c r="B154" t="s">
        <v>324</v>
      </c>
      <c r="C154" t="s">
        <v>240</v>
      </c>
      <c r="D154" t="s">
        <v>241</v>
      </c>
      <c r="E154">
        <v>19</v>
      </c>
      <c r="F154" t="s">
        <v>11</v>
      </c>
      <c r="G154">
        <f t="shared" si="2"/>
        <v>1</v>
      </c>
    </row>
    <row r="155" spans="1:7">
      <c r="A155" t="s">
        <v>325</v>
      </c>
      <c r="B155" t="s">
        <v>326</v>
      </c>
      <c r="C155" t="s">
        <v>90</v>
      </c>
      <c r="D155" t="s">
        <v>90</v>
      </c>
      <c r="E155">
        <v>33</v>
      </c>
      <c r="F155" t="s">
        <v>28</v>
      </c>
      <c r="G155">
        <f t="shared" si="2"/>
        <v>1</v>
      </c>
    </row>
    <row r="156" spans="1:7">
      <c r="A156" t="s">
        <v>327</v>
      </c>
      <c r="B156" t="s">
        <v>328</v>
      </c>
      <c r="C156" t="s">
        <v>18</v>
      </c>
      <c r="D156" t="s">
        <v>19</v>
      </c>
      <c r="E156">
        <v>53</v>
      </c>
      <c r="F156" t="s">
        <v>28</v>
      </c>
      <c r="G156">
        <f t="shared" si="2"/>
        <v>1</v>
      </c>
    </row>
    <row r="157" spans="1:7">
      <c r="A157" t="s">
        <v>329</v>
      </c>
      <c r="B157" t="s">
        <v>330</v>
      </c>
      <c r="C157" t="s">
        <v>76</v>
      </c>
      <c r="D157" t="s">
        <v>77</v>
      </c>
      <c r="E157">
        <v>40</v>
      </c>
      <c r="F157" t="s">
        <v>28</v>
      </c>
      <c r="G157">
        <f t="shared" si="2"/>
        <v>1</v>
      </c>
    </row>
    <row r="158" spans="1:7">
      <c r="A158" t="s">
        <v>331</v>
      </c>
      <c r="B158" t="s">
        <v>332</v>
      </c>
      <c r="C158" t="s">
        <v>160</v>
      </c>
      <c r="D158" t="s">
        <v>15</v>
      </c>
      <c r="E158">
        <v>32</v>
      </c>
      <c r="F158" t="s">
        <v>11</v>
      </c>
      <c r="G158">
        <f t="shared" si="2"/>
        <v>1</v>
      </c>
    </row>
    <row r="159" spans="1:7">
      <c r="A159" t="s">
        <v>333</v>
      </c>
      <c r="B159" t="s">
        <v>35</v>
      </c>
      <c r="C159" t="s">
        <v>22</v>
      </c>
      <c r="D159" t="s">
        <v>23</v>
      </c>
      <c r="E159">
        <v>52</v>
      </c>
      <c r="F159" t="s">
        <v>11</v>
      </c>
      <c r="G159">
        <f t="shared" si="2"/>
        <v>1</v>
      </c>
    </row>
    <row r="160" spans="1:7">
      <c r="A160" t="s">
        <v>334</v>
      </c>
      <c r="B160" t="s">
        <v>335</v>
      </c>
      <c r="C160" t="s">
        <v>22</v>
      </c>
      <c r="D160" t="s">
        <v>23</v>
      </c>
      <c r="E160">
        <v>48</v>
      </c>
      <c r="F160" t="s">
        <v>28</v>
      </c>
      <c r="G160">
        <f t="shared" si="2"/>
        <v>1</v>
      </c>
    </row>
    <row r="161" spans="1:7">
      <c r="A161" t="s">
        <v>336</v>
      </c>
      <c r="B161" t="s">
        <v>89</v>
      </c>
      <c r="C161" t="s">
        <v>18</v>
      </c>
      <c r="D161" t="s">
        <v>19</v>
      </c>
      <c r="E161">
        <v>36</v>
      </c>
      <c r="F161" t="s">
        <v>11</v>
      </c>
      <c r="G161">
        <f t="shared" si="2"/>
        <v>1</v>
      </c>
    </row>
    <row r="162" spans="1:7">
      <c r="A162" t="s">
        <v>337</v>
      </c>
      <c r="B162" t="s">
        <v>98</v>
      </c>
      <c r="C162" t="s">
        <v>22</v>
      </c>
      <c r="D162" t="s">
        <v>23</v>
      </c>
      <c r="E162">
        <v>41</v>
      </c>
      <c r="F162" t="s">
        <v>11</v>
      </c>
      <c r="G162">
        <f t="shared" si="2"/>
        <v>1</v>
      </c>
    </row>
    <row r="163" spans="1:7">
      <c r="A163" t="s">
        <v>338</v>
      </c>
      <c r="B163" t="s">
        <v>339</v>
      </c>
      <c r="C163" t="s">
        <v>90</v>
      </c>
      <c r="D163" t="s">
        <v>90</v>
      </c>
      <c r="E163">
        <v>52</v>
      </c>
      <c r="F163" t="s">
        <v>11</v>
      </c>
      <c r="G163">
        <f t="shared" si="2"/>
        <v>1</v>
      </c>
    </row>
    <row r="164" spans="1:7">
      <c r="A164" t="s">
        <v>340</v>
      </c>
      <c r="B164" t="s">
        <v>149</v>
      </c>
      <c r="C164" t="s">
        <v>160</v>
      </c>
      <c r="D164" t="s">
        <v>15</v>
      </c>
      <c r="E164">
        <v>53</v>
      </c>
      <c r="F164" t="s">
        <v>28</v>
      </c>
      <c r="G164">
        <f t="shared" si="2"/>
        <v>1</v>
      </c>
    </row>
    <row r="165" spans="1:7">
      <c r="A165" t="s">
        <v>341</v>
      </c>
      <c r="B165" t="s">
        <v>342</v>
      </c>
      <c r="C165" t="s">
        <v>66</v>
      </c>
      <c r="D165" t="s">
        <v>67</v>
      </c>
      <c r="E165">
        <v>18</v>
      </c>
      <c r="F165" t="s">
        <v>28</v>
      </c>
      <c r="G165">
        <f t="shared" si="2"/>
        <v>1</v>
      </c>
    </row>
    <row r="166" spans="1:7">
      <c r="A166" t="s">
        <v>343</v>
      </c>
      <c r="B166" t="s">
        <v>344</v>
      </c>
      <c r="C166" t="s">
        <v>240</v>
      </c>
      <c r="D166" t="s">
        <v>241</v>
      </c>
      <c r="E166">
        <v>39</v>
      </c>
      <c r="F166" t="s">
        <v>11</v>
      </c>
      <c r="G166">
        <f t="shared" si="2"/>
        <v>1</v>
      </c>
    </row>
    <row r="167" spans="1:7">
      <c r="A167" t="s">
        <v>345</v>
      </c>
      <c r="B167" t="s">
        <v>346</v>
      </c>
      <c r="C167" t="s">
        <v>40</v>
      </c>
      <c r="D167" t="s">
        <v>10</v>
      </c>
      <c r="E167">
        <v>25</v>
      </c>
      <c r="F167" t="s">
        <v>11</v>
      </c>
      <c r="G167">
        <f t="shared" si="2"/>
        <v>1</v>
      </c>
    </row>
    <row r="168" spans="1:7">
      <c r="A168" t="s">
        <v>347</v>
      </c>
      <c r="B168" t="s">
        <v>348</v>
      </c>
      <c r="C168" t="s">
        <v>49</v>
      </c>
      <c r="D168" t="s">
        <v>50</v>
      </c>
      <c r="E168">
        <v>54</v>
      </c>
      <c r="F168" t="s">
        <v>11</v>
      </c>
      <c r="G168">
        <f t="shared" si="2"/>
        <v>1</v>
      </c>
    </row>
    <row r="169" spans="1:7">
      <c r="A169" t="s">
        <v>349</v>
      </c>
      <c r="B169" t="s">
        <v>350</v>
      </c>
      <c r="C169" t="s">
        <v>66</v>
      </c>
      <c r="D169" t="s">
        <v>67</v>
      </c>
      <c r="E169">
        <v>54</v>
      </c>
      <c r="F169" t="s">
        <v>28</v>
      </c>
      <c r="G169">
        <f t="shared" si="2"/>
        <v>1</v>
      </c>
    </row>
    <row r="170" spans="1:7">
      <c r="A170" t="s">
        <v>351</v>
      </c>
      <c r="B170" t="s">
        <v>352</v>
      </c>
      <c r="C170" t="s">
        <v>43</v>
      </c>
      <c r="D170" t="s">
        <v>10</v>
      </c>
      <c r="E170">
        <v>53</v>
      </c>
      <c r="F170" t="s">
        <v>28</v>
      </c>
      <c r="G170">
        <f t="shared" si="2"/>
        <v>1</v>
      </c>
    </row>
    <row r="171" spans="1:7">
      <c r="A171" t="s">
        <v>353</v>
      </c>
      <c r="B171" t="s">
        <v>354</v>
      </c>
      <c r="C171" t="s">
        <v>80</v>
      </c>
      <c r="D171" t="s">
        <v>23</v>
      </c>
      <c r="E171">
        <v>57</v>
      </c>
      <c r="F171" t="s">
        <v>11</v>
      </c>
      <c r="G171">
        <f t="shared" si="2"/>
        <v>1</v>
      </c>
    </row>
    <row r="172" spans="1:7">
      <c r="A172" t="s">
        <v>355</v>
      </c>
      <c r="B172" t="s">
        <v>356</v>
      </c>
      <c r="C172" t="s">
        <v>118</v>
      </c>
      <c r="D172" t="s">
        <v>119</v>
      </c>
      <c r="E172">
        <v>46</v>
      </c>
      <c r="F172" t="s">
        <v>28</v>
      </c>
      <c r="G172">
        <f t="shared" si="2"/>
        <v>1</v>
      </c>
    </row>
    <row r="173" spans="1:7">
      <c r="A173" t="s">
        <v>357</v>
      </c>
      <c r="B173" t="s">
        <v>358</v>
      </c>
      <c r="C173" t="s">
        <v>18</v>
      </c>
      <c r="D173" t="s">
        <v>19</v>
      </c>
      <c r="E173">
        <v>54</v>
      </c>
      <c r="F173" t="s">
        <v>11</v>
      </c>
      <c r="G173">
        <f t="shared" si="2"/>
        <v>1</v>
      </c>
    </row>
    <row r="174" spans="1:7">
      <c r="A174" t="s">
        <v>359</v>
      </c>
      <c r="B174" t="s">
        <v>360</v>
      </c>
      <c r="C174" t="s">
        <v>80</v>
      </c>
      <c r="D174" t="s">
        <v>23</v>
      </c>
      <c r="E174">
        <v>31</v>
      </c>
      <c r="F174" t="s">
        <v>11</v>
      </c>
      <c r="G174">
        <f t="shared" si="2"/>
        <v>1</v>
      </c>
    </row>
    <row r="175" spans="1:7">
      <c r="A175" t="s">
        <v>361</v>
      </c>
      <c r="B175" t="s">
        <v>362</v>
      </c>
      <c r="C175" t="s">
        <v>160</v>
      </c>
      <c r="D175" t="s">
        <v>15</v>
      </c>
      <c r="E175">
        <v>33</v>
      </c>
      <c r="F175" t="s">
        <v>11</v>
      </c>
      <c r="G175">
        <f t="shared" si="2"/>
        <v>1</v>
      </c>
    </row>
    <row r="176" spans="1:7">
      <c r="A176" t="s">
        <v>363</v>
      </c>
      <c r="B176" t="s">
        <v>362</v>
      </c>
      <c r="C176" t="s">
        <v>26</v>
      </c>
      <c r="D176" t="s">
        <v>27</v>
      </c>
      <c r="E176">
        <v>18</v>
      </c>
      <c r="F176" t="s">
        <v>28</v>
      </c>
      <c r="G176">
        <f t="shared" si="2"/>
        <v>1</v>
      </c>
    </row>
    <row r="177" spans="1:7">
      <c r="A177" t="s">
        <v>364</v>
      </c>
      <c r="B177" t="s">
        <v>365</v>
      </c>
      <c r="C177" t="s">
        <v>165</v>
      </c>
      <c r="D177" t="s">
        <v>166</v>
      </c>
      <c r="E177">
        <v>36</v>
      </c>
      <c r="F177" t="s">
        <v>11</v>
      </c>
      <c r="G177">
        <f t="shared" si="2"/>
        <v>1</v>
      </c>
    </row>
    <row r="178" spans="1:7">
      <c r="A178" t="s">
        <v>366</v>
      </c>
      <c r="B178" t="s">
        <v>367</v>
      </c>
      <c r="C178" t="s">
        <v>14</v>
      </c>
      <c r="D178" t="s">
        <v>15</v>
      </c>
      <c r="E178">
        <v>36</v>
      </c>
      <c r="F178" t="s">
        <v>28</v>
      </c>
      <c r="G178">
        <f t="shared" si="2"/>
        <v>1</v>
      </c>
    </row>
    <row r="179" spans="1:7">
      <c r="A179" t="s">
        <v>368</v>
      </c>
      <c r="B179" t="s">
        <v>117</v>
      </c>
      <c r="C179" t="s">
        <v>43</v>
      </c>
      <c r="D179" t="s">
        <v>10</v>
      </c>
      <c r="E179">
        <v>58</v>
      </c>
      <c r="F179" t="s">
        <v>11</v>
      </c>
      <c r="G179">
        <f t="shared" si="2"/>
        <v>1</v>
      </c>
    </row>
    <row r="180" spans="1:7">
      <c r="A180" t="s">
        <v>369</v>
      </c>
      <c r="B180" t="s">
        <v>370</v>
      </c>
      <c r="C180" t="s">
        <v>76</v>
      </c>
      <c r="D180" t="s">
        <v>77</v>
      </c>
      <c r="E180">
        <v>32</v>
      </c>
      <c r="F180" t="s">
        <v>11</v>
      </c>
      <c r="G180">
        <f t="shared" si="2"/>
        <v>1</v>
      </c>
    </row>
    <row r="181" spans="1:7">
      <c r="A181" t="s">
        <v>371</v>
      </c>
      <c r="B181" t="s">
        <v>372</v>
      </c>
      <c r="C181" t="s">
        <v>160</v>
      </c>
      <c r="D181" t="s">
        <v>15</v>
      </c>
      <c r="E181">
        <v>21</v>
      </c>
      <c r="F181" t="s">
        <v>11</v>
      </c>
      <c r="G181">
        <f t="shared" si="2"/>
        <v>1</v>
      </c>
    </row>
    <row r="182" spans="1:7">
      <c r="A182" t="s">
        <v>373</v>
      </c>
      <c r="B182" t="s">
        <v>253</v>
      </c>
      <c r="C182" t="s">
        <v>90</v>
      </c>
      <c r="D182" t="s">
        <v>90</v>
      </c>
      <c r="E182">
        <v>54</v>
      </c>
      <c r="F182" t="s">
        <v>28</v>
      </c>
      <c r="G182">
        <f t="shared" si="2"/>
        <v>1</v>
      </c>
    </row>
    <row r="183" spans="1:7">
      <c r="A183" t="s">
        <v>374</v>
      </c>
      <c r="B183" t="s">
        <v>375</v>
      </c>
      <c r="C183" t="s">
        <v>165</v>
      </c>
      <c r="D183" t="s">
        <v>166</v>
      </c>
      <c r="E183">
        <v>37</v>
      </c>
      <c r="F183" t="s">
        <v>28</v>
      </c>
      <c r="G183">
        <f t="shared" si="2"/>
        <v>1</v>
      </c>
    </row>
    <row r="184" spans="1:7">
      <c r="A184" t="s">
        <v>376</v>
      </c>
      <c r="B184" t="s">
        <v>377</v>
      </c>
      <c r="C184" t="s">
        <v>160</v>
      </c>
      <c r="D184" t="s">
        <v>15</v>
      </c>
      <c r="E184">
        <v>49</v>
      </c>
      <c r="F184" t="s">
        <v>28</v>
      </c>
      <c r="G184">
        <f t="shared" si="2"/>
        <v>1</v>
      </c>
    </row>
    <row r="185" spans="1:7">
      <c r="A185" t="s">
        <v>378</v>
      </c>
      <c r="B185" t="s">
        <v>379</v>
      </c>
      <c r="C185" t="s">
        <v>43</v>
      </c>
      <c r="D185" t="s">
        <v>10</v>
      </c>
      <c r="E185">
        <v>45</v>
      </c>
      <c r="F185" t="s">
        <v>28</v>
      </c>
      <c r="G185">
        <f t="shared" si="2"/>
        <v>1</v>
      </c>
    </row>
    <row r="186" spans="1:7">
      <c r="A186" t="s">
        <v>380</v>
      </c>
      <c r="B186" t="s">
        <v>381</v>
      </c>
      <c r="C186" t="s">
        <v>80</v>
      </c>
      <c r="D186" t="s">
        <v>23</v>
      </c>
      <c r="E186">
        <v>23</v>
      </c>
      <c r="F186" t="s">
        <v>11</v>
      </c>
      <c r="G186">
        <f t="shared" si="2"/>
        <v>1</v>
      </c>
    </row>
    <row r="187" spans="1:7">
      <c r="A187" t="s">
        <v>382</v>
      </c>
      <c r="B187" t="s">
        <v>383</v>
      </c>
      <c r="C187" t="s">
        <v>18</v>
      </c>
      <c r="D187" t="s">
        <v>19</v>
      </c>
      <c r="E187">
        <v>35</v>
      </c>
      <c r="F187" t="s">
        <v>11</v>
      </c>
      <c r="G187">
        <f t="shared" si="2"/>
        <v>1</v>
      </c>
    </row>
    <row r="188" spans="1:7">
      <c r="A188" t="s">
        <v>384</v>
      </c>
      <c r="B188" t="s">
        <v>385</v>
      </c>
      <c r="C188" t="s">
        <v>33</v>
      </c>
      <c r="D188" t="s">
        <v>19</v>
      </c>
      <c r="E188">
        <v>59</v>
      </c>
      <c r="F188" t="s">
        <v>28</v>
      </c>
      <c r="G188">
        <f t="shared" si="2"/>
        <v>1</v>
      </c>
    </row>
    <row r="189" spans="1:7">
      <c r="A189" t="s">
        <v>386</v>
      </c>
      <c r="B189" t="s">
        <v>387</v>
      </c>
      <c r="C189" t="s">
        <v>160</v>
      </c>
      <c r="D189" t="s">
        <v>15</v>
      </c>
      <c r="E189">
        <v>45</v>
      </c>
      <c r="F189" t="s">
        <v>28</v>
      </c>
      <c r="G189">
        <f t="shared" si="2"/>
        <v>1</v>
      </c>
    </row>
    <row r="190" spans="1:7">
      <c r="A190" t="s">
        <v>388</v>
      </c>
      <c r="B190" t="s">
        <v>389</v>
      </c>
      <c r="C190" t="s">
        <v>43</v>
      </c>
      <c r="D190" t="s">
        <v>10</v>
      </c>
      <c r="E190">
        <v>44</v>
      </c>
      <c r="F190" t="s">
        <v>28</v>
      </c>
      <c r="G190">
        <f t="shared" si="2"/>
        <v>1</v>
      </c>
    </row>
    <row r="191" spans="1:7">
      <c r="A191" t="s">
        <v>390</v>
      </c>
      <c r="B191" t="s">
        <v>391</v>
      </c>
      <c r="C191" t="s">
        <v>58</v>
      </c>
      <c r="D191" t="s">
        <v>59</v>
      </c>
      <c r="E191">
        <v>39</v>
      </c>
      <c r="F191" t="s">
        <v>28</v>
      </c>
      <c r="G191">
        <f t="shared" si="2"/>
        <v>1</v>
      </c>
    </row>
    <row r="192" spans="1:7">
      <c r="A192" t="s">
        <v>392</v>
      </c>
      <c r="B192" t="s">
        <v>175</v>
      </c>
      <c r="C192" t="s">
        <v>240</v>
      </c>
      <c r="D192" t="s">
        <v>241</v>
      </c>
      <c r="E192">
        <v>43</v>
      </c>
      <c r="F192" t="s">
        <v>11</v>
      </c>
      <c r="G192">
        <f t="shared" si="2"/>
        <v>1</v>
      </c>
    </row>
    <row r="193" spans="1:7">
      <c r="A193" t="s">
        <v>393</v>
      </c>
      <c r="B193" t="s">
        <v>394</v>
      </c>
      <c r="C193" t="s">
        <v>165</v>
      </c>
      <c r="D193" t="s">
        <v>166</v>
      </c>
      <c r="E193">
        <v>34</v>
      </c>
      <c r="F193" t="s">
        <v>28</v>
      </c>
      <c r="G193">
        <f t="shared" si="2"/>
        <v>1</v>
      </c>
    </row>
    <row r="194" spans="1:7">
      <c r="A194" t="s">
        <v>395</v>
      </c>
      <c r="B194" t="s">
        <v>396</v>
      </c>
      <c r="C194" t="s">
        <v>9</v>
      </c>
      <c r="D194" t="s">
        <v>10</v>
      </c>
      <c r="E194">
        <v>18</v>
      </c>
      <c r="F194" t="s">
        <v>28</v>
      </c>
      <c r="G194">
        <f t="shared" ref="G194:G257" si="3">COUNTIF(A:A,A194)</f>
        <v>1</v>
      </c>
    </row>
    <row r="195" spans="1:7">
      <c r="A195" t="s">
        <v>397</v>
      </c>
      <c r="B195" t="s">
        <v>398</v>
      </c>
      <c r="C195" t="s">
        <v>76</v>
      </c>
      <c r="D195" t="s">
        <v>77</v>
      </c>
      <c r="E195">
        <v>51</v>
      </c>
      <c r="F195" t="s">
        <v>28</v>
      </c>
      <c r="G195">
        <f t="shared" si="3"/>
        <v>1</v>
      </c>
    </row>
    <row r="196" spans="1:7">
      <c r="A196" t="s">
        <v>399</v>
      </c>
      <c r="B196" t="s">
        <v>400</v>
      </c>
      <c r="C196" t="s">
        <v>80</v>
      </c>
      <c r="D196" t="s">
        <v>23</v>
      </c>
      <c r="E196">
        <v>46</v>
      </c>
      <c r="F196" t="s">
        <v>11</v>
      </c>
      <c r="G196">
        <f t="shared" si="3"/>
        <v>1</v>
      </c>
    </row>
    <row r="197" spans="1:7">
      <c r="A197" t="s">
        <v>401</v>
      </c>
      <c r="B197" t="s">
        <v>402</v>
      </c>
      <c r="C197" t="s">
        <v>22</v>
      </c>
      <c r="D197" t="s">
        <v>23</v>
      </c>
      <c r="E197">
        <v>26</v>
      </c>
      <c r="F197" t="s">
        <v>28</v>
      </c>
      <c r="G197">
        <f t="shared" si="3"/>
        <v>1</v>
      </c>
    </row>
    <row r="198" spans="1:7">
      <c r="A198" t="s">
        <v>403</v>
      </c>
      <c r="B198" t="s">
        <v>342</v>
      </c>
      <c r="C198" t="s">
        <v>165</v>
      </c>
      <c r="D198" t="s">
        <v>166</v>
      </c>
      <c r="E198">
        <v>19</v>
      </c>
      <c r="F198" t="s">
        <v>11</v>
      </c>
      <c r="G198">
        <f t="shared" si="3"/>
        <v>1</v>
      </c>
    </row>
    <row r="199" spans="1:7">
      <c r="A199" t="s">
        <v>404</v>
      </c>
      <c r="B199" t="s">
        <v>224</v>
      </c>
      <c r="C199" t="s">
        <v>33</v>
      </c>
      <c r="D199" t="s">
        <v>19</v>
      </c>
      <c r="E199">
        <v>18</v>
      </c>
      <c r="F199" t="s">
        <v>28</v>
      </c>
      <c r="G199">
        <f t="shared" si="3"/>
        <v>1</v>
      </c>
    </row>
    <row r="200" spans="1:7">
      <c r="A200" t="s">
        <v>405</v>
      </c>
      <c r="B200" t="s">
        <v>352</v>
      </c>
      <c r="C200" t="s">
        <v>43</v>
      </c>
      <c r="D200" t="s">
        <v>10</v>
      </c>
      <c r="E200">
        <v>47</v>
      </c>
      <c r="F200" t="s">
        <v>11</v>
      </c>
      <c r="G200">
        <f t="shared" si="3"/>
        <v>1</v>
      </c>
    </row>
    <row r="201" spans="1:7">
      <c r="A201" t="s">
        <v>406</v>
      </c>
      <c r="B201" t="s">
        <v>407</v>
      </c>
      <c r="C201" t="s">
        <v>66</v>
      </c>
      <c r="D201" t="s">
        <v>67</v>
      </c>
      <c r="E201">
        <v>36</v>
      </c>
      <c r="F201" t="s">
        <v>28</v>
      </c>
      <c r="G201">
        <f t="shared" si="3"/>
        <v>1</v>
      </c>
    </row>
    <row r="202" spans="1:7">
      <c r="A202" t="s">
        <v>408</v>
      </c>
      <c r="B202" t="s">
        <v>409</v>
      </c>
      <c r="C202" t="s">
        <v>76</v>
      </c>
      <c r="D202" t="s">
        <v>77</v>
      </c>
      <c r="E202">
        <v>33</v>
      </c>
      <c r="F202" t="s">
        <v>28</v>
      </c>
      <c r="G202">
        <f t="shared" si="3"/>
        <v>1</v>
      </c>
    </row>
    <row r="203" spans="1:7">
      <c r="A203" t="s">
        <v>410</v>
      </c>
      <c r="B203" t="s">
        <v>411</v>
      </c>
      <c r="C203" t="s">
        <v>26</v>
      </c>
      <c r="D203" t="s">
        <v>27</v>
      </c>
      <c r="E203">
        <v>30</v>
      </c>
      <c r="F203" t="s">
        <v>11</v>
      </c>
      <c r="G203">
        <f t="shared" si="3"/>
        <v>1</v>
      </c>
    </row>
    <row r="204" spans="1:7">
      <c r="A204" t="s">
        <v>412</v>
      </c>
      <c r="B204" t="s">
        <v>413</v>
      </c>
      <c r="C204" t="s">
        <v>43</v>
      </c>
      <c r="D204" t="s">
        <v>10</v>
      </c>
      <c r="E204">
        <v>44</v>
      </c>
      <c r="F204" t="s">
        <v>28</v>
      </c>
      <c r="G204">
        <f t="shared" si="3"/>
        <v>1</v>
      </c>
    </row>
    <row r="205" spans="1:7">
      <c r="A205" t="s">
        <v>414</v>
      </c>
      <c r="B205" t="s">
        <v>381</v>
      </c>
      <c r="C205" t="s">
        <v>118</v>
      </c>
      <c r="D205" t="s">
        <v>119</v>
      </c>
      <c r="E205">
        <v>36</v>
      </c>
      <c r="F205" t="s">
        <v>28</v>
      </c>
      <c r="G205">
        <f t="shared" si="3"/>
        <v>1</v>
      </c>
    </row>
    <row r="206" spans="1:7">
      <c r="A206" t="s">
        <v>415</v>
      </c>
      <c r="B206" t="s">
        <v>297</v>
      </c>
      <c r="C206" t="s">
        <v>18</v>
      </c>
      <c r="D206" t="s">
        <v>19</v>
      </c>
      <c r="E206">
        <v>49</v>
      </c>
      <c r="F206" t="s">
        <v>11</v>
      </c>
      <c r="G206">
        <f t="shared" si="3"/>
        <v>1</v>
      </c>
    </row>
    <row r="207" spans="1:7">
      <c r="A207" t="s">
        <v>416</v>
      </c>
      <c r="B207" t="s">
        <v>417</v>
      </c>
      <c r="C207" t="s">
        <v>165</v>
      </c>
      <c r="D207" t="s">
        <v>166</v>
      </c>
      <c r="E207">
        <v>40</v>
      </c>
      <c r="F207" t="s">
        <v>28</v>
      </c>
      <c r="G207">
        <f t="shared" si="3"/>
        <v>1</v>
      </c>
    </row>
    <row r="208" spans="1:7">
      <c r="A208" t="s">
        <v>418</v>
      </c>
      <c r="B208" t="s">
        <v>419</v>
      </c>
      <c r="C208" t="s">
        <v>26</v>
      </c>
      <c r="D208" t="s">
        <v>27</v>
      </c>
      <c r="E208">
        <v>47</v>
      </c>
      <c r="F208" t="s">
        <v>28</v>
      </c>
      <c r="G208">
        <f t="shared" si="3"/>
        <v>1</v>
      </c>
    </row>
    <row r="209" spans="1:7">
      <c r="A209" t="s">
        <v>420</v>
      </c>
      <c r="B209" t="s">
        <v>421</v>
      </c>
      <c r="C209" t="s">
        <v>22</v>
      </c>
      <c r="D209" t="s">
        <v>23</v>
      </c>
      <c r="E209">
        <v>42</v>
      </c>
      <c r="F209" t="s">
        <v>11</v>
      </c>
      <c r="G209">
        <f t="shared" si="3"/>
        <v>1</v>
      </c>
    </row>
    <row r="210" spans="1:7">
      <c r="A210" t="s">
        <v>422</v>
      </c>
      <c r="B210" t="s">
        <v>423</v>
      </c>
      <c r="C210" t="s">
        <v>76</v>
      </c>
      <c r="D210" t="s">
        <v>77</v>
      </c>
      <c r="E210">
        <v>48</v>
      </c>
      <c r="F210" t="s">
        <v>28</v>
      </c>
      <c r="G210">
        <f t="shared" si="3"/>
        <v>1</v>
      </c>
    </row>
    <row r="211" spans="1:7">
      <c r="A211" t="s">
        <v>424</v>
      </c>
      <c r="B211" t="s">
        <v>425</v>
      </c>
      <c r="C211" t="s">
        <v>49</v>
      </c>
      <c r="D211" t="s">
        <v>50</v>
      </c>
      <c r="E211">
        <v>20</v>
      </c>
      <c r="F211" t="s">
        <v>11</v>
      </c>
      <c r="G211">
        <f t="shared" si="3"/>
        <v>1</v>
      </c>
    </row>
    <row r="212" spans="1:7">
      <c r="A212" t="s">
        <v>426</v>
      </c>
      <c r="B212" t="s">
        <v>427</v>
      </c>
      <c r="C212" t="s">
        <v>118</v>
      </c>
      <c r="D212" t="s">
        <v>119</v>
      </c>
      <c r="E212">
        <v>24</v>
      </c>
      <c r="F212" t="s">
        <v>28</v>
      </c>
      <c r="G212">
        <f t="shared" si="3"/>
        <v>1</v>
      </c>
    </row>
    <row r="213" spans="1:7">
      <c r="A213" t="s">
        <v>428</v>
      </c>
      <c r="B213" t="s">
        <v>429</v>
      </c>
      <c r="C213" t="s">
        <v>9</v>
      </c>
      <c r="D213" t="s">
        <v>10</v>
      </c>
      <c r="E213">
        <v>18</v>
      </c>
      <c r="F213" t="s">
        <v>11</v>
      </c>
      <c r="G213">
        <f t="shared" si="3"/>
        <v>1</v>
      </c>
    </row>
    <row r="214" spans="1:7">
      <c r="A214" t="s">
        <v>430</v>
      </c>
      <c r="B214" t="s">
        <v>372</v>
      </c>
      <c r="C214" t="s">
        <v>76</v>
      </c>
      <c r="D214" t="s">
        <v>77</v>
      </c>
      <c r="E214">
        <v>48</v>
      </c>
      <c r="F214" t="s">
        <v>28</v>
      </c>
      <c r="G214">
        <f t="shared" si="3"/>
        <v>1</v>
      </c>
    </row>
    <row r="215" spans="1:7">
      <c r="A215" t="s">
        <v>431</v>
      </c>
      <c r="B215" t="s">
        <v>319</v>
      </c>
      <c r="C215" t="s">
        <v>58</v>
      </c>
      <c r="D215" t="s">
        <v>59</v>
      </c>
      <c r="E215">
        <v>43</v>
      </c>
      <c r="F215" t="s">
        <v>11</v>
      </c>
      <c r="G215">
        <f t="shared" si="3"/>
        <v>1</v>
      </c>
    </row>
    <row r="216" spans="1:7">
      <c r="A216" t="s">
        <v>432</v>
      </c>
      <c r="B216" t="s">
        <v>419</v>
      </c>
      <c r="C216" t="s">
        <v>58</v>
      </c>
      <c r="D216" t="s">
        <v>59</v>
      </c>
      <c r="E216">
        <v>38</v>
      </c>
      <c r="F216" t="s">
        <v>28</v>
      </c>
      <c r="G216">
        <f t="shared" si="3"/>
        <v>1</v>
      </c>
    </row>
    <row r="217" spans="1:7">
      <c r="A217" t="s">
        <v>433</v>
      </c>
      <c r="B217" t="s">
        <v>434</v>
      </c>
      <c r="C217" t="s">
        <v>26</v>
      </c>
      <c r="D217" t="s">
        <v>27</v>
      </c>
      <c r="E217">
        <v>22</v>
      </c>
      <c r="F217" t="s">
        <v>11</v>
      </c>
      <c r="G217">
        <f t="shared" si="3"/>
        <v>1</v>
      </c>
    </row>
    <row r="218" spans="1:7">
      <c r="A218" t="s">
        <v>435</v>
      </c>
      <c r="B218" t="s">
        <v>436</v>
      </c>
      <c r="C218" t="s">
        <v>90</v>
      </c>
      <c r="D218" t="s">
        <v>90</v>
      </c>
      <c r="E218">
        <v>23</v>
      </c>
      <c r="F218" t="s">
        <v>28</v>
      </c>
      <c r="G218">
        <f t="shared" si="3"/>
        <v>1</v>
      </c>
    </row>
    <row r="219" spans="1:7">
      <c r="A219" t="s">
        <v>437</v>
      </c>
      <c r="B219" t="s">
        <v>375</v>
      </c>
      <c r="C219" t="s">
        <v>9</v>
      </c>
      <c r="D219" t="s">
        <v>10</v>
      </c>
      <c r="E219">
        <v>28</v>
      </c>
      <c r="F219" t="s">
        <v>28</v>
      </c>
      <c r="G219">
        <f t="shared" si="3"/>
        <v>1</v>
      </c>
    </row>
    <row r="220" spans="1:7">
      <c r="A220" t="s">
        <v>438</v>
      </c>
      <c r="B220" t="s">
        <v>423</v>
      </c>
      <c r="C220" t="s">
        <v>87</v>
      </c>
      <c r="D220" t="s">
        <v>67</v>
      </c>
      <c r="E220">
        <v>21</v>
      </c>
      <c r="F220" t="s">
        <v>28</v>
      </c>
      <c r="G220">
        <f t="shared" si="3"/>
        <v>1</v>
      </c>
    </row>
    <row r="221" spans="1:7">
      <c r="A221" t="s">
        <v>439</v>
      </c>
      <c r="B221" t="s">
        <v>440</v>
      </c>
      <c r="C221" t="s">
        <v>93</v>
      </c>
      <c r="D221" t="s">
        <v>94</v>
      </c>
      <c r="E221">
        <v>27</v>
      </c>
      <c r="F221" t="s">
        <v>11</v>
      </c>
      <c r="G221">
        <f t="shared" si="3"/>
        <v>1</v>
      </c>
    </row>
    <row r="222" spans="1:7">
      <c r="A222" t="s">
        <v>441</v>
      </c>
      <c r="B222" t="s">
        <v>69</v>
      </c>
      <c r="C222" t="s">
        <v>118</v>
      </c>
      <c r="D222" t="s">
        <v>119</v>
      </c>
      <c r="E222">
        <v>29</v>
      </c>
      <c r="F222" t="s">
        <v>11</v>
      </c>
      <c r="G222">
        <f t="shared" si="3"/>
        <v>1</v>
      </c>
    </row>
    <row r="223" spans="1:7">
      <c r="A223" t="s">
        <v>442</v>
      </c>
      <c r="B223" t="s">
        <v>153</v>
      </c>
      <c r="C223" t="s">
        <v>33</v>
      </c>
      <c r="D223" t="s">
        <v>19</v>
      </c>
      <c r="E223">
        <v>42</v>
      </c>
      <c r="F223" t="s">
        <v>11</v>
      </c>
      <c r="G223">
        <f t="shared" si="3"/>
        <v>1</v>
      </c>
    </row>
    <row r="224" spans="1:7">
      <c r="A224" t="s">
        <v>443</v>
      </c>
      <c r="B224" t="s">
        <v>444</v>
      </c>
      <c r="C224" t="s">
        <v>240</v>
      </c>
      <c r="D224" t="s">
        <v>241</v>
      </c>
      <c r="E224">
        <v>32</v>
      </c>
      <c r="F224" t="s">
        <v>28</v>
      </c>
      <c r="G224">
        <f t="shared" si="3"/>
        <v>1</v>
      </c>
    </row>
    <row r="225" spans="1:7">
      <c r="A225" t="s">
        <v>445</v>
      </c>
      <c r="B225" t="s">
        <v>446</v>
      </c>
      <c r="C225" t="s">
        <v>160</v>
      </c>
      <c r="D225" t="s">
        <v>15</v>
      </c>
      <c r="E225">
        <v>60</v>
      </c>
      <c r="F225" t="s">
        <v>11</v>
      </c>
      <c r="G225">
        <f t="shared" si="3"/>
        <v>1</v>
      </c>
    </row>
    <row r="226" spans="1:7">
      <c r="A226" t="s">
        <v>447</v>
      </c>
      <c r="B226" t="s">
        <v>175</v>
      </c>
      <c r="C226" t="s">
        <v>165</v>
      </c>
      <c r="D226" t="s">
        <v>166</v>
      </c>
      <c r="E226">
        <v>52</v>
      </c>
      <c r="F226" t="s">
        <v>11</v>
      </c>
      <c r="G226">
        <f t="shared" si="3"/>
        <v>1</v>
      </c>
    </row>
    <row r="227" spans="1:7">
      <c r="A227" t="s">
        <v>448</v>
      </c>
      <c r="B227" t="s">
        <v>449</v>
      </c>
      <c r="C227" t="s">
        <v>43</v>
      </c>
      <c r="D227" t="s">
        <v>10</v>
      </c>
      <c r="E227">
        <v>55</v>
      </c>
      <c r="F227" t="s">
        <v>28</v>
      </c>
      <c r="G227">
        <f t="shared" si="3"/>
        <v>1</v>
      </c>
    </row>
    <row r="228" spans="1:7">
      <c r="A228" t="s">
        <v>450</v>
      </c>
      <c r="B228" t="s">
        <v>48</v>
      </c>
      <c r="C228" t="s">
        <v>76</v>
      </c>
      <c r="D228" t="s">
        <v>77</v>
      </c>
      <c r="E228">
        <v>37</v>
      </c>
      <c r="F228" t="s">
        <v>11</v>
      </c>
      <c r="G228">
        <f t="shared" si="3"/>
        <v>1</v>
      </c>
    </row>
    <row r="229" spans="1:7">
      <c r="A229" t="s">
        <v>451</v>
      </c>
      <c r="B229" t="s">
        <v>342</v>
      </c>
      <c r="C229" t="s">
        <v>49</v>
      </c>
      <c r="D229" t="s">
        <v>50</v>
      </c>
      <c r="E229">
        <v>33</v>
      </c>
      <c r="F229" t="s">
        <v>28</v>
      </c>
      <c r="G229">
        <f t="shared" si="3"/>
        <v>1</v>
      </c>
    </row>
    <row r="230" spans="1:7">
      <c r="A230" t="s">
        <v>452</v>
      </c>
      <c r="B230" t="s">
        <v>453</v>
      </c>
      <c r="C230" t="s">
        <v>18</v>
      </c>
      <c r="D230" t="s">
        <v>19</v>
      </c>
      <c r="E230">
        <v>36</v>
      </c>
      <c r="F230" t="s">
        <v>28</v>
      </c>
      <c r="G230">
        <f t="shared" si="3"/>
        <v>1</v>
      </c>
    </row>
    <row r="231" spans="1:7">
      <c r="A231" t="s">
        <v>454</v>
      </c>
      <c r="B231" t="s">
        <v>455</v>
      </c>
      <c r="C231" t="s">
        <v>87</v>
      </c>
      <c r="D231" t="s">
        <v>67</v>
      </c>
      <c r="E231">
        <v>18</v>
      </c>
      <c r="F231" t="s">
        <v>11</v>
      </c>
      <c r="G231">
        <f t="shared" si="3"/>
        <v>1</v>
      </c>
    </row>
    <row r="232" spans="1:7">
      <c r="A232" t="s">
        <v>456</v>
      </c>
      <c r="B232" t="s">
        <v>457</v>
      </c>
      <c r="C232" t="s">
        <v>80</v>
      </c>
      <c r="D232" t="s">
        <v>23</v>
      </c>
      <c r="E232">
        <v>32</v>
      </c>
      <c r="F232" t="s">
        <v>28</v>
      </c>
      <c r="G232">
        <f t="shared" si="3"/>
        <v>1</v>
      </c>
    </row>
    <row r="233" spans="1:7">
      <c r="A233" t="s">
        <v>458</v>
      </c>
      <c r="B233" t="s">
        <v>459</v>
      </c>
      <c r="C233" t="s">
        <v>14</v>
      </c>
      <c r="D233" t="s">
        <v>15</v>
      </c>
      <c r="E233">
        <v>34</v>
      </c>
      <c r="F233" t="s">
        <v>11</v>
      </c>
      <c r="G233">
        <f t="shared" si="3"/>
        <v>1</v>
      </c>
    </row>
    <row r="234" spans="1:7">
      <c r="A234" t="s">
        <v>460</v>
      </c>
      <c r="B234" t="s">
        <v>189</v>
      </c>
      <c r="C234" t="s">
        <v>9</v>
      </c>
      <c r="D234" t="s">
        <v>10</v>
      </c>
      <c r="E234">
        <v>46</v>
      </c>
      <c r="F234" t="s">
        <v>11</v>
      </c>
      <c r="G234">
        <f t="shared" si="3"/>
        <v>1</v>
      </c>
    </row>
    <row r="235" spans="1:7">
      <c r="A235" t="s">
        <v>461</v>
      </c>
      <c r="B235" t="s">
        <v>462</v>
      </c>
      <c r="C235" t="s">
        <v>18</v>
      </c>
      <c r="D235" t="s">
        <v>19</v>
      </c>
      <c r="E235">
        <v>26</v>
      </c>
      <c r="F235" t="s">
        <v>11</v>
      </c>
      <c r="G235">
        <f t="shared" si="3"/>
        <v>1</v>
      </c>
    </row>
    <row r="236" spans="1:7">
      <c r="A236" t="s">
        <v>463</v>
      </c>
      <c r="B236" t="s">
        <v>464</v>
      </c>
      <c r="C236" t="s">
        <v>90</v>
      </c>
      <c r="D236" t="s">
        <v>90</v>
      </c>
      <c r="E236">
        <v>44</v>
      </c>
      <c r="F236" t="s">
        <v>11</v>
      </c>
      <c r="G236">
        <f t="shared" si="3"/>
        <v>1</v>
      </c>
    </row>
    <row r="237" spans="1:7">
      <c r="A237" t="s">
        <v>465</v>
      </c>
      <c r="B237" t="s">
        <v>350</v>
      </c>
      <c r="C237" t="s">
        <v>22</v>
      </c>
      <c r="D237" t="s">
        <v>23</v>
      </c>
      <c r="E237">
        <v>52</v>
      </c>
      <c r="F237" t="s">
        <v>28</v>
      </c>
      <c r="G237">
        <f t="shared" si="3"/>
        <v>1</v>
      </c>
    </row>
    <row r="238" spans="1:7">
      <c r="A238" t="s">
        <v>466</v>
      </c>
      <c r="B238" t="s">
        <v>467</v>
      </c>
      <c r="C238" t="s">
        <v>118</v>
      </c>
      <c r="D238" t="s">
        <v>119</v>
      </c>
      <c r="E238">
        <v>28</v>
      </c>
      <c r="F238" t="s">
        <v>28</v>
      </c>
      <c r="G238">
        <f t="shared" si="3"/>
        <v>1</v>
      </c>
    </row>
    <row r="239" spans="1:7">
      <c r="A239" t="s">
        <v>468</v>
      </c>
      <c r="B239" t="s">
        <v>469</v>
      </c>
      <c r="C239" t="s">
        <v>240</v>
      </c>
      <c r="D239" t="s">
        <v>241</v>
      </c>
      <c r="E239">
        <v>39</v>
      </c>
      <c r="F239" t="s">
        <v>11</v>
      </c>
      <c r="G239">
        <f t="shared" si="3"/>
        <v>1</v>
      </c>
    </row>
    <row r="240" spans="1:7">
      <c r="A240" t="s">
        <v>470</v>
      </c>
      <c r="B240" t="s">
        <v>471</v>
      </c>
      <c r="C240" t="s">
        <v>165</v>
      </c>
      <c r="D240" t="s">
        <v>166</v>
      </c>
      <c r="E240">
        <v>32</v>
      </c>
      <c r="F240" t="s">
        <v>28</v>
      </c>
      <c r="G240">
        <f t="shared" si="3"/>
        <v>1</v>
      </c>
    </row>
    <row r="241" spans="1:7">
      <c r="A241" t="s">
        <v>472</v>
      </c>
      <c r="B241" t="s">
        <v>473</v>
      </c>
      <c r="C241" t="s">
        <v>26</v>
      </c>
      <c r="D241" t="s">
        <v>27</v>
      </c>
      <c r="E241">
        <v>43</v>
      </c>
      <c r="F241" t="s">
        <v>11</v>
      </c>
      <c r="G241">
        <f t="shared" si="3"/>
        <v>1</v>
      </c>
    </row>
    <row r="242" spans="1:7">
      <c r="A242" t="s">
        <v>474</v>
      </c>
      <c r="B242" t="s">
        <v>475</v>
      </c>
      <c r="C242" t="s">
        <v>160</v>
      </c>
      <c r="D242" t="s">
        <v>15</v>
      </c>
      <c r="E242">
        <v>47</v>
      </c>
      <c r="F242" t="s">
        <v>28</v>
      </c>
      <c r="G242">
        <f t="shared" si="3"/>
        <v>1</v>
      </c>
    </row>
    <row r="243" spans="1:7">
      <c r="A243" t="s">
        <v>476</v>
      </c>
      <c r="B243" t="s">
        <v>477</v>
      </c>
      <c r="C243" t="s">
        <v>160</v>
      </c>
      <c r="D243" t="s">
        <v>15</v>
      </c>
      <c r="E243">
        <v>58</v>
      </c>
      <c r="F243" t="s">
        <v>28</v>
      </c>
      <c r="G243">
        <f t="shared" si="3"/>
        <v>1</v>
      </c>
    </row>
    <row r="244" spans="1:7">
      <c r="A244" t="s">
        <v>478</v>
      </c>
      <c r="B244" t="s">
        <v>479</v>
      </c>
      <c r="C244" t="s">
        <v>9</v>
      </c>
      <c r="D244" t="s">
        <v>10</v>
      </c>
      <c r="E244">
        <v>19</v>
      </c>
      <c r="F244" t="s">
        <v>28</v>
      </c>
      <c r="G244">
        <f t="shared" si="3"/>
        <v>1</v>
      </c>
    </row>
    <row r="245" spans="1:7">
      <c r="A245" t="s">
        <v>480</v>
      </c>
      <c r="B245" t="s">
        <v>257</v>
      </c>
      <c r="C245" t="s">
        <v>80</v>
      </c>
      <c r="D245" t="s">
        <v>23</v>
      </c>
      <c r="E245">
        <v>22</v>
      </c>
      <c r="F245" t="s">
        <v>28</v>
      </c>
      <c r="G245">
        <f t="shared" si="3"/>
        <v>1</v>
      </c>
    </row>
    <row r="246" spans="1:7">
      <c r="A246" t="s">
        <v>481</v>
      </c>
      <c r="B246" t="s">
        <v>482</v>
      </c>
      <c r="C246" t="s">
        <v>90</v>
      </c>
      <c r="D246" t="s">
        <v>90</v>
      </c>
      <c r="E246">
        <v>26</v>
      </c>
      <c r="F246" t="s">
        <v>11</v>
      </c>
      <c r="G246">
        <f t="shared" si="3"/>
        <v>1</v>
      </c>
    </row>
    <row r="247" spans="1:7">
      <c r="A247" t="s">
        <v>483</v>
      </c>
      <c r="B247" t="s">
        <v>484</v>
      </c>
      <c r="C247" t="s">
        <v>40</v>
      </c>
      <c r="D247" t="s">
        <v>10</v>
      </c>
      <c r="E247">
        <v>25</v>
      </c>
      <c r="F247" t="s">
        <v>11</v>
      </c>
      <c r="G247">
        <f t="shared" si="3"/>
        <v>1</v>
      </c>
    </row>
    <row r="248" spans="1:7">
      <c r="A248" t="s">
        <v>485</v>
      </c>
      <c r="B248" t="s">
        <v>121</v>
      </c>
      <c r="C248" t="s">
        <v>14</v>
      </c>
      <c r="D248" t="s">
        <v>15</v>
      </c>
      <c r="E248">
        <v>42</v>
      </c>
      <c r="F248" t="s">
        <v>28</v>
      </c>
      <c r="G248">
        <f t="shared" si="3"/>
        <v>1</v>
      </c>
    </row>
    <row r="249" spans="1:7">
      <c r="A249" t="s">
        <v>486</v>
      </c>
      <c r="B249" t="s">
        <v>192</v>
      </c>
      <c r="C249" t="s">
        <v>93</v>
      </c>
      <c r="D249" t="s">
        <v>94</v>
      </c>
      <c r="E249">
        <v>55</v>
      </c>
      <c r="F249" t="s">
        <v>11</v>
      </c>
      <c r="G249">
        <f t="shared" si="3"/>
        <v>1</v>
      </c>
    </row>
    <row r="250" spans="1:7">
      <c r="A250" t="s">
        <v>487</v>
      </c>
      <c r="B250" t="s">
        <v>488</v>
      </c>
      <c r="C250" t="s">
        <v>76</v>
      </c>
      <c r="D250" t="s">
        <v>77</v>
      </c>
      <c r="E250">
        <v>57</v>
      </c>
      <c r="F250" t="s">
        <v>28</v>
      </c>
      <c r="G250">
        <f t="shared" si="3"/>
        <v>1</v>
      </c>
    </row>
    <row r="251" spans="1:7">
      <c r="A251" t="s">
        <v>489</v>
      </c>
      <c r="B251" t="s">
        <v>216</v>
      </c>
      <c r="C251" t="s">
        <v>160</v>
      </c>
      <c r="D251" t="s">
        <v>15</v>
      </c>
      <c r="E251">
        <v>41</v>
      </c>
      <c r="F251" t="s">
        <v>11</v>
      </c>
      <c r="G251">
        <f t="shared" si="3"/>
        <v>1</v>
      </c>
    </row>
    <row r="252" spans="1:7">
      <c r="A252" t="s">
        <v>490</v>
      </c>
      <c r="B252" t="s">
        <v>491</v>
      </c>
      <c r="C252" t="s">
        <v>165</v>
      </c>
      <c r="D252" t="s">
        <v>166</v>
      </c>
      <c r="E252">
        <v>41</v>
      </c>
      <c r="F252" t="s">
        <v>11</v>
      </c>
      <c r="G252">
        <f t="shared" si="3"/>
        <v>1</v>
      </c>
    </row>
    <row r="253" spans="1:7">
      <c r="A253" t="s">
        <v>492</v>
      </c>
      <c r="B253" t="s">
        <v>493</v>
      </c>
      <c r="C253" t="s">
        <v>93</v>
      </c>
      <c r="D253" t="s">
        <v>94</v>
      </c>
      <c r="E253">
        <v>40</v>
      </c>
      <c r="F253" t="s">
        <v>11</v>
      </c>
      <c r="G253">
        <f t="shared" si="3"/>
        <v>1</v>
      </c>
    </row>
    <row r="254" spans="1:7">
      <c r="A254" t="s">
        <v>494</v>
      </c>
      <c r="B254" t="s">
        <v>495</v>
      </c>
      <c r="C254" t="s">
        <v>49</v>
      </c>
      <c r="D254" t="s">
        <v>50</v>
      </c>
      <c r="E254">
        <v>25</v>
      </c>
      <c r="F254" t="s">
        <v>28</v>
      </c>
      <c r="G254">
        <f t="shared" si="3"/>
        <v>1</v>
      </c>
    </row>
    <row r="255" spans="1:7">
      <c r="A255" t="s">
        <v>496</v>
      </c>
      <c r="B255" t="s">
        <v>497</v>
      </c>
      <c r="C255" t="s">
        <v>43</v>
      </c>
      <c r="D255" t="s">
        <v>10</v>
      </c>
      <c r="E255">
        <v>58</v>
      </c>
      <c r="F255" t="s">
        <v>11</v>
      </c>
      <c r="G255">
        <f t="shared" si="3"/>
        <v>1</v>
      </c>
    </row>
    <row r="256" spans="1:7">
      <c r="A256" t="s">
        <v>498</v>
      </c>
      <c r="B256" t="s">
        <v>499</v>
      </c>
      <c r="C256" t="s">
        <v>40</v>
      </c>
      <c r="D256" t="s">
        <v>10</v>
      </c>
      <c r="E256">
        <v>26</v>
      </c>
      <c r="F256" t="s">
        <v>11</v>
      </c>
      <c r="G256">
        <f t="shared" si="3"/>
        <v>1</v>
      </c>
    </row>
    <row r="257" spans="1:7">
      <c r="A257" t="s">
        <v>500</v>
      </c>
      <c r="B257" t="s">
        <v>501</v>
      </c>
      <c r="C257" t="s">
        <v>43</v>
      </c>
      <c r="D257" t="s">
        <v>10</v>
      </c>
      <c r="E257">
        <v>55</v>
      </c>
      <c r="F257" t="s">
        <v>11</v>
      </c>
      <c r="G257">
        <f t="shared" si="3"/>
        <v>1</v>
      </c>
    </row>
    <row r="258" spans="1:7">
      <c r="A258" t="s">
        <v>502</v>
      </c>
      <c r="B258" t="s">
        <v>164</v>
      </c>
      <c r="C258" t="s">
        <v>14</v>
      </c>
      <c r="D258" t="s">
        <v>15</v>
      </c>
      <c r="E258">
        <v>27</v>
      </c>
      <c r="F258" t="s">
        <v>11</v>
      </c>
      <c r="G258">
        <f t="shared" ref="G258:G321" si="4">COUNTIF(A:A,A258)</f>
        <v>1</v>
      </c>
    </row>
    <row r="259" spans="1:7">
      <c r="A259" t="s">
        <v>503</v>
      </c>
      <c r="B259" t="s">
        <v>102</v>
      </c>
      <c r="C259" t="s">
        <v>160</v>
      </c>
      <c r="D259" t="s">
        <v>15</v>
      </c>
      <c r="E259">
        <v>52</v>
      </c>
      <c r="F259" t="s">
        <v>28</v>
      </c>
      <c r="G259">
        <f t="shared" si="4"/>
        <v>1</v>
      </c>
    </row>
    <row r="260" spans="1:7">
      <c r="A260" t="s">
        <v>504</v>
      </c>
      <c r="B260" t="s">
        <v>125</v>
      </c>
      <c r="C260" t="s">
        <v>33</v>
      </c>
      <c r="D260" t="s">
        <v>19</v>
      </c>
      <c r="E260">
        <v>19</v>
      </c>
      <c r="F260" t="s">
        <v>11</v>
      </c>
      <c r="G260">
        <f t="shared" si="4"/>
        <v>1</v>
      </c>
    </row>
    <row r="261" spans="1:7">
      <c r="A261" t="s">
        <v>505</v>
      </c>
      <c r="B261" t="s">
        <v>506</v>
      </c>
      <c r="C261" t="s">
        <v>87</v>
      </c>
      <c r="D261" t="s">
        <v>67</v>
      </c>
      <c r="E261">
        <v>33</v>
      </c>
      <c r="F261" t="s">
        <v>28</v>
      </c>
      <c r="G261">
        <f t="shared" si="4"/>
        <v>1</v>
      </c>
    </row>
    <row r="262" spans="1:7">
      <c r="A262" t="s">
        <v>507</v>
      </c>
      <c r="B262" t="s">
        <v>104</v>
      </c>
      <c r="C262" t="s">
        <v>87</v>
      </c>
      <c r="D262" t="s">
        <v>67</v>
      </c>
      <c r="E262">
        <v>21</v>
      </c>
      <c r="F262" t="s">
        <v>11</v>
      </c>
      <c r="G262">
        <f t="shared" si="4"/>
        <v>1</v>
      </c>
    </row>
    <row r="263" spans="1:7">
      <c r="A263" t="s">
        <v>508</v>
      </c>
      <c r="B263" t="s">
        <v>214</v>
      </c>
      <c r="C263" t="s">
        <v>76</v>
      </c>
      <c r="D263" t="s">
        <v>77</v>
      </c>
      <c r="E263">
        <v>22</v>
      </c>
      <c r="F263" t="s">
        <v>28</v>
      </c>
      <c r="G263">
        <f t="shared" si="4"/>
        <v>1</v>
      </c>
    </row>
    <row r="264" spans="1:7">
      <c r="A264" t="s">
        <v>509</v>
      </c>
      <c r="B264" t="s">
        <v>510</v>
      </c>
      <c r="C264" t="s">
        <v>165</v>
      </c>
      <c r="D264" t="s">
        <v>166</v>
      </c>
      <c r="E264">
        <v>55</v>
      </c>
      <c r="F264" t="s">
        <v>11</v>
      </c>
      <c r="G264">
        <f t="shared" si="4"/>
        <v>1</v>
      </c>
    </row>
    <row r="265" spans="1:7">
      <c r="A265" t="s">
        <v>511</v>
      </c>
      <c r="B265" t="s">
        <v>512</v>
      </c>
      <c r="C265" t="s">
        <v>165</v>
      </c>
      <c r="D265" t="s">
        <v>166</v>
      </c>
      <c r="E265">
        <v>57</v>
      </c>
      <c r="F265" t="s">
        <v>11</v>
      </c>
      <c r="G265">
        <f t="shared" si="4"/>
        <v>1</v>
      </c>
    </row>
    <row r="266" spans="1:7">
      <c r="A266" t="s">
        <v>513</v>
      </c>
      <c r="B266" t="s">
        <v>514</v>
      </c>
      <c r="C266" t="s">
        <v>118</v>
      </c>
      <c r="D266" t="s">
        <v>119</v>
      </c>
      <c r="E266">
        <v>59</v>
      </c>
      <c r="F266" t="s">
        <v>11</v>
      </c>
      <c r="G266">
        <f t="shared" si="4"/>
        <v>1</v>
      </c>
    </row>
    <row r="267" spans="1:7">
      <c r="A267" t="s">
        <v>515</v>
      </c>
      <c r="B267" t="s">
        <v>63</v>
      </c>
      <c r="C267" t="s">
        <v>40</v>
      </c>
      <c r="D267" t="s">
        <v>10</v>
      </c>
      <c r="E267">
        <v>45</v>
      </c>
      <c r="F267" t="s">
        <v>11</v>
      </c>
      <c r="G267">
        <f t="shared" si="4"/>
        <v>1</v>
      </c>
    </row>
    <row r="268" spans="1:7">
      <c r="A268" t="s">
        <v>516</v>
      </c>
      <c r="B268" t="s">
        <v>517</v>
      </c>
      <c r="C268" t="s">
        <v>240</v>
      </c>
      <c r="D268" t="s">
        <v>241</v>
      </c>
      <c r="E268">
        <v>23</v>
      </c>
      <c r="F268" t="s">
        <v>28</v>
      </c>
      <c r="G268">
        <f t="shared" si="4"/>
        <v>1</v>
      </c>
    </row>
    <row r="269" spans="1:7">
      <c r="A269" t="s">
        <v>518</v>
      </c>
      <c r="B269" t="s">
        <v>372</v>
      </c>
      <c r="C269" t="s">
        <v>80</v>
      </c>
      <c r="D269" t="s">
        <v>23</v>
      </c>
      <c r="E269">
        <v>26</v>
      </c>
      <c r="F269" t="s">
        <v>28</v>
      </c>
      <c r="G269">
        <f t="shared" si="4"/>
        <v>1</v>
      </c>
    </row>
    <row r="270" spans="1:7">
      <c r="A270" t="s">
        <v>519</v>
      </c>
      <c r="B270" t="s">
        <v>111</v>
      </c>
      <c r="C270" t="s">
        <v>80</v>
      </c>
      <c r="D270" t="s">
        <v>23</v>
      </c>
      <c r="E270">
        <v>38</v>
      </c>
      <c r="F270" t="s">
        <v>28</v>
      </c>
      <c r="G270">
        <f t="shared" si="4"/>
        <v>1</v>
      </c>
    </row>
    <row r="271" spans="1:7">
      <c r="A271" t="s">
        <v>520</v>
      </c>
      <c r="B271" t="s">
        <v>521</v>
      </c>
      <c r="C271" t="s">
        <v>80</v>
      </c>
      <c r="D271" t="s">
        <v>23</v>
      </c>
      <c r="E271">
        <v>47</v>
      </c>
      <c r="F271" t="s">
        <v>28</v>
      </c>
      <c r="G271">
        <f t="shared" si="4"/>
        <v>1</v>
      </c>
    </row>
    <row r="272" spans="1:7">
      <c r="A272" t="s">
        <v>522</v>
      </c>
      <c r="B272" t="s">
        <v>523</v>
      </c>
      <c r="C272" t="s">
        <v>9</v>
      </c>
      <c r="D272" t="s">
        <v>10</v>
      </c>
      <c r="E272">
        <v>59</v>
      </c>
      <c r="F272" t="s">
        <v>11</v>
      </c>
      <c r="G272">
        <f t="shared" si="4"/>
        <v>1</v>
      </c>
    </row>
    <row r="273" spans="1:7">
      <c r="A273" t="s">
        <v>524</v>
      </c>
      <c r="B273" t="s">
        <v>491</v>
      </c>
      <c r="C273" t="s">
        <v>76</v>
      </c>
      <c r="D273" t="s">
        <v>77</v>
      </c>
      <c r="E273">
        <v>44</v>
      </c>
      <c r="F273" t="s">
        <v>28</v>
      </c>
      <c r="G273">
        <f t="shared" si="4"/>
        <v>1</v>
      </c>
    </row>
    <row r="274" spans="1:7">
      <c r="A274" t="s">
        <v>525</v>
      </c>
      <c r="B274" t="s">
        <v>271</v>
      </c>
      <c r="C274" t="s">
        <v>165</v>
      </c>
      <c r="D274" t="s">
        <v>166</v>
      </c>
      <c r="E274">
        <v>24</v>
      </c>
      <c r="F274" t="s">
        <v>28</v>
      </c>
      <c r="G274">
        <f t="shared" si="4"/>
        <v>1</v>
      </c>
    </row>
    <row r="275" spans="1:7">
      <c r="A275" t="s">
        <v>526</v>
      </c>
      <c r="B275" t="s">
        <v>221</v>
      </c>
      <c r="C275" t="s">
        <v>76</v>
      </c>
      <c r="D275" t="s">
        <v>77</v>
      </c>
      <c r="E275">
        <v>34</v>
      </c>
      <c r="F275" t="s">
        <v>28</v>
      </c>
      <c r="G275">
        <f t="shared" si="4"/>
        <v>1</v>
      </c>
    </row>
    <row r="276" spans="1:7">
      <c r="A276" t="s">
        <v>527</v>
      </c>
      <c r="B276" t="s">
        <v>348</v>
      </c>
      <c r="C276" t="s">
        <v>66</v>
      </c>
      <c r="D276" t="s">
        <v>67</v>
      </c>
      <c r="E276">
        <v>23</v>
      </c>
      <c r="F276" t="s">
        <v>11</v>
      </c>
      <c r="G276">
        <f t="shared" si="4"/>
        <v>1</v>
      </c>
    </row>
    <row r="277" spans="1:7">
      <c r="A277" t="s">
        <v>528</v>
      </c>
      <c r="B277" t="s">
        <v>482</v>
      </c>
      <c r="C277" t="s">
        <v>43</v>
      </c>
      <c r="D277" t="s">
        <v>10</v>
      </c>
      <c r="E277">
        <v>41</v>
      </c>
      <c r="F277" t="s">
        <v>11</v>
      </c>
      <c r="G277">
        <f t="shared" si="4"/>
        <v>1</v>
      </c>
    </row>
    <row r="278" spans="1:7">
      <c r="A278" t="s">
        <v>529</v>
      </c>
      <c r="B278" t="s">
        <v>530</v>
      </c>
      <c r="C278" t="s">
        <v>26</v>
      </c>
      <c r="D278" t="s">
        <v>27</v>
      </c>
      <c r="E278">
        <v>53</v>
      </c>
      <c r="F278" t="s">
        <v>28</v>
      </c>
      <c r="G278">
        <f t="shared" si="4"/>
        <v>1</v>
      </c>
    </row>
    <row r="279" spans="1:7">
      <c r="A279" t="s">
        <v>531</v>
      </c>
      <c r="B279" t="s">
        <v>212</v>
      </c>
      <c r="C279" t="s">
        <v>9</v>
      </c>
      <c r="D279" t="s">
        <v>10</v>
      </c>
      <c r="E279">
        <v>60</v>
      </c>
      <c r="F279" t="s">
        <v>28</v>
      </c>
      <c r="G279">
        <f t="shared" si="4"/>
        <v>1</v>
      </c>
    </row>
    <row r="280" spans="1:7">
      <c r="A280" t="s">
        <v>532</v>
      </c>
      <c r="B280" t="s">
        <v>179</v>
      </c>
      <c r="C280" t="s">
        <v>40</v>
      </c>
      <c r="D280" t="s">
        <v>10</v>
      </c>
      <c r="E280">
        <v>37</v>
      </c>
      <c r="F280" t="s">
        <v>28</v>
      </c>
      <c r="G280">
        <f t="shared" si="4"/>
        <v>1</v>
      </c>
    </row>
    <row r="281" spans="1:7">
      <c r="A281" t="s">
        <v>533</v>
      </c>
      <c r="B281" t="s">
        <v>534</v>
      </c>
      <c r="C281" t="s">
        <v>9</v>
      </c>
      <c r="D281" t="s">
        <v>10</v>
      </c>
      <c r="E281">
        <v>31</v>
      </c>
      <c r="F281" t="s">
        <v>11</v>
      </c>
      <c r="G281">
        <f t="shared" si="4"/>
        <v>1</v>
      </c>
    </row>
    <row r="282" spans="1:7">
      <c r="A282" t="s">
        <v>535</v>
      </c>
      <c r="B282" t="s">
        <v>352</v>
      </c>
      <c r="C282" t="s">
        <v>240</v>
      </c>
      <c r="D282" t="s">
        <v>241</v>
      </c>
      <c r="E282">
        <v>40</v>
      </c>
      <c r="F282" t="s">
        <v>28</v>
      </c>
      <c r="G282">
        <f t="shared" si="4"/>
        <v>1</v>
      </c>
    </row>
    <row r="283" spans="1:7">
      <c r="A283" t="s">
        <v>536</v>
      </c>
      <c r="B283" t="s">
        <v>537</v>
      </c>
      <c r="C283" t="s">
        <v>9</v>
      </c>
      <c r="D283" t="s">
        <v>10</v>
      </c>
      <c r="E283">
        <v>32</v>
      </c>
      <c r="F283" t="s">
        <v>28</v>
      </c>
      <c r="G283">
        <f t="shared" si="4"/>
        <v>1</v>
      </c>
    </row>
    <row r="284" spans="1:7">
      <c r="A284" t="s">
        <v>538</v>
      </c>
      <c r="B284" t="s">
        <v>539</v>
      </c>
      <c r="C284" t="s">
        <v>26</v>
      </c>
      <c r="D284" t="s">
        <v>27</v>
      </c>
      <c r="E284">
        <v>59</v>
      </c>
      <c r="F284" t="s">
        <v>11</v>
      </c>
      <c r="G284">
        <f t="shared" si="4"/>
        <v>1</v>
      </c>
    </row>
    <row r="285" spans="1:7">
      <c r="A285" t="s">
        <v>540</v>
      </c>
      <c r="B285" t="s">
        <v>381</v>
      </c>
      <c r="C285" t="s">
        <v>80</v>
      </c>
      <c r="D285" t="s">
        <v>23</v>
      </c>
      <c r="E285">
        <v>29</v>
      </c>
      <c r="F285" t="s">
        <v>28</v>
      </c>
      <c r="G285">
        <f t="shared" si="4"/>
        <v>1</v>
      </c>
    </row>
    <row r="286" spans="1:7">
      <c r="A286" t="s">
        <v>541</v>
      </c>
      <c r="B286" t="s">
        <v>542</v>
      </c>
      <c r="C286" t="s">
        <v>90</v>
      </c>
      <c r="D286" t="s">
        <v>90</v>
      </c>
      <c r="E286">
        <v>18</v>
      </c>
      <c r="F286" t="s">
        <v>11</v>
      </c>
      <c r="G286">
        <f t="shared" si="4"/>
        <v>1</v>
      </c>
    </row>
    <row r="287" spans="1:7">
      <c r="A287" t="s">
        <v>543</v>
      </c>
      <c r="B287" t="s">
        <v>297</v>
      </c>
      <c r="C287" t="s">
        <v>66</v>
      </c>
      <c r="D287" t="s">
        <v>67</v>
      </c>
      <c r="E287">
        <v>43</v>
      </c>
      <c r="F287" t="s">
        <v>11</v>
      </c>
      <c r="G287">
        <f t="shared" si="4"/>
        <v>1</v>
      </c>
    </row>
    <row r="288" spans="1:7">
      <c r="A288" t="s">
        <v>544</v>
      </c>
      <c r="B288" t="s">
        <v>545</v>
      </c>
      <c r="C288" t="s">
        <v>66</v>
      </c>
      <c r="D288" t="s">
        <v>67</v>
      </c>
      <c r="E288">
        <v>51</v>
      </c>
      <c r="F288" t="s">
        <v>11</v>
      </c>
      <c r="G288">
        <f t="shared" si="4"/>
        <v>1</v>
      </c>
    </row>
    <row r="289" spans="1:7">
      <c r="A289" t="s">
        <v>546</v>
      </c>
      <c r="B289" t="s">
        <v>127</v>
      </c>
      <c r="C289" t="s">
        <v>49</v>
      </c>
      <c r="D289" t="s">
        <v>50</v>
      </c>
      <c r="E289">
        <v>39</v>
      </c>
      <c r="F289" t="s">
        <v>11</v>
      </c>
      <c r="G289">
        <f t="shared" si="4"/>
        <v>1</v>
      </c>
    </row>
    <row r="290" spans="1:7">
      <c r="A290" t="s">
        <v>547</v>
      </c>
      <c r="B290" t="s">
        <v>469</v>
      </c>
      <c r="C290" t="s">
        <v>93</v>
      </c>
      <c r="D290" t="s">
        <v>94</v>
      </c>
      <c r="E290">
        <v>38</v>
      </c>
      <c r="F290" t="s">
        <v>11</v>
      </c>
      <c r="G290">
        <f t="shared" si="4"/>
        <v>1</v>
      </c>
    </row>
    <row r="291" spans="1:7">
      <c r="A291" t="s">
        <v>548</v>
      </c>
      <c r="B291" t="s">
        <v>549</v>
      </c>
      <c r="C291" t="s">
        <v>40</v>
      </c>
      <c r="D291" t="s">
        <v>10</v>
      </c>
      <c r="E291">
        <v>57</v>
      </c>
      <c r="F291" t="s">
        <v>11</v>
      </c>
      <c r="G291">
        <f t="shared" si="4"/>
        <v>1</v>
      </c>
    </row>
    <row r="292" spans="1:7">
      <c r="A292" t="s">
        <v>550</v>
      </c>
      <c r="B292" t="s">
        <v>48</v>
      </c>
      <c r="C292" t="s">
        <v>43</v>
      </c>
      <c r="D292" t="s">
        <v>10</v>
      </c>
      <c r="E292">
        <v>60</v>
      </c>
      <c r="F292" t="s">
        <v>28</v>
      </c>
      <c r="G292">
        <f t="shared" si="4"/>
        <v>1</v>
      </c>
    </row>
    <row r="293" spans="1:7">
      <c r="A293" t="s">
        <v>551</v>
      </c>
      <c r="B293" t="s">
        <v>552</v>
      </c>
      <c r="C293" t="s">
        <v>240</v>
      </c>
      <c r="D293" t="s">
        <v>241</v>
      </c>
      <c r="E293">
        <v>44</v>
      </c>
      <c r="F293" t="s">
        <v>28</v>
      </c>
      <c r="G293">
        <f t="shared" si="4"/>
        <v>1</v>
      </c>
    </row>
    <row r="294" spans="1:7">
      <c r="A294" t="s">
        <v>553</v>
      </c>
      <c r="B294" t="s">
        <v>214</v>
      </c>
      <c r="C294" t="s">
        <v>22</v>
      </c>
      <c r="D294" t="s">
        <v>23</v>
      </c>
      <c r="E294">
        <v>40</v>
      </c>
      <c r="F294" t="s">
        <v>28</v>
      </c>
      <c r="G294">
        <f t="shared" si="4"/>
        <v>1</v>
      </c>
    </row>
    <row r="295" spans="1:7">
      <c r="A295" t="s">
        <v>554</v>
      </c>
      <c r="B295" t="s">
        <v>175</v>
      </c>
      <c r="C295" t="s">
        <v>9</v>
      </c>
      <c r="D295" t="s">
        <v>10</v>
      </c>
      <c r="E295">
        <v>55</v>
      </c>
      <c r="F295" t="s">
        <v>28</v>
      </c>
      <c r="G295">
        <f t="shared" si="4"/>
        <v>1</v>
      </c>
    </row>
    <row r="296" spans="1:7">
      <c r="A296" t="s">
        <v>555</v>
      </c>
      <c r="B296" t="s">
        <v>556</v>
      </c>
      <c r="C296" t="s">
        <v>118</v>
      </c>
      <c r="D296" t="s">
        <v>119</v>
      </c>
      <c r="E296">
        <v>32</v>
      </c>
      <c r="F296" t="s">
        <v>28</v>
      </c>
      <c r="G296">
        <f t="shared" si="4"/>
        <v>1</v>
      </c>
    </row>
    <row r="297" spans="1:7">
      <c r="A297" t="s">
        <v>557</v>
      </c>
      <c r="B297" t="s">
        <v>558</v>
      </c>
      <c r="C297" t="s">
        <v>80</v>
      </c>
      <c r="D297" t="s">
        <v>23</v>
      </c>
      <c r="E297">
        <v>31</v>
      </c>
      <c r="F297" t="s">
        <v>28</v>
      </c>
      <c r="G297">
        <f t="shared" si="4"/>
        <v>1</v>
      </c>
    </row>
    <row r="298" spans="1:7">
      <c r="A298" t="s">
        <v>559</v>
      </c>
      <c r="B298" t="s">
        <v>560</v>
      </c>
      <c r="C298" t="s">
        <v>22</v>
      </c>
      <c r="D298" t="s">
        <v>23</v>
      </c>
      <c r="E298">
        <v>34</v>
      </c>
      <c r="F298" t="s">
        <v>28</v>
      </c>
      <c r="G298">
        <f t="shared" si="4"/>
        <v>1</v>
      </c>
    </row>
    <row r="299" spans="1:7">
      <c r="A299" t="s">
        <v>561</v>
      </c>
      <c r="B299" t="s">
        <v>562</v>
      </c>
      <c r="C299" t="s">
        <v>58</v>
      </c>
      <c r="D299" t="s">
        <v>59</v>
      </c>
      <c r="E299">
        <v>49</v>
      </c>
      <c r="F299" t="s">
        <v>28</v>
      </c>
      <c r="G299">
        <f t="shared" si="4"/>
        <v>1</v>
      </c>
    </row>
    <row r="300" spans="1:7">
      <c r="A300" t="s">
        <v>563</v>
      </c>
      <c r="B300" t="s">
        <v>411</v>
      </c>
      <c r="C300" t="s">
        <v>33</v>
      </c>
      <c r="D300" t="s">
        <v>19</v>
      </c>
      <c r="E300">
        <v>52</v>
      </c>
      <c r="F300" t="s">
        <v>11</v>
      </c>
      <c r="G300">
        <f t="shared" si="4"/>
        <v>1</v>
      </c>
    </row>
    <row r="301" spans="1:7">
      <c r="A301" t="s">
        <v>564</v>
      </c>
      <c r="B301" t="s">
        <v>145</v>
      </c>
      <c r="C301" t="s">
        <v>118</v>
      </c>
      <c r="D301" t="s">
        <v>119</v>
      </c>
      <c r="E301">
        <v>40</v>
      </c>
      <c r="F301" t="s">
        <v>11</v>
      </c>
      <c r="G301">
        <f t="shared" si="4"/>
        <v>1</v>
      </c>
    </row>
    <row r="302" spans="1:7">
      <c r="A302" t="s">
        <v>565</v>
      </c>
      <c r="B302" t="s">
        <v>566</v>
      </c>
      <c r="C302" t="s">
        <v>49</v>
      </c>
      <c r="D302" t="s">
        <v>50</v>
      </c>
      <c r="E302">
        <v>19</v>
      </c>
      <c r="F302" t="s">
        <v>28</v>
      </c>
      <c r="G302">
        <f t="shared" si="4"/>
        <v>1</v>
      </c>
    </row>
    <row r="303" spans="1:7">
      <c r="A303" t="s">
        <v>567</v>
      </c>
      <c r="B303" t="s">
        <v>568</v>
      </c>
      <c r="C303" t="s">
        <v>43</v>
      </c>
      <c r="D303" t="s">
        <v>10</v>
      </c>
      <c r="E303">
        <v>45</v>
      </c>
      <c r="F303" t="s">
        <v>28</v>
      </c>
      <c r="G303">
        <f t="shared" si="4"/>
        <v>1</v>
      </c>
    </row>
    <row r="304" spans="1:7">
      <c r="A304" t="s">
        <v>569</v>
      </c>
      <c r="B304" t="s">
        <v>295</v>
      </c>
      <c r="C304" t="s">
        <v>76</v>
      </c>
      <c r="D304" t="s">
        <v>77</v>
      </c>
      <c r="E304">
        <v>43</v>
      </c>
      <c r="F304" t="s">
        <v>11</v>
      </c>
      <c r="G304">
        <f t="shared" si="4"/>
        <v>1</v>
      </c>
    </row>
    <row r="305" spans="1:7">
      <c r="A305" t="s">
        <v>570</v>
      </c>
      <c r="B305" t="s">
        <v>194</v>
      </c>
      <c r="C305" t="s">
        <v>58</v>
      </c>
      <c r="D305" t="s">
        <v>59</v>
      </c>
      <c r="E305">
        <v>57</v>
      </c>
      <c r="F305" t="s">
        <v>28</v>
      </c>
      <c r="G305">
        <f t="shared" si="4"/>
        <v>1</v>
      </c>
    </row>
    <row r="306" spans="1:7">
      <c r="A306" t="s">
        <v>571</v>
      </c>
      <c r="B306" t="s">
        <v>157</v>
      </c>
      <c r="C306" t="s">
        <v>93</v>
      </c>
      <c r="D306" t="s">
        <v>94</v>
      </c>
      <c r="E306">
        <v>24</v>
      </c>
      <c r="F306" t="s">
        <v>11</v>
      </c>
      <c r="G306">
        <f t="shared" si="4"/>
        <v>1</v>
      </c>
    </row>
    <row r="307" spans="1:7">
      <c r="A307" t="s">
        <v>572</v>
      </c>
      <c r="B307" t="s">
        <v>477</v>
      </c>
      <c r="C307" t="s">
        <v>76</v>
      </c>
      <c r="D307" t="s">
        <v>77</v>
      </c>
      <c r="E307">
        <v>51</v>
      </c>
      <c r="F307" t="s">
        <v>11</v>
      </c>
      <c r="G307">
        <f t="shared" si="4"/>
        <v>1</v>
      </c>
    </row>
    <row r="308" spans="1:7">
      <c r="A308" t="s">
        <v>573</v>
      </c>
      <c r="B308" t="s">
        <v>469</v>
      </c>
      <c r="C308" t="s">
        <v>49</v>
      </c>
      <c r="D308" t="s">
        <v>50</v>
      </c>
      <c r="E308">
        <v>39</v>
      </c>
      <c r="F308" t="s">
        <v>11</v>
      </c>
      <c r="G308">
        <f t="shared" si="4"/>
        <v>1</v>
      </c>
    </row>
    <row r="309" spans="1:7">
      <c r="A309" t="s">
        <v>574</v>
      </c>
      <c r="B309" t="s">
        <v>575</v>
      </c>
      <c r="C309" t="s">
        <v>58</v>
      </c>
      <c r="D309" t="s">
        <v>59</v>
      </c>
      <c r="E309">
        <v>50</v>
      </c>
      <c r="F309" t="s">
        <v>11</v>
      </c>
      <c r="G309">
        <f t="shared" si="4"/>
        <v>1</v>
      </c>
    </row>
    <row r="310" spans="1:7">
      <c r="A310" t="s">
        <v>576</v>
      </c>
      <c r="B310" t="s">
        <v>577</v>
      </c>
      <c r="C310" t="s">
        <v>118</v>
      </c>
      <c r="D310" t="s">
        <v>119</v>
      </c>
      <c r="E310">
        <v>40</v>
      </c>
      <c r="F310" t="s">
        <v>28</v>
      </c>
      <c r="G310">
        <f t="shared" si="4"/>
        <v>1</v>
      </c>
    </row>
    <row r="311" spans="1:7">
      <c r="A311" t="s">
        <v>578</v>
      </c>
      <c r="B311" t="s">
        <v>352</v>
      </c>
      <c r="C311" t="s">
        <v>66</v>
      </c>
      <c r="D311" t="s">
        <v>67</v>
      </c>
      <c r="E311">
        <v>27</v>
      </c>
      <c r="F311" t="s">
        <v>28</v>
      </c>
      <c r="G311">
        <f t="shared" si="4"/>
        <v>1</v>
      </c>
    </row>
    <row r="312" spans="1:7">
      <c r="A312" t="s">
        <v>579</v>
      </c>
      <c r="B312" t="s">
        <v>293</v>
      </c>
      <c r="C312" t="s">
        <v>22</v>
      </c>
      <c r="D312" t="s">
        <v>23</v>
      </c>
      <c r="E312">
        <v>27</v>
      </c>
      <c r="F312" t="s">
        <v>11</v>
      </c>
      <c r="G312">
        <f t="shared" si="4"/>
        <v>1</v>
      </c>
    </row>
    <row r="313" spans="1:7">
      <c r="A313" t="s">
        <v>580</v>
      </c>
      <c r="B313" t="s">
        <v>344</v>
      </c>
      <c r="C313" t="s">
        <v>33</v>
      </c>
      <c r="D313" t="s">
        <v>19</v>
      </c>
      <c r="E313">
        <v>54</v>
      </c>
      <c r="F313" t="s">
        <v>28</v>
      </c>
      <c r="G313">
        <f t="shared" si="4"/>
        <v>1</v>
      </c>
    </row>
    <row r="314" spans="1:7">
      <c r="A314" t="s">
        <v>581</v>
      </c>
      <c r="B314" t="s">
        <v>582</v>
      </c>
      <c r="C314" t="s">
        <v>18</v>
      </c>
      <c r="D314" t="s">
        <v>19</v>
      </c>
      <c r="E314">
        <v>58</v>
      </c>
      <c r="F314" t="s">
        <v>28</v>
      </c>
      <c r="G314">
        <f t="shared" si="4"/>
        <v>1</v>
      </c>
    </row>
    <row r="315" spans="1:7">
      <c r="A315" t="s">
        <v>583</v>
      </c>
      <c r="B315" t="s">
        <v>517</v>
      </c>
      <c r="C315" t="s">
        <v>66</v>
      </c>
      <c r="D315" t="s">
        <v>67</v>
      </c>
      <c r="E315">
        <v>48</v>
      </c>
      <c r="F315" t="s">
        <v>28</v>
      </c>
      <c r="G315">
        <f t="shared" si="4"/>
        <v>1</v>
      </c>
    </row>
    <row r="316" spans="1:7">
      <c r="A316" t="s">
        <v>584</v>
      </c>
      <c r="B316" t="s">
        <v>537</v>
      </c>
      <c r="C316" t="s">
        <v>90</v>
      </c>
      <c r="D316" t="s">
        <v>90</v>
      </c>
      <c r="E316">
        <v>21</v>
      </c>
      <c r="F316" t="s">
        <v>28</v>
      </c>
      <c r="G316">
        <f t="shared" si="4"/>
        <v>1</v>
      </c>
    </row>
    <row r="317" spans="1:7">
      <c r="A317" t="s">
        <v>585</v>
      </c>
      <c r="B317" t="s">
        <v>233</v>
      </c>
      <c r="C317" t="s">
        <v>118</v>
      </c>
      <c r="D317" t="s">
        <v>119</v>
      </c>
      <c r="E317">
        <v>47</v>
      </c>
      <c r="F317" t="s">
        <v>28</v>
      </c>
      <c r="G317">
        <f t="shared" si="4"/>
        <v>1</v>
      </c>
    </row>
    <row r="318" spans="1:7">
      <c r="A318" t="s">
        <v>586</v>
      </c>
      <c r="B318" t="s">
        <v>287</v>
      </c>
      <c r="C318" t="s">
        <v>40</v>
      </c>
      <c r="D318" t="s">
        <v>10</v>
      </c>
      <c r="E318">
        <v>36</v>
      </c>
      <c r="F318" t="s">
        <v>11</v>
      </c>
      <c r="G318">
        <f t="shared" si="4"/>
        <v>1</v>
      </c>
    </row>
    <row r="319" spans="1:7">
      <c r="A319" t="s">
        <v>587</v>
      </c>
      <c r="B319" t="s">
        <v>539</v>
      </c>
      <c r="C319" t="s">
        <v>43</v>
      </c>
      <c r="D319" t="s">
        <v>10</v>
      </c>
      <c r="E319">
        <v>50</v>
      </c>
      <c r="F319" t="s">
        <v>28</v>
      </c>
      <c r="G319">
        <f t="shared" si="4"/>
        <v>1</v>
      </c>
    </row>
    <row r="320" spans="1:7">
      <c r="A320" t="s">
        <v>588</v>
      </c>
      <c r="B320" t="s">
        <v>111</v>
      </c>
      <c r="C320" t="s">
        <v>165</v>
      </c>
      <c r="D320" t="s">
        <v>166</v>
      </c>
      <c r="E320">
        <v>20</v>
      </c>
      <c r="F320" t="s">
        <v>28</v>
      </c>
      <c r="G320">
        <f t="shared" si="4"/>
        <v>1</v>
      </c>
    </row>
    <row r="321" spans="1:7">
      <c r="A321" t="s">
        <v>589</v>
      </c>
      <c r="B321" t="s">
        <v>590</v>
      </c>
      <c r="C321" t="s">
        <v>18</v>
      </c>
      <c r="D321" t="s">
        <v>19</v>
      </c>
      <c r="E321">
        <v>56</v>
      </c>
      <c r="F321" t="s">
        <v>28</v>
      </c>
      <c r="G321">
        <f t="shared" si="4"/>
        <v>1</v>
      </c>
    </row>
    <row r="322" spans="1:7">
      <c r="A322" t="s">
        <v>591</v>
      </c>
      <c r="B322" t="s">
        <v>592</v>
      </c>
      <c r="C322" t="s">
        <v>118</v>
      </c>
      <c r="D322" t="s">
        <v>119</v>
      </c>
      <c r="E322">
        <v>46</v>
      </c>
      <c r="F322" t="s">
        <v>11</v>
      </c>
      <c r="G322">
        <f t="shared" ref="G322:G385" si="5">COUNTIF(A:A,A322)</f>
        <v>1</v>
      </c>
    </row>
    <row r="323" spans="1:7">
      <c r="A323" t="s">
        <v>593</v>
      </c>
      <c r="B323" t="s">
        <v>303</v>
      </c>
      <c r="C323" t="s">
        <v>58</v>
      </c>
      <c r="D323" t="s">
        <v>59</v>
      </c>
      <c r="E323">
        <v>59</v>
      </c>
      <c r="F323" t="s">
        <v>11</v>
      </c>
      <c r="G323">
        <f t="shared" si="5"/>
        <v>1</v>
      </c>
    </row>
    <row r="324" spans="1:7">
      <c r="A324" t="s">
        <v>594</v>
      </c>
      <c r="B324" t="s">
        <v>595</v>
      </c>
      <c r="C324" t="s">
        <v>40</v>
      </c>
      <c r="D324" t="s">
        <v>10</v>
      </c>
      <c r="E324">
        <v>46</v>
      </c>
      <c r="F324" t="s">
        <v>28</v>
      </c>
      <c r="G324">
        <f t="shared" si="5"/>
        <v>1</v>
      </c>
    </row>
    <row r="325" spans="1:7">
      <c r="A325" t="s">
        <v>596</v>
      </c>
      <c r="B325" t="s">
        <v>89</v>
      </c>
      <c r="C325" t="s">
        <v>118</v>
      </c>
      <c r="D325" t="s">
        <v>119</v>
      </c>
      <c r="E325">
        <v>28</v>
      </c>
      <c r="F325" t="s">
        <v>28</v>
      </c>
      <c r="G325">
        <f t="shared" si="5"/>
        <v>1</v>
      </c>
    </row>
    <row r="326" spans="1:7">
      <c r="A326" t="s">
        <v>597</v>
      </c>
      <c r="B326" t="s">
        <v>598</v>
      </c>
      <c r="C326" t="s">
        <v>93</v>
      </c>
      <c r="D326" t="s">
        <v>94</v>
      </c>
      <c r="E326">
        <v>44</v>
      </c>
      <c r="F326" t="s">
        <v>28</v>
      </c>
      <c r="G326">
        <f t="shared" si="5"/>
        <v>1</v>
      </c>
    </row>
    <row r="327" spans="1:7">
      <c r="A327" t="s">
        <v>599</v>
      </c>
      <c r="B327" t="s">
        <v>600</v>
      </c>
      <c r="C327" t="s">
        <v>80</v>
      </c>
      <c r="D327" t="s">
        <v>23</v>
      </c>
      <c r="E327">
        <v>58</v>
      </c>
      <c r="F327" t="s">
        <v>28</v>
      </c>
      <c r="G327">
        <f t="shared" si="5"/>
        <v>1</v>
      </c>
    </row>
    <row r="328" spans="1:7">
      <c r="A328" t="s">
        <v>601</v>
      </c>
      <c r="B328" t="s">
        <v>35</v>
      </c>
      <c r="C328" t="s">
        <v>43</v>
      </c>
      <c r="D328" t="s">
        <v>10</v>
      </c>
      <c r="E328">
        <v>53</v>
      </c>
      <c r="F328" t="s">
        <v>28</v>
      </c>
      <c r="G328">
        <f t="shared" si="5"/>
        <v>1</v>
      </c>
    </row>
    <row r="329" spans="1:7">
      <c r="A329" t="s">
        <v>602</v>
      </c>
      <c r="B329" t="s">
        <v>603</v>
      </c>
      <c r="C329" t="s">
        <v>90</v>
      </c>
      <c r="D329" t="s">
        <v>90</v>
      </c>
      <c r="E329">
        <v>60</v>
      </c>
      <c r="F329" t="s">
        <v>11</v>
      </c>
      <c r="G329">
        <f t="shared" si="5"/>
        <v>1</v>
      </c>
    </row>
    <row r="330" spans="1:7">
      <c r="A330" t="s">
        <v>604</v>
      </c>
      <c r="B330" t="s">
        <v>299</v>
      </c>
      <c r="C330" t="s">
        <v>58</v>
      </c>
      <c r="D330" t="s">
        <v>59</v>
      </c>
      <c r="E330">
        <v>60</v>
      </c>
      <c r="F330" t="s">
        <v>11</v>
      </c>
      <c r="G330">
        <f t="shared" si="5"/>
        <v>1</v>
      </c>
    </row>
    <row r="331" spans="1:7">
      <c r="A331" t="s">
        <v>605</v>
      </c>
      <c r="B331" t="s">
        <v>606</v>
      </c>
      <c r="C331" t="s">
        <v>93</v>
      </c>
      <c r="D331" t="s">
        <v>94</v>
      </c>
      <c r="E331">
        <v>60</v>
      </c>
      <c r="F331" t="s">
        <v>28</v>
      </c>
      <c r="G331">
        <f t="shared" si="5"/>
        <v>1</v>
      </c>
    </row>
    <row r="332" spans="1:7">
      <c r="A332" t="s">
        <v>607</v>
      </c>
      <c r="B332" t="s">
        <v>319</v>
      </c>
      <c r="C332" t="s">
        <v>66</v>
      </c>
      <c r="D332" t="s">
        <v>67</v>
      </c>
      <c r="E332">
        <v>23</v>
      </c>
      <c r="F332" t="s">
        <v>28</v>
      </c>
      <c r="G332">
        <f t="shared" si="5"/>
        <v>1</v>
      </c>
    </row>
    <row r="333" spans="1:7">
      <c r="A333" t="s">
        <v>608</v>
      </c>
      <c r="B333" t="s">
        <v>609</v>
      </c>
      <c r="C333" t="s">
        <v>26</v>
      </c>
      <c r="D333" t="s">
        <v>27</v>
      </c>
      <c r="E333">
        <v>39</v>
      </c>
      <c r="F333" t="s">
        <v>11</v>
      </c>
      <c r="G333">
        <f t="shared" si="5"/>
        <v>1</v>
      </c>
    </row>
    <row r="334" spans="1:7">
      <c r="A334" t="s">
        <v>610</v>
      </c>
      <c r="B334" t="s">
        <v>182</v>
      </c>
      <c r="C334" t="s">
        <v>118</v>
      </c>
      <c r="D334" t="s">
        <v>119</v>
      </c>
      <c r="E334">
        <v>60</v>
      </c>
      <c r="F334" t="s">
        <v>28</v>
      </c>
      <c r="G334">
        <f t="shared" si="5"/>
        <v>1</v>
      </c>
    </row>
    <row r="335" spans="1:7">
      <c r="A335" t="s">
        <v>611</v>
      </c>
      <c r="B335" t="s">
        <v>612</v>
      </c>
      <c r="C335" t="s">
        <v>118</v>
      </c>
      <c r="D335" t="s">
        <v>119</v>
      </c>
      <c r="E335">
        <v>41</v>
      </c>
      <c r="F335" t="s">
        <v>28</v>
      </c>
      <c r="G335">
        <f t="shared" si="5"/>
        <v>1</v>
      </c>
    </row>
    <row r="336" spans="1:7">
      <c r="A336" t="s">
        <v>613</v>
      </c>
      <c r="B336" t="s">
        <v>590</v>
      </c>
      <c r="C336" t="s">
        <v>33</v>
      </c>
      <c r="D336" t="s">
        <v>19</v>
      </c>
      <c r="E336">
        <v>49</v>
      </c>
      <c r="F336" t="s">
        <v>11</v>
      </c>
      <c r="G336">
        <f t="shared" si="5"/>
        <v>1</v>
      </c>
    </row>
    <row r="337" spans="1:7">
      <c r="A337" t="s">
        <v>614</v>
      </c>
      <c r="B337" t="s">
        <v>102</v>
      </c>
      <c r="C337" t="s">
        <v>14</v>
      </c>
      <c r="D337" t="s">
        <v>15</v>
      </c>
      <c r="E337">
        <v>22</v>
      </c>
      <c r="F337" t="s">
        <v>28</v>
      </c>
      <c r="G337">
        <f t="shared" si="5"/>
        <v>1</v>
      </c>
    </row>
    <row r="338" spans="1:7">
      <c r="A338" t="s">
        <v>615</v>
      </c>
      <c r="B338" t="s">
        <v>616</v>
      </c>
      <c r="C338" t="s">
        <v>9</v>
      </c>
      <c r="D338" t="s">
        <v>10</v>
      </c>
      <c r="E338">
        <v>52</v>
      </c>
      <c r="F338" t="s">
        <v>11</v>
      </c>
      <c r="G338">
        <f t="shared" si="5"/>
        <v>1</v>
      </c>
    </row>
    <row r="339" spans="1:7">
      <c r="A339" t="s">
        <v>617</v>
      </c>
      <c r="B339" t="s">
        <v>618</v>
      </c>
      <c r="C339" t="s">
        <v>58</v>
      </c>
      <c r="D339" t="s">
        <v>59</v>
      </c>
      <c r="E339">
        <v>56</v>
      </c>
      <c r="F339" t="s">
        <v>28</v>
      </c>
      <c r="G339">
        <f t="shared" si="5"/>
        <v>1</v>
      </c>
    </row>
    <row r="340" spans="1:7">
      <c r="A340" t="s">
        <v>619</v>
      </c>
      <c r="B340" t="s">
        <v>620</v>
      </c>
      <c r="C340" t="s">
        <v>66</v>
      </c>
      <c r="D340" t="s">
        <v>67</v>
      </c>
      <c r="E340">
        <v>57</v>
      </c>
      <c r="F340" t="s">
        <v>11</v>
      </c>
      <c r="G340">
        <f t="shared" si="5"/>
        <v>1</v>
      </c>
    </row>
    <row r="341" spans="1:7">
      <c r="A341" t="s">
        <v>621</v>
      </c>
      <c r="B341" t="s">
        <v>566</v>
      </c>
      <c r="C341" t="s">
        <v>165</v>
      </c>
      <c r="D341" t="s">
        <v>166</v>
      </c>
      <c r="E341">
        <v>41</v>
      </c>
      <c r="F341" t="s">
        <v>11</v>
      </c>
      <c r="G341">
        <f t="shared" si="5"/>
        <v>1</v>
      </c>
    </row>
    <row r="342" spans="1:7">
      <c r="A342" t="s">
        <v>622</v>
      </c>
      <c r="B342" t="s">
        <v>623</v>
      </c>
      <c r="C342" t="s">
        <v>165</v>
      </c>
      <c r="D342" t="s">
        <v>166</v>
      </c>
      <c r="E342">
        <v>46</v>
      </c>
      <c r="F342" t="s">
        <v>11</v>
      </c>
      <c r="G342">
        <f t="shared" si="5"/>
        <v>1</v>
      </c>
    </row>
    <row r="343" spans="1:7">
      <c r="A343" t="s">
        <v>624</v>
      </c>
      <c r="B343" t="s">
        <v>625</v>
      </c>
      <c r="C343" t="s">
        <v>26</v>
      </c>
      <c r="D343" t="s">
        <v>27</v>
      </c>
      <c r="E343">
        <v>48</v>
      </c>
      <c r="F343" t="s">
        <v>11</v>
      </c>
      <c r="G343">
        <f t="shared" si="5"/>
        <v>1</v>
      </c>
    </row>
    <row r="344" spans="1:7">
      <c r="A344" t="s">
        <v>626</v>
      </c>
      <c r="B344" t="s">
        <v>627</v>
      </c>
      <c r="C344" t="s">
        <v>93</v>
      </c>
      <c r="D344" t="s">
        <v>94</v>
      </c>
      <c r="E344">
        <v>47</v>
      </c>
      <c r="F344" t="s">
        <v>28</v>
      </c>
      <c r="G344">
        <f t="shared" si="5"/>
        <v>1</v>
      </c>
    </row>
    <row r="345" spans="1:7">
      <c r="A345" t="s">
        <v>628</v>
      </c>
      <c r="B345" t="s">
        <v>629</v>
      </c>
      <c r="C345" t="s">
        <v>49</v>
      </c>
      <c r="D345" t="s">
        <v>50</v>
      </c>
      <c r="E345">
        <v>44</v>
      </c>
      <c r="F345" t="s">
        <v>11</v>
      </c>
      <c r="G345">
        <f t="shared" si="5"/>
        <v>1</v>
      </c>
    </row>
    <row r="346" spans="1:7">
      <c r="A346" t="s">
        <v>630</v>
      </c>
      <c r="B346" t="s">
        <v>618</v>
      </c>
      <c r="C346" t="s">
        <v>22</v>
      </c>
      <c r="D346" t="s">
        <v>23</v>
      </c>
      <c r="E346">
        <v>34</v>
      </c>
      <c r="F346" t="s">
        <v>11</v>
      </c>
      <c r="G346">
        <f t="shared" si="5"/>
        <v>1</v>
      </c>
    </row>
    <row r="347" spans="1:7">
      <c r="A347" t="s">
        <v>631</v>
      </c>
      <c r="B347" t="s">
        <v>632</v>
      </c>
      <c r="C347" t="s">
        <v>240</v>
      </c>
      <c r="D347" t="s">
        <v>241</v>
      </c>
      <c r="E347">
        <v>24</v>
      </c>
      <c r="F347" t="s">
        <v>11</v>
      </c>
      <c r="G347">
        <f t="shared" si="5"/>
        <v>1</v>
      </c>
    </row>
    <row r="348" spans="1:7">
      <c r="A348" t="s">
        <v>633</v>
      </c>
      <c r="B348" t="s">
        <v>634</v>
      </c>
      <c r="C348" t="s">
        <v>90</v>
      </c>
      <c r="D348" t="s">
        <v>90</v>
      </c>
      <c r="E348">
        <v>28</v>
      </c>
      <c r="F348" t="s">
        <v>28</v>
      </c>
      <c r="G348">
        <f t="shared" si="5"/>
        <v>1</v>
      </c>
    </row>
    <row r="349" spans="1:7">
      <c r="A349" t="s">
        <v>635</v>
      </c>
      <c r="B349" t="s">
        <v>636</v>
      </c>
      <c r="C349" t="s">
        <v>165</v>
      </c>
      <c r="D349" t="s">
        <v>166</v>
      </c>
      <c r="E349">
        <v>45</v>
      </c>
      <c r="F349" t="s">
        <v>11</v>
      </c>
      <c r="G349">
        <f t="shared" si="5"/>
        <v>1</v>
      </c>
    </row>
    <row r="350" spans="1:7">
      <c r="A350" t="s">
        <v>637</v>
      </c>
      <c r="B350" t="s">
        <v>449</v>
      </c>
      <c r="C350" t="s">
        <v>14</v>
      </c>
      <c r="D350" t="s">
        <v>15</v>
      </c>
      <c r="E350">
        <v>19</v>
      </c>
      <c r="F350" t="s">
        <v>28</v>
      </c>
      <c r="G350">
        <f t="shared" si="5"/>
        <v>1</v>
      </c>
    </row>
    <row r="351" spans="1:7">
      <c r="A351" t="s">
        <v>638</v>
      </c>
      <c r="B351" t="s">
        <v>396</v>
      </c>
      <c r="C351" t="s">
        <v>40</v>
      </c>
      <c r="D351" t="s">
        <v>10</v>
      </c>
      <c r="E351">
        <v>41</v>
      </c>
      <c r="F351" t="s">
        <v>11</v>
      </c>
      <c r="G351">
        <f t="shared" si="5"/>
        <v>1</v>
      </c>
    </row>
    <row r="352" spans="1:7">
      <c r="A352" t="s">
        <v>639</v>
      </c>
      <c r="B352" t="s">
        <v>640</v>
      </c>
      <c r="C352" t="s">
        <v>49</v>
      </c>
      <c r="D352" t="s">
        <v>50</v>
      </c>
      <c r="E352">
        <v>32</v>
      </c>
      <c r="F352" t="s">
        <v>11</v>
      </c>
      <c r="G352">
        <f t="shared" si="5"/>
        <v>1</v>
      </c>
    </row>
    <row r="353" spans="1:7">
      <c r="A353" t="s">
        <v>641</v>
      </c>
      <c r="B353" t="s">
        <v>642</v>
      </c>
      <c r="C353" t="s">
        <v>58</v>
      </c>
      <c r="D353" t="s">
        <v>59</v>
      </c>
      <c r="E353">
        <v>59</v>
      </c>
      <c r="F353" t="s">
        <v>28</v>
      </c>
      <c r="G353">
        <f t="shared" si="5"/>
        <v>1</v>
      </c>
    </row>
    <row r="354" spans="1:7">
      <c r="A354" t="s">
        <v>643</v>
      </c>
      <c r="B354" t="s">
        <v>592</v>
      </c>
      <c r="C354" t="s">
        <v>66</v>
      </c>
      <c r="D354" t="s">
        <v>67</v>
      </c>
      <c r="E354">
        <v>36</v>
      </c>
      <c r="F354" t="s">
        <v>28</v>
      </c>
      <c r="G354">
        <f t="shared" si="5"/>
        <v>1</v>
      </c>
    </row>
    <row r="355" spans="1:7">
      <c r="A355" t="s">
        <v>644</v>
      </c>
      <c r="B355" t="s">
        <v>344</v>
      </c>
      <c r="C355" t="s">
        <v>66</v>
      </c>
      <c r="D355" t="s">
        <v>67</v>
      </c>
      <c r="E355">
        <v>57</v>
      </c>
      <c r="F355" t="s">
        <v>11</v>
      </c>
      <c r="G355">
        <f t="shared" si="5"/>
        <v>1</v>
      </c>
    </row>
    <row r="356" spans="1:7">
      <c r="A356" t="s">
        <v>645</v>
      </c>
      <c r="B356" t="s">
        <v>646</v>
      </c>
      <c r="C356" t="s">
        <v>43</v>
      </c>
      <c r="D356" t="s">
        <v>10</v>
      </c>
      <c r="E356">
        <v>31</v>
      </c>
      <c r="F356" t="s">
        <v>11</v>
      </c>
      <c r="G356">
        <f t="shared" si="5"/>
        <v>1</v>
      </c>
    </row>
    <row r="357" spans="1:7">
      <c r="A357" t="s">
        <v>647</v>
      </c>
      <c r="B357" t="s">
        <v>648</v>
      </c>
      <c r="C357" t="s">
        <v>26</v>
      </c>
      <c r="D357" t="s">
        <v>27</v>
      </c>
      <c r="E357">
        <v>45</v>
      </c>
      <c r="F357" t="s">
        <v>11</v>
      </c>
      <c r="G357">
        <f t="shared" si="5"/>
        <v>1</v>
      </c>
    </row>
    <row r="358" spans="1:7">
      <c r="A358" t="s">
        <v>649</v>
      </c>
      <c r="B358" t="s">
        <v>625</v>
      </c>
      <c r="C358" t="s">
        <v>90</v>
      </c>
      <c r="D358" t="s">
        <v>90</v>
      </c>
      <c r="E358">
        <v>25</v>
      </c>
      <c r="F358" t="s">
        <v>11</v>
      </c>
      <c r="G358">
        <f t="shared" si="5"/>
        <v>1</v>
      </c>
    </row>
    <row r="359" spans="1:7">
      <c r="A359" t="s">
        <v>650</v>
      </c>
      <c r="B359" t="s">
        <v>651</v>
      </c>
      <c r="C359" t="s">
        <v>14</v>
      </c>
      <c r="D359" t="s">
        <v>15</v>
      </c>
      <c r="E359">
        <v>57</v>
      </c>
      <c r="F359" t="s">
        <v>28</v>
      </c>
      <c r="G359">
        <f t="shared" si="5"/>
        <v>1</v>
      </c>
    </row>
    <row r="360" spans="1:7">
      <c r="A360" t="s">
        <v>652</v>
      </c>
      <c r="B360" t="s">
        <v>488</v>
      </c>
      <c r="C360" t="s">
        <v>43</v>
      </c>
      <c r="D360" t="s">
        <v>10</v>
      </c>
      <c r="E360">
        <v>56</v>
      </c>
      <c r="F360" t="s">
        <v>11</v>
      </c>
      <c r="G360">
        <f t="shared" si="5"/>
        <v>1</v>
      </c>
    </row>
    <row r="361" spans="1:7">
      <c r="A361" t="s">
        <v>653</v>
      </c>
      <c r="B361" t="s">
        <v>654</v>
      </c>
      <c r="C361" t="s">
        <v>118</v>
      </c>
      <c r="D361" t="s">
        <v>119</v>
      </c>
      <c r="E361">
        <v>27</v>
      </c>
      <c r="F361" t="s">
        <v>28</v>
      </c>
      <c r="G361">
        <f t="shared" si="5"/>
        <v>1</v>
      </c>
    </row>
    <row r="362" spans="1:7">
      <c r="A362" t="s">
        <v>655</v>
      </c>
      <c r="B362" t="s">
        <v>656</v>
      </c>
      <c r="C362" t="s">
        <v>76</v>
      </c>
      <c r="D362" t="s">
        <v>77</v>
      </c>
      <c r="E362">
        <v>40</v>
      </c>
      <c r="F362" t="s">
        <v>11</v>
      </c>
      <c r="G362">
        <f t="shared" si="5"/>
        <v>1</v>
      </c>
    </row>
    <row r="363" spans="1:7">
      <c r="A363" t="s">
        <v>657</v>
      </c>
      <c r="B363" t="s">
        <v>133</v>
      </c>
      <c r="C363" t="s">
        <v>18</v>
      </c>
      <c r="D363" t="s">
        <v>19</v>
      </c>
      <c r="E363">
        <v>60</v>
      </c>
      <c r="F363" t="s">
        <v>11</v>
      </c>
      <c r="G363">
        <f t="shared" si="5"/>
        <v>1</v>
      </c>
    </row>
    <row r="364" spans="1:7">
      <c r="A364" t="s">
        <v>658</v>
      </c>
      <c r="B364" t="s">
        <v>473</v>
      </c>
      <c r="C364" t="s">
        <v>118</v>
      </c>
      <c r="D364" t="s">
        <v>119</v>
      </c>
      <c r="E364">
        <v>51</v>
      </c>
      <c r="F364" t="s">
        <v>11</v>
      </c>
      <c r="G364">
        <f t="shared" si="5"/>
        <v>1</v>
      </c>
    </row>
    <row r="365" spans="1:7">
      <c r="A365" t="s">
        <v>659</v>
      </c>
      <c r="B365" t="s">
        <v>660</v>
      </c>
      <c r="C365" t="s">
        <v>49</v>
      </c>
      <c r="D365" t="s">
        <v>50</v>
      </c>
      <c r="E365">
        <v>58</v>
      </c>
      <c r="F365" t="s">
        <v>28</v>
      </c>
      <c r="G365">
        <f t="shared" si="5"/>
        <v>1</v>
      </c>
    </row>
    <row r="366" spans="1:7">
      <c r="A366" t="s">
        <v>661</v>
      </c>
      <c r="B366" t="s">
        <v>603</v>
      </c>
      <c r="C366" t="s">
        <v>93</v>
      </c>
      <c r="D366" t="s">
        <v>94</v>
      </c>
      <c r="E366">
        <v>19</v>
      </c>
      <c r="F366" t="s">
        <v>28</v>
      </c>
      <c r="G366">
        <f t="shared" si="5"/>
        <v>1</v>
      </c>
    </row>
    <row r="367" spans="1:7">
      <c r="A367" t="s">
        <v>662</v>
      </c>
      <c r="B367" t="s">
        <v>663</v>
      </c>
      <c r="C367" t="s">
        <v>43</v>
      </c>
      <c r="D367" t="s">
        <v>10</v>
      </c>
      <c r="E367">
        <v>60</v>
      </c>
      <c r="F367" t="s">
        <v>11</v>
      </c>
      <c r="G367">
        <f t="shared" si="5"/>
        <v>1</v>
      </c>
    </row>
    <row r="368" spans="1:7">
      <c r="A368" t="s">
        <v>664</v>
      </c>
      <c r="B368" t="s">
        <v>665</v>
      </c>
      <c r="C368" t="s">
        <v>18</v>
      </c>
      <c r="D368" t="s">
        <v>19</v>
      </c>
      <c r="E368">
        <v>20</v>
      </c>
      <c r="F368" t="s">
        <v>28</v>
      </c>
      <c r="G368">
        <f t="shared" si="5"/>
        <v>1</v>
      </c>
    </row>
    <row r="369" spans="1:7">
      <c r="A369" t="s">
        <v>666</v>
      </c>
      <c r="B369" t="s">
        <v>667</v>
      </c>
      <c r="C369" t="s">
        <v>26</v>
      </c>
      <c r="D369" t="s">
        <v>27</v>
      </c>
      <c r="E369">
        <v>29</v>
      </c>
      <c r="F369" t="s">
        <v>28</v>
      </c>
      <c r="G369">
        <f t="shared" si="5"/>
        <v>1</v>
      </c>
    </row>
    <row r="370" spans="1:7">
      <c r="A370" t="s">
        <v>668</v>
      </c>
      <c r="B370" t="s">
        <v>194</v>
      </c>
      <c r="C370" t="s">
        <v>240</v>
      </c>
      <c r="D370" t="s">
        <v>241</v>
      </c>
      <c r="E370">
        <v>26</v>
      </c>
      <c r="F370" t="s">
        <v>11</v>
      </c>
      <c r="G370">
        <f t="shared" si="5"/>
        <v>1</v>
      </c>
    </row>
    <row r="371" spans="1:7">
      <c r="A371" t="s">
        <v>669</v>
      </c>
      <c r="B371" t="s">
        <v>189</v>
      </c>
      <c r="C371" t="s">
        <v>165</v>
      </c>
      <c r="D371" t="s">
        <v>166</v>
      </c>
      <c r="E371">
        <v>30</v>
      </c>
      <c r="F371" t="s">
        <v>11</v>
      </c>
      <c r="G371">
        <f t="shared" si="5"/>
        <v>1</v>
      </c>
    </row>
    <row r="372" spans="1:7">
      <c r="A372" t="s">
        <v>670</v>
      </c>
      <c r="B372" t="s">
        <v>423</v>
      </c>
      <c r="C372" t="s">
        <v>22</v>
      </c>
      <c r="D372" t="s">
        <v>23</v>
      </c>
      <c r="E372">
        <v>37</v>
      </c>
      <c r="F372" t="s">
        <v>28</v>
      </c>
      <c r="G372">
        <f t="shared" si="5"/>
        <v>1</v>
      </c>
    </row>
    <row r="373" spans="1:7">
      <c r="A373" t="s">
        <v>671</v>
      </c>
      <c r="B373" t="s">
        <v>672</v>
      </c>
      <c r="C373" t="s">
        <v>26</v>
      </c>
      <c r="D373" t="s">
        <v>27</v>
      </c>
      <c r="E373">
        <v>20</v>
      </c>
      <c r="F373" t="s">
        <v>11</v>
      </c>
      <c r="G373">
        <f t="shared" si="5"/>
        <v>1</v>
      </c>
    </row>
    <row r="374" spans="1:7">
      <c r="A374" t="s">
        <v>673</v>
      </c>
      <c r="B374" t="s">
        <v>674</v>
      </c>
      <c r="C374" t="s">
        <v>90</v>
      </c>
      <c r="D374" t="s">
        <v>90</v>
      </c>
      <c r="E374">
        <v>21</v>
      </c>
      <c r="F374" t="s">
        <v>28</v>
      </c>
      <c r="G374">
        <f t="shared" si="5"/>
        <v>1</v>
      </c>
    </row>
    <row r="375" spans="1:7">
      <c r="A375" t="s">
        <v>675</v>
      </c>
      <c r="B375" t="s">
        <v>676</v>
      </c>
      <c r="C375" t="s">
        <v>160</v>
      </c>
      <c r="D375" t="s">
        <v>15</v>
      </c>
      <c r="E375">
        <v>41</v>
      </c>
      <c r="F375" t="s">
        <v>28</v>
      </c>
      <c r="G375">
        <f t="shared" si="5"/>
        <v>1</v>
      </c>
    </row>
    <row r="376" spans="1:7">
      <c r="A376" t="s">
        <v>677</v>
      </c>
      <c r="B376" t="s">
        <v>55</v>
      </c>
      <c r="C376" t="s">
        <v>49</v>
      </c>
      <c r="D376" t="s">
        <v>50</v>
      </c>
      <c r="E376">
        <v>39</v>
      </c>
      <c r="F376" t="s">
        <v>11</v>
      </c>
      <c r="G376">
        <f t="shared" si="5"/>
        <v>1</v>
      </c>
    </row>
    <row r="377" spans="1:7">
      <c r="A377" t="s">
        <v>678</v>
      </c>
      <c r="B377" t="s">
        <v>389</v>
      </c>
      <c r="C377" t="s">
        <v>240</v>
      </c>
      <c r="D377" t="s">
        <v>241</v>
      </c>
      <c r="E377">
        <v>51</v>
      </c>
      <c r="F377" t="s">
        <v>28</v>
      </c>
      <c r="G377">
        <f t="shared" si="5"/>
        <v>1</v>
      </c>
    </row>
    <row r="378" spans="1:7">
      <c r="A378" t="s">
        <v>679</v>
      </c>
      <c r="B378" t="s">
        <v>219</v>
      </c>
      <c r="C378" t="s">
        <v>43</v>
      </c>
      <c r="D378" t="s">
        <v>10</v>
      </c>
      <c r="E378">
        <v>45</v>
      </c>
      <c r="F378" t="s">
        <v>11</v>
      </c>
      <c r="G378">
        <f t="shared" si="5"/>
        <v>1</v>
      </c>
    </row>
    <row r="379" spans="1:7">
      <c r="A379" t="s">
        <v>680</v>
      </c>
      <c r="B379" t="s">
        <v>681</v>
      </c>
      <c r="C379" t="s">
        <v>26</v>
      </c>
      <c r="D379" t="s">
        <v>27</v>
      </c>
      <c r="E379">
        <v>24</v>
      </c>
      <c r="F379" t="s">
        <v>11</v>
      </c>
      <c r="G379">
        <f t="shared" si="5"/>
        <v>1</v>
      </c>
    </row>
    <row r="380" spans="1:7">
      <c r="A380" t="s">
        <v>682</v>
      </c>
      <c r="B380" t="s">
        <v>683</v>
      </c>
      <c r="C380" t="s">
        <v>58</v>
      </c>
      <c r="D380" t="s">
        <v>59</v>
      </c>
      <c r="E380">
        <v>46</v>
      </c>
      <c r="F380" t="s">
        <v>28</v>
      </c>
      <c r="G380">
        <f t="shared" si="5"/>
        <v>1</v>
      </c>
    </row>
    <row r="381" spans="1:7">
      <c r="A381" t="s">
        <v>684</v>
      </c>
      <c r="B381" t="s">
        <v>449</v>
      </c>
      <c r="C381" t="s">
        <v>33</v>
      </c>
      <c r="D381" t="s">
        <v>19</v>
      </c>
      <c r="E381">
        <v>46</v>
      </c>
      <c r="F381" t="s">
        <v>11</v>
      </c>
      <c r="G381">
        <f t="shared" si="5"/>
        <v>1</v>
      </c>
    </row>
    <row r="382" spans="1:7">
      <c r="A382" t="s">
        <v>685</v>
      </c>
      <c r="B382" t="s">
        <v>686</v>
      </c>
      <c r="C382" t="s">
        <v>93</v>
      </c>
      <c r="D382" t="s">
        <v>94</v>
      </c>
      <c r="E382">
        <v>35</v>
      </c>
      <c r="F382" t="s">
        <v>11</v>
      </c>
      <c r="G382">
        <f t="shared" si="5"/>
        <v>1</v>
      </c>
    </row>
    <row r="383" spans="1:7">
      <c r="A383" t="s">
        <v>687</v>
      </c>
      <c r="B383" t="s">
        <v>688</v>
      </c>
      <c r="C383" t="s">
        <v>43</v>
      </c>
      <c r="D383" t="s">
        <v>10</v>
      </c>
      <c r="E383">
        <v>50</v>
      </c>
      <c r="F383" t="s">
        <v>11</v>
      </c>
      <c r="G383">
        <f t="shared" si="5"/>
        <v>1</v>
      </c>
    </row>
    <row r="384" spans="1:7">
      <c r="A384" t="s">
        <v>689</v>
      </c>
      <c r="B384" t="s">
        <v>690</v>
      </c>
      <c r="C384" t="s">
        <v>87</v>
      </c>
      <c r="D384" t="s">
        <v>67</v>
      </c>
      <c r="E384">
        <v>46</v>
      </c>
      <c r="F384" t="s">
        <v>11</v>
      </c>
      <c r="G384">
        <f t="shared" si="5"/>
        <v>1</v>
      </c>
    </row>
    <row r="385" spans="1:7">
      <c r="A385" t="s">
        <v>691</v>
      </c>
      <c r="B385" t="s">
        <v>172</v>
      </c>
      <c r="C385" t="s">
        <v>66</v>
      </c>
      <c r="D385" t="s">
        <v>67</v>
      </c>
      <c r="E385">
        <v>59</v>
      </c>
      <c r="F385" t="s">
        <v>28</v>
      </c>
      <c r="G385">
        <f t="shared" si="5"/>
        <v>1</v>
      </c>
    </row>
    <row r="386" spans="1:7">
      <c r="A386" t="s">
        <v>692</v>
      </c>
      <c r="B386" t="s">
        <v>693</v>
      </c>
      <c r="C386" t="s">
        <v>93</v>
      </c>
      <c r="D386" t="s">
        <v>94</v>
      </c>
      <c r="E386">
        <v>20</v>
      </c>
      <c r="F386" t="s">
        <v>11</v>
      </c>
      <c r="G386">
        <f t="shared" ref="G386:G449" si="6">COUNTIF(A:A,A386)</f>
        <v>1</v>
      </c>
    </row>
    <row r="387" spans="1:7">
      <c r="A387" t="s">
        <v>694</v>
      </c>
      <c r="B387" t="s">
        <v>37</v>
      </c>
      <c r="C387" t="s">
        <v>165</v>
      </c>
      <c r="D387" t="s">
        <v>166</v>
      </c>
      <c r="E387">
        <v>46</v>
      </c>
      <c r="F387" t="s">
        <v>11</v>
      </c>
      <c r="G387">
        <f t="shared" si="6"/>
        <v>1</v>
      </c>
    </row>
    <row r="388" spans="1:7">
      <c r="A388" t="s">
        <v>695</v>
      </c>
      <c r="B388" t="s">
        <v>71</v>
      </c>
      <c r="C388" t="s">
        <v>18</v>
      </c>
      <c r="D388" t="s">
        <v>19</v>
      </c>
      <c r="E388">
        <v>41</v>
      </c>
      <c r="F388" t="s">
        <v>28</v>
      </c>
      <c r="G388">
        <f t="shared" si="6"/>
        <v>1</v>
      </c>
    </row>
    <row r="389" spans="1:7">
      <c r="A389" t="s">
        <v>696</v>
      </c>
      <c r="B389" t="s">
        <v>697</v>
      </c>
      <c r="C389" t="s">
        <v>58</v>
      </c>
      <c r="D389" t="s">
        <v>59</v>
      </c>
      <c r="E389">
        <v>25</v>
      </c>
      <c r="F389" t="s">
        <v>11</v>
      </c>
      <c r="G389">
        <f t="shared" si="6"/>
        <v>1</v>
      </c>
    </row>
    <row r="390" spans="1:7">
      <c r="A390" t="s">
        <v>698</v>
      </c>
      <c r="B390" t="s">
        <v>385</v>
      </c>
      <c r="C390" t="s">
        <v>33</v>
      </c>
      <c r="D390" t="s">
        <v>19</v>
      </c>
      <c r="E390">
        <v>42</v>
      </c>
      <c r="F390" t="s">
        <v>11</v>
      </c>
      <c r="G390">
        <f t="shared" si="6"/>
        <v>1</v>
      </c>
    </row>
    <row r="391" spans="1:7">
      <c r="A391" t="s">
        <v>699</v>
      </c>
      <c r="B391" t="s">
        <v>700</v>
      </c>
      <c r="C391" t="s">
        <v>160</v>
      </c>
      <c r="D391" t="s">
        <v>15</v>
      </c>
      <c r="E391">
        <v>46</v>
      </c>
      <c r="F391" t="s">
        <v>11</v>
      </c>
      <c r="G391">
        <f t="shared" si="6"/>
        <v>1</v>
      </c>
    </row>
    <row r="392" spans="1:7">
      <c r="A392" t="s">
        <v>701</v>
      </c>
      <c r="B392" t="s">
        <v>367</v>
      </c>
      <c r="C392" t="s">
        <v>80</v>
      </c>
      <c r="D392" t="s">
        <v>23</v>
      </c>
      <c r="E392">
        <v>49</v>
      </c>
      <c r="F392" t="s">
        <v>11</v>
      </c>
      <c r="G392">
        <f t="shared" si="6"/>
        <v>1</v>
      </c>
    </row>
    <row r="393" spans="1:7">
      <c r="A393" t="s">
        <v>702</v>
      </c>
      <c r="B393" t="s">
        <v>372</v>
      </c>
      <c r="C393" t="s">
        <v>9</v>
      </c>
      <c r="D393" t="s">
        <v>10</v>
      </c>
      <c r="E393">
        <v>46</v>
      </c>
      <c r="F393" t="s">
        <v>11</v>
      </c>
      <c r="G393">
        <f t="shared" si="6"/>
        <v>1</v>
      </c>
    </row>
    <row r="394" spans="1:7">
      <c r="A394" t="s">
        <v>703</v>
      </c>
      <c r="B394" t="s">
        <v>704</v>
      </c>
      <c r="C394" t="s">
        <v>165</v>
      </c>
      <c r="D394" t="s">
        <v>166</v>
      </c>
      <c r="E394">
        <v>38</v>
      </c>
      <c r="F394" t="s">
        <v>28</v>
      </c>
      <c r="G394">
        <f t="shared" si="6"/>
        <v>1</v>
      </c>
    </row>
    <row r="395" spans="1:7">
      <c r="A395" t="s">
        <v>705</v>
      </c>
      <c r="B395" t="s">
        <v>706</v>
      </c>
      <c r="C395" t="s">
        <v>43</v>
      </c>
      <c r="D395" t="s">
        <v>10</v>
      </c>
      <c r="E395">
        <v>36</v>
      </c>
      <c r="F395" t="s">
        <v>28</v>
      </c>
      <c r="G395">
        <f t="shared" si="6"/>
        <v>1</v>
      </c>
    </row>
    <row r="396" spans="1:7">
      <c r="A396" t="s">
        <v>707</v>
      </c>
      <c r="B396" t="s">
        <v>194</v>
      </c>
      <c r="C396" t="s">
        <v>33</v>
      </c>
      <c r="D396" t="s">
        <v>19</v>
      </c>
      <c r="E396">
        <v>41</v>
      </c>
      <c r="F396" t="s">
        <v>11</v>
      </c>
      <c r="G396">
        <f t="shared" si="6"/>
        <v>1</v>
      </c>
    </row>
    <row r="397" spans="1:7">
      <c r="A397" t="s">
        <v>708</v>
      </c>
      <c r="B397" t="s">
        <v>709</v>
      </c>
      <c r="C397" t="s">
        <v>9</v>
      </c>
      <c r="D397" t="s">
        <v>10</v>
      </c>
      <c r="E397">
        <v>26</v>
      </c>
      <c r="F397" t="s">
        <v>11</v>
      </c>
      <c r="G397">
        <f t="shared" si="6"/>
        <v>1</v>
      </c>
    </row>
    <row r="398" spans="1:7">
      <c r="A398" t="s">
        <v>710</v>
      </c>
      <c r="B398" t="s">
        <v>711</v>
      </c>
      <c r="C398" t="s">
        <v>240</v>
      </c>
      <c r="D398" t="s">
        <v>241</v>
      </c>
      <c r="E398">
        <v>53</v>
      </c>
      <c r="F398" t="s">
        <v>28</v>
      </c>
      <c r="G398">
        <f t="shared" si="6"/>
        <v>1</v>
      </c>
    </row>
    <row r="399" spans="1:7">
      <c r="A399" t="s">
        <v>712</v>
      </c>
      <c r="B399" t="s">
        <v>121</v>
      </c>
      <c r="C399" t="s">
        <v>165</v>
      </c>
      <c r="D399" t="s">
        <v>166</v>
      </c>
      <c r="E399">
        <v>57</v>
      </c>
      <c r="F399" t="s">
        <v>11</v>
      </c>
      <c r="G399">
        <f t="shared" si="6"/>
        <v>1</v>
      </c>
    </row>
    <row r="400" spans="1:7">
      <c r="A400" t="s">
        <v>713</v>
      </c>
      <c r="B400" t="s">
        <v>598</v>
      </c>
      <c r="C400" t="s">
        <v>43</v>
      </c>
      <c r="D400" t="s">
        <v>10</v>
      </c>
      <c r="E400">
        <v>48</v>
      </c>
      <c r="F400" t="s">
        <v>28</v>
      </c>
      <c r="G400">
        <f t="shared" si="6"/>
        <v>1</v>
      </c>
    </row>
    <row r="401" spans="1:7">
      <c r="A401" t="s">
        <v>714</v>
      </c>
      <c r="B401" t="s">
        <v>715</v>
      </c>
      <c r="C401" t="s">
        <v>76</v>
      </c>
      <c r="D401" t="s">
        <v>77</v>
      </c>
      <c r="E401">
        <v>26</v>
      </c>
      <c r="F401" t="s">
        <v>28</v>
      </c>
      <c r="G401">
        <f t="shared" si="6"/>
        <v>1</v>
      </c>
    </row>
    <row r="402" spans="1:7">
      <c r="A402" t="s">
        <v>716</v>
      </c>
      <c r="B402" t="s">
        <v>231</v>
      </c>
      <c r="C402" t="s">
        <v>43</v>
      </c>
      <c r="D402" t="s">
        <v>10</v>
      </c>
      <c r="E402">
        <v>51</v>
      </c>
      <c r="F402" t="s">
        <v>28</v>
      </c>
      <c r="G402">
        <f t="shared" si="6"/>
        <v>1</v>
      </c>
    </row>
    <row r="403" spans="1:7">
      <c r="A403" t="s">
        <v>717</v>
      </c>
      <c r="B403" t="s">
        <v>493</v>
      </c>
      <c r="C403" t="s">
        <v>66</v>
      </c>
      <c r="D403" t="s">
        <v>67</v>
      </c>
      <c r="E403">
        <v>55</v>
      </c>
      <c r="F403" t="s">
        <v>11</v>
      </c>
      <c r="G403">
        <f t="shared" si="6"/>
        <v>1</v>
      </c>
    </row>
    <row r="404" spans="1:7">
      <c r="A404" t="s">
        <v>718</v>
      </c>
      <c r="B404" t="s">
        <v>719</v>
      </c>
      <c r="C404" t="s">
        <v>66</v>
      </c>
      <c r="D404" t="s">
        <v>67</v>
      </c>
      <c r="E404">
        <v>21</v>
      </c>
      <c r="F404" t="s">
        <v>11</v>
      </c>
      <c r="G404">
        <f t="shared" si="6"/>
        <v>1</v>
      </c>
    </row>
    <row r="405" spans="1:7">
      <c r="A405" t="s">
        <v>720</v>
      </c>
      <c r="B405" t="s">
        <v>721</v>
      </c>
      <c r="C405" t="s">
        <v>118</v>
      </c>
      <c r="D405" t="s">
        <v>119</v>
      </c>
      <c r="E405">
        <v>28</v>
      </c>
      <c r="F405" t="s">
        <v>11</v>
      </c>
      <c r="G405">
        <f t="shared" si="6"/>
        <v>1</v>
      </c>
    </row>
    <row r="406" spans="1:7">
      <c r="A406" t="s">
        <v>722</v>
      </c>
      <c r="B406" t="s">
        <v>723</v>
      </c>
      <c r="C406" t="s">
        <v>58</v>
      </c>
      <c r="D406" t="s">
        <v>59</v>
      </c>
      <c r="E406">
        <v>51</v>
      </c>
      <c r="F406" t="s">
        <v>28</v>
      </c>
      <c r="G406">
        <f t="shared" si="6"/>
        <v>1</v>
      </c>
    </row>
    <row r="407" spans="1:7">
      <c r="A407" t="s">
        <v>724</v>
      </c>
      <c r="B407" t="s">
        <v>495</v>
      </c>
      <c r="C407" t="s">
        <v>43</v>
      </c>
      <c r="D407" t="s">
        <v>10</v>
      </c>
      <c r="E407">
        <v>58</v>
      </c>
      <c r="F407" t="s">
        <v>28</v>
      </c>
      <c r="G407">
        <f t="shared" si="6"/>
        <v>1</v>
      </c>
    </row>
    <row r="408" spans="1:7">
      <c r="A408" t="s">
        <v>725</v>
      </c>
      <c r="B408" t="s">
        <v>179</v>
      </c>
      <c r="C408" t="s">
        <v>66</v>
      </c>
      <c r="D408" t="s">
        <v>67</v>
      </c>
      <c r="E408">
        <v>52</v>
      </c>
      <c r="F408" t="s">
        <v>11</v>
      </c>
      <c r="G408">
        <f t="shared" si="6"/>
        <v>1</v>
      </c>
    </row>
    <row r="409" spans="1:7">
      <c r="A409" t="s">
        <v>726</v>
      </c>
      <c r="B409" t="s">
        <v>387</v>
      </c>
      <c r="C409" t="s">
        <v>118</v>
      </c>
      <c r="D409" t="s">
        <v>119</v>
      </c>
      <c r="E409">
        <v>55</v>
      </c>
      <c r="F409" t="s">
        <v>11</v>
      </c>
      <c r="G409">
        <f t="shared" si="6"/>
        <v>1</v>
      </c>
    </row>
    <row r="410" spans="1:7">
      <c r="A410" t="s">
        <v>727</v>
      </c>
      <c r="B410" t="s">
        <v>253</v>
      </c>
      <c r="C410" t="s">
        <v>33</v>
      </c>
      <c r="D410" t="s">
        <v>19</v>
      </c>
      <c r="E410">
        <v>56</v>
      </c>
      <c r="F410" t="s">
        <v>28</v>
      </c>
      <c r="G410">
        <f t="shared" si="6"/>
        <v>1</v>
      </c>
    </row>
    <row r="411" spans="1:7">
      <c r="A411" t="s">
        <v>728</v>
      </c>
      <c r="B411" t="s">
        <v>558</v>
      </c>
      <c r="C411" t="s">
        <v>18</v>
      </c>
      <c r="D411" t="s">
        <v>19</v>
      </c>
      <c r="E411">
        <v>23</v>
      </c>
      <c r="F411" t="s">
        <v>11</v>
      </c>
      <c r="G411">
        <f t="shared" si="6"/>
        <v>1</v>
      </c>
    </row>
    <row r="412" spans="1:7">
      <c r="A412" t="s">
        <v>729</v>
      </c>
      <c r="B412" t="s">
        <v>730</v>
      </c>
      <c r="C412" t="s">
        <v>18</v>
      </c>
      <c r="D412" t="s">
        <v>19</v>
      </c>
      <c r="E412">
        <v>31</v>
      </c>
      <c r="F412" t="s">
        <v>28</v>
      </c>
      <c r="G412">
        <f t="shared" si="6"/>
        <v>1</v>
      </c>
    </row>
    <row r="413" spans="1:7">
      <c r="A413" t="s">
        <v>731</v>
      </c>
      <c r="B413" t="s">
        <v>315</v>
      </c>
      <c r="C413" t="s">
        <v>80</v>
      </c>
      <c r="D413" t="s">
        <v>23</v>
      </c>
      <c r="E413">
        <v>58</v>
      </c>
      <c r="F413" t="s">
        <v>28</v>
      </c>
      <c r="G413">
        <f t="shared" si="6"/>
        <v>1</v>
      </c>
    </row>
    <row r="414" spans="1:7">
      <c r="A414" t="s">
        <v>732</v>
      </c>
      <c r="B414" t="s">
        <v>200</v>
      </c>
      <c r="C414" t="s">
        <v>90</v>
      </c>
      <c r="D414" t="s">
        <v>90</v>
      </c>
      <c r="E414">
        <v>43</v>
      </c>
      <c r="F414" t="s">
        <v>28</v>
      </c>
      <c r="G414">
        <f t="shared" si="6"/>
        <v>1</v>
      </c>
    </row>
    <row r="415" spans="1:7">
      <c r="A415" t="s">
        <v>733</v>
      </c>
      <c r="B415" t="s">
        <v>113</v>
      </c>
      <c r="C415" t="s">
        <v>165</v>
      </c>
      <c r="D415" t="s">
        <v>166</v>
      </c>
      <c r="E415">
        <v>21</v>
      </c>
      <c r="F415" t="s">
        <v>11</v>
      </c>
      <c r="G415">
        <f t="shared" si="6"/>
        <v>1</v>
      </c>
    </row>
    <row r="416" spans="1:7">
      <c r="A416" t="s">
        <v>734</v>
      </c>
      <c r="B416" t="s">
        <v>139</v>
      </c>
      <c r="C416" t="s">
        <v>165</v>
      </c>
      <c r="D416" t="s">
        <v>166</v>
      </c>
      <c r="E416">
        <v>47</v>
      </c>
      <c r="F416" t="s">
        <v>11</v>
      </c>
      <c r="G416">
        <f t="shared" si="6"/>
        <v>1</v>
      </c>
    </row>
    <row r="417" spans="1:7">
      <c r="A417" t="s">
        <v>735</v>
      </c>
      <c r="B417" t="s">
        <v>618</v>
      </c>
      <c r="C417" t="s">
        <v>58</v>
      </c>
      <c r="D417" t="s">
        <v>59</v>
      </c>
      <c r="E417">
        <v>38</v>
      </c>
      <c r="F417" t="s">
        <v>28</v>
      </c>
      <c r="G417">
        <f t="shared" si="6"/>
        <v>1</v>
      </c>
    </row>
    <row r="418" spans="1:7">
      <c r="A418" t="s">
        <v>736</v>
      </c>
      <c r="B418" t="s">
        <v>162</v>
      </c>
      <c r="C418" t="s">
        <v>93</v>
      </c>
      <c r="D418" t="s">
        <v>94</v>
      </c>
      <c r="E418">
        <v>41</v>
      </c>
      <c r="F418" t="s">
        <v>11</v>
      </c>
      <c r="G418">
        <f t="shared" si="6"/>
        <v>1</v>
      </c>
    </row>
    <row r="419" spans="1:7">
      <c r="A419" t="s">
        <v>737</v>
      </c>
      <c r="B419" t="s">
        <v>738</v>
      </c>
      <c r="C419" t="s">
        <v>58</v>
      </c>
      <c r="D419" t="s">
        <v>59</v>
      </c>
      <c r="E419">
        <v>25</v>
      </c>
      <c r="F419" t="s">
        <v>28</v>
      </c>
      <c r="G419">
        <f t="shared" si="6"/>
        <v>1</v>
      </c>
    </row>
    <row r="420" spans="1:7">
      <c r="A420" t="s">
        <v>739</v>
      </c>
      <c r="B420" t="s">
        <v>245</v>
      </c>
      <c r="C420" t="s">
        <v>165</v>
      </c>
      <c r="D420" t="s">
        <v>166</v>
      </c>
      <c r="E420">
        <v>24</v>
      </c>
      <c r="F420" t="s">
        <v>11</v>
      </c>
      <c r="G420">
        <f t="shared" si="6"/>
        <v>1</v>
      </c>
    </row>
    <row r="421" spans="1:7">
      <c r="A421" t="s">
        <v>740</v>
      </c>
      <c r="B421" t="s">
        <v>741</v>
      </c>
      <c r="C421" t="s">
        <v>90</v>
      </c>
      <c r="D421" t="s">
        <v>90</v>
      </c>
      <c r="E421">
        <v>44</v>
      </c>
      <c r="F421" t="s">
        <v>11</v>
      </c>
      <c r="G421">
        <f t="shared" si="6"/>
        <v>1</v>
      </c>
    </row>
    <row r="422" spans="1:7">
      <c r="A422" t="s">
        <v>742</v>
      </c>
      <c r="B422" t="s">
        <v>568</v>
      </c>
      <c r="C422" t="s">
        <v>33</v>
      </c>
      <c r="D422" t="s">
        <v>19</v>
      </c>
      <c r="E422">
        <v>38</v>
      </c>
      <c r="F422" t="s">
        <v>11</v>
      </c>
      <c r="G422">
        <f t="shared" si="6"/>
        <v>1</v>
      </c>
    </row>
    <row r="423" spans="1:7">
      <c r="A423" t="s">
        <v>743</v>
      </c>
      <c r="B423" t="s">
        <v>385</v>
      </c>
      <c r="C423" t="s">
        <v>33</v>
      </c>
      <c r="D423" t="s">
        <v>19</v>
      </c>
      <c r="E423">
        <v>47</v>
      </c>
      <c r="F423" t="s">
        <v>28</v>
      </c>
      <c r="G423">
        <f t="shared" si="6"/>
        <v>1</v>
      </c>
    </row>
    <row r="424" spans="1:7">
      <c r="A424" t="s">
        <v>744</v>
      </c>
      <c r="B424" t="s">
        <v>745</v>
      </c>
      <c r="C424" t="s">
        <v>90</v>
      </c>
      <c r="D424" t="s">
        <v>90</v>
      </c>
      <c r="E424">
        <v>23</v>
      </c>
      <c r="F424" t="s">
        <v>28</v>
      </c>
      <c r="G424">
        <f t="shared" si="6"/>
        <v>1</v>
      </c>
    </row>
    <row r="425" spans="1:7">
      <c r="A425" t="s">
        <v>746</v>
      </c>
      <c r="B425" t="s">
        <v>491</v>
      </c>
      <c r="C425" t="s">
        <v>118</v>
      </c>
      <c r="D425" t="s">
        <v>119</v>
      </c>
      <c r="E425">
        <v>31</v>
      </c>
      <c r="F425" t="s">
        <v>28</v>
      </c>
      <c r="G425">
        <f t="shared" si="6"/>
        <v>1</v>
      </c>
    </row>
    <row r="426" spans="1:7">
      <c r="A426" t="s">
        <v>747</v>
      </c>
      <c r="B426" t="s">
        <v>189</v>
      </c>
      <c r="C426" t="s">
        <v>40</v>
      </c>
      <c r="D426" t="s">
        <v>10</v>
      </c>
      <c r="E426">
        <v>49</v>
      </c>
      <c r="F426" t="s">
        <v>28</v>
      </c>
      <c r="G426">
        <f t="shared" si="6"/>
        <v>1</v>
      </c>
    </row>
    <row r="427" spans="1:7">
      <c r="A427" t="s">
        <v>748</v>
      </c>
      <c r="B427" t="s">
        <v>137</v>
      </c>
      <c r="C427" t="s">
        <v>90</v>
      </c>
      <c r="D427" t="s">
        <v>90</v>
      </c>
      <c r="E427">
        <v>24</v>
      </c>
      <c r="F427" t="s">
        <v>28</v>
      </c>
      <c r="G427">
        <f t="shared" si="6"/>
        <v>1</v>
      </c>
    </row>
    <row r="428" spans="1:7">
      <c r="A428" t="s">
        <v>749</v>
      </c>
      <c r="B428" t="s">
        <v>603</v>
      </c>
      <c r="C428" t="s">
        <v>66</v>
      </c>
      <c r="D428" t="s">
        <v>67</v>
      </c>
      <c r="E428">
        <v>41</v>
      </c>
      <c r="F428" t="s">
        <v>28</v>
      </c>
      <c r="G428">
        <f t="shared" si="6"/>
        <v>1</v>
      </c>
    </row>
    <row r="429" spans="1:7">
      <c r="A429" t="s">
        <v>750</v>
      </c>
      <c r="B429" t="s">
        <v>751</v>
      </c>
      <c r="C429" t="s">
        <v>93</v>
      </c>
      <c r="D429" t="s">
        <v>94</v>
      </c>
      <c r="E429">
        <v>21</v>
      </c>
      <c r="F429" t="s">
        <v>11</v>
      </c>
      <c r="G429">
        <f t="shared" si="6"/>
        <v>1</v>
      </c>
    </row>
    <row r="430" spans="1:7">
      <c r="A430" t="s">
        <v>752</v>
      </c>
      <c r="B430" t="s">
        <v>42</v>
      </c>
      <c r="C430" t="s">
        <v>93</v>
      </c>
      <c r="D430" t="s">
        <v>94</v>
      </c>
      <c r="E430">
        <v>22</v>
      </c>
      <c r="F430" t="s">
        <v>28</v>
      </c>
      <c r="G430">
        <f t="shared" si="6"/>
        <v>1</v>
      </c>
    </row>
    <row r="431" spans="1:7">
      <c r="A431" t="s">
        <v>753</v>
      </c>
      <c r="B431" t="s">
        <v>754</v>
      </c>
      <c r="C431" t="s">
        <v>118</v>
      </c>
      <c r="D431" t="s">
        <v>119</v>
      </c>
      <c r="E431">
        <v>53</v>
      </c>
      <c r="F431" t="s">
        <v>28</v>
      </c>
      <c r="G431">
        <f t="shared" si="6"/>
        <v>1</v>
      </c>
    </row>
    <row r="432" spans="1:7">
      <c r="A432" t="s">
        <v>755</v>
      </c>
      <c r="B432" t="s">
        <v>756</v>
      </c>
      <c r="C432" t="s">
        <v>80</v>
      </c>
      <c r="D432" t="s">
        <v>23</v>
      </c>
      <c r="E432">
        <v>26</v>
      </c>
      <c r="F432" t="s">
        <v>11</v>
      </c>
      <c r="G432">
        <f t="shared" si="6"/>
        <v>1</v>
      </c>
    </row>
    <row r="433" spans="1:7">
      <c r="A433" t="s">
        <v>757</v>
      </c>
      <c r="B433" t="s">
        <v>506</v>
      </c>
      <c r="C433" t="s">
        <v>49</v>
      </c>
      <c r="D433" t="s">
        <v>50</v>
      </c>
      <c r="E433">
        <v>39</v>
      </c>
      <c r="F433" t="s">
        <v>28</v>
      </c>
      <c r="G433">
        <f t="shared" si="6"/>
        <v>1</v>
      </c>
    </row>
    <row r="434" spans="1:7">
      <c r="A434" t="s">
        <v>758</v>
      </c>
      <c r="B434" t="s">
        <v>459</v>
      </c>
      <c r="C434" t="s">
        <v>66</v>
      </c>
      <c r="D434" t="s">
        <v>67</v>
      </c>
      <c r="E434">
        <v>50</v>
      </c>
      <c r="F434" t="s">
        <v>28</v>
      </c>
      <c r="G434">
        <f t="shared" si="6"/>
        <v>1</v>
      </c>
    </row>
    <row r="435" spans="1:7">
      <c r="A435" t="s">
        <v>759</v>
      </c>
      <c r="B435" t="s">
        <v>149</v>
      </c>
      <c r="C435" t="s">
        <v>118</v>
      </c>
      <c r="D435" t="s">
        <v>119</v>
      </c>
      <c r="E435">
        <v>20</v>
      </c>
      <c r="F435" t="s">
        <v>11</v>
      </c>
      <c r="G435">
        <f t="shared" si="6"/>
        <v>1</v>
      </c>
    </row>
    <row r="436" spans="1:7">
      <c r="A436" t="s">
        <v>760</v>
      </c>
      <c r="B436" t="s">
        <v>385</v>
      </c>
      <c r="C436" t="s">
        <v>58</v>
      </c>
      <c r="D436" t="s">
        <v>59</v>
      </c>
      <c r="E436">
        <v>47</v>
      </c>
      <c r="F436" t="s">
        <v>11</v>
      </c>
      <c r="G436">
        <f t="shared" si="6"/>
        <v>1</v>
      </c>
    </row>
    <row r="437" spans="1:7">
      <c r="A437" t="s">
        <v>761</v>
      </c>
      <c r="B437" t="s">
        <v>636</v>
      </c>
      <c r="C437" t="s">
        <v>80</v>
      </c>
      <c r="D437" t="s">
        <v>23</v>
      </c>
      <c r="E437">
        <v>38</v>
      </c>
      <c r="F437" t="s">
        <v>28</v>
      </c>
      <c r="G437">
        <f t="shared" si="6"/>
        <v>1</v>
      </c>
    </row>
    <row r="438" spans="1:7">
      <c r="A438" t="s">
        <v>762</v>
      </c>
      <c r="B438" t="s">
        <v>741</v>
      </c>
      <c r="C438" t="s">
        <v>33</v>
      </c>
      <c r="D438" t="s">
        <v>19</v>
      </c>
      <c r="E438">
        <v>37</v>
      </c>
      <c r="F438" t="s">
        <v>28</v>
      </c>
      <c r="G438">
        <f t="shared" si="6"/>
        <v>1</v>
      </c>
    </row>
    <row r="439" spans="1:7">
      <c r="A439" t="s">
        <v>763</v>
      </c>
      <c r="B439" t="s">
        <v>377</v>
      </c>
      <c r="C439" t="s">
        <v>118</v>
      </c>
      <c r="D439" t="s">
        <v>119</v>
      </c>
      <c r="E439">
        <v>49</v>
      </c>
      <c r="F439" t="s">
        <v>28</v>
      </c>
      <c r="G439">
        <f t="shared" si="6"/>
        <v>1</v>
      </c>
    </row>
    <row r="440" spans="1:7">
      <c r="A440" t="s">
        <v>764</v>
      </c>
      <c r="B440" t="s">
        <v>711</v>
      </c>
      <c r="C440" t="s">
        <v>240</v>
      </c>
      <c r="D440" t="s">
        <v>241</v>
      </c>
      <c r="E440">
        <v>39</v>
      </c>
      <c r="F440" t="s">
        <v>11</v>
      </c>
      <c r="G440">
        <f t="shared" si="6"/>
        <v>1</v>
      </c>
    </row>
    <row r="441" spans="1:7">
      <c r="A441" t="s">
        <v>765</v>
      </c>
      <c r="B441" t="s">
        <v>766</v>
      </c>
      <c r="C441" t="s">
        <v>76</v>
      </c>
      <c r="D441" t="s">
        <v>77</v>
      </c>
      <c r="E441">
        <v>58</v>
      </c>
      <c r="F441" t="s">
        <v>11</v>
      </c>
      <c r="G441">
        <f t="shared" si="6"/>
        <v>1</v>
      </c>
    </row>
    <row r="442" spans="1:7">
      <c r="A442" t="s">
        <v>767</v>
      </c>
      <c r="B442" t="s">
        <v>672</v>
      </c>
      <c r="C442" t="s">
        <v>80</v>
      </c>
      <c r="D442" t="s">
        <v>23</v>
      </c>
      <c r="E442">
        <v>59</v>
      </c>
      <c r="F442" t="s">
        <v>11</v>
      </c>
      <c r="G442">
        <f t="shared" si="6"/>
        <v>1</v>
      </c>
    </row>
    <row r="443" spans="1:7">
      <c r="A443" t="s">
        <v>768</v>
      </c>
      <c r="B443" t="s">
        <v>769</v>
      </c>
      <c r="C443" t="s">
        <v>40</v>
      </c>
      <c r="D443" t="s">
        <v>10</v>
      </c>
      <c r="E443">
        <v>28</v>
      </c>
      <c r="F443" t="s">
        <v>28</v>
      </c>
      <c r="G443">
        <f t="shared" si="6"/>
        <v>1</v>
      </c>
    </row>
    <row r="444" spans="1:7">
      <c r="A444" t="s">
        <v>770</v>
      </c>
      <c r="B444" t="s">
        <v>771</v>
      </c>
      <c r="C444" t="s">
        <v>66</v>
      </c>
      <c r="D444" t="s">
        <v>67</v>
      </c>
      <c r="E444">
        <v>54</v>
      </c>
      <c r="F444" t="s">
        <v>11</v>
      </c>
      <c r="G444">
        <f t="shared" si="6"/>
        <v>1</v>
      </c>
    </row>
    <row r="445" spans="1:7">
      <c r="A445" t="s">
        <v>772</v>
      </c>
      <c r="B445" t="s">
        <v>773</v>
      </c>
      <c r="C445" t="s">
        <v>22</v>
      </c>
      <c r="D445" t="s">
        <v>23</v>
      </c>
      <c r="E445">
        <v>38</v>
      </c>
      <c r="F445" t="s">
        <v>28</v>
      </c>
      <c r="G445">
        <f t="shared" si="6"/>
        <v>1</v>
      </c>
    </row>
    <row r="446" spans="1:7">
      <c r="A446" t="s">
        <v>774</v>
      </c>
      <c r="B446" t="s">
        <v>775</v>
      </c>
      <c r="C446" t="s">
        <v>66</v>
      </c>
      <c r="D446" t="s">
        <v>67</v>
      </c>
      <c r="E446">
        <v>31</v>
      </c>
      <c r="F446" t="s">
        <v>28</v>
      </c>
      <c r="G446">
        <f t="shared" si="6"/>
        <v>1</v>
      </c>
    </row>
    <row r="447" spans="1:7">
      <c r="A447" t="s">
        <v>776</v>
      </c>
      <c r="B447" t="s">
        <v>365</v>
      </c>
      <c r="C447" t="s">
        <v>118</v>
      </c>
      <c r="D447" t="s">
        <v>119</v>
      </c>
      <c r="E447">
        <v>21</v>
      </c>
      <c r="F447" t="s">
        <v>11</v>
      </c>
      <c r="G447">
        <f t="shared" si="6"/>
        <v>1</v>
      </c>
    </row>
    <row r="448" spans="1:7">
      <c r="A448" t="s">
        <v>777</v>
      </c>
      <c r="B448" t="s">
        <v>778</v>
      </c>
      <c r="C448" t="s">
        <v>118</v>
      </c>
      <c r="D448" t="s">
        <v>119</v>
      </c>
      <c r="E448">
        <v>38</v>
      </c>
      <c r="F448" t="s">
        <v>28</v>
      </c>
      <c r="G448">
        <f t="shared" si="6"/>
        <v>1</v>
      </c>
    </row>
    <row r="449" spans="1:7">
      <c r="A449" t="s">
        <v>779</v>
      </c>
      <c r="B449" t="s">
        <v>274</v>
      </c>
      <c r="C449" t="s">
        <v>118</v>
      </c>
      <c r="D449" t="s">
        <v>119</v>
      </c>
      <c r="E449">
        <v>29</v>
      </c>
      <c r="F449" t="s">
        <v>28</v>
      </c>
      <c r="G449">
        <f t="shared" si="6"/>
        <v>1</v>
      </c>
    </row>
    <row r="450" spans="1:7">
      <c r="A450" t="s">
        <v>780</v>
      </c>
      <c r="B450" t="s">
        <v>781</v>
      </c>
      <c r="C450" t="s">
        <v>26</v>
      </c>
      <c r="D450" t="s">
        <v>27</v>
      </c>
      <c r="E450">
        <v>40</v>
      </c>
      <c r="F450" t="s">
        <v>28</v>
      </c>
      <c r="G450">
        <f t="shared" ref="G450:G501" si="7">COUNTIF(A:A,A450)</f>
        <v>1</v>
      </c>
    </row>
    <row r="451" spans="1:7">
      <c r="A451" t="s">
        <v>782</v>
      </c>
      <c r="B451" t="s">
        <v>783</v>
      </c>
      <c r="C451" t="s">
        <v>80</v>
      </c>
      <c r="D451" t="s">
        <v>23</v>
      </c>
      <c r="E451">
        <v>33</v>
      </c>
      <c r="F451" t="s">
        <v>28</v>
      </c>
      <c r="G451">
        <f t="shared" si="7"/>
        <v>1</v>
      </c>
    </row>
    <row r="452" spans="1:7">
      <c r="A452" t="s">
        <v>784</v>
      </c>
      <c r="B452" t="s">
        <v>98</v>
      </c>
      <c r="C452" t="s">
        <v>26</v>
      </c>
      <c r="D452" t="s">
        <v>27</v>
      </c>
      <c r="E452">
        <v>37</v>
      </c>
      <c r="F452" t="s">
        <v>28</v>
      </c>
      <c r="G452">
        <f t="shared" si="7"/>
        <v>1</v>
      </c>
    </row>
    <row r="453" spans="1:7">
      <c r="A453" t="s">
        <v>785</v>
      </c>
      <c r="B453" t="s">
        <v>786</v>
      </c>
      <c r="C453" t="s">
        <v>22</v>
      </c>
      <c r="D453" t="s">
        <v>23</v>
      </c>
      <c r="E453">
        <v>48</v>
      </c>
      <c r="F453" t="s">
        <v>28</v>
      </c>
      <c r="G453">
        <f t="shared" si="7"/>
        <v>1</v>
      </c>
    </row>
    <row r="454" spans="1:7">
      <c r="A454" t="s">
        <v>787</v>
      </c>
      <c r="B454" t="s">
        <v>788</v>
      </c>
      <c r="C454" t="s">
        <v>26</v>
      </c>
      <c r="D454" t="s">
        <v>27</v>
      </c>
      <c r="E454">
        <v>25</v>
      </c>
      <c r="F454" t="s">
        <v>28</v>
      </c>
      <c r="G454">
        <f t="shared" si="7"/>
        <v>1</v>
      </c>
    </row>
    <row r="455" spans="1:7">
      <c r="A455" t="s">
        <v>789</v>
      </c>
      <c r="B455" t="s">
        <v>674</v>
      </c>
      <c r="C455" t="s">
        <v>49</v>
      </c>
      <c r="D455" t="s">
        <v>50</v>
      </c>
      <c r="E455">
        <v>27</v>
      </c>
      <c r="F455" t="s">
        <v>28</v>
      </c>
      <c r="G455">
        <f t="shared" si="7"/>
        <v>1</v>
      </c>
    </row>
    <row r="456" spans="1:7">
      <c r="A456" t="s">
        <v>790</v>
      </c>
      <c r="B456" t="s">
        <v>367</v>
      </c>
      <c r="C456" t="s">
        <v>40</v>
      </c>
      <c r="D456" t="s">
        <v>10</v>
      </c>
      <c r="E456">
        <v>23</v>
      </c>
      <c r="F456" t="s">
        <v>28</v>
      </c>
      <c r="G456">
        <f t="shared" si="7"/>
        <v>1</v>
      </c>
    </row>
    <row r="457" spans="1:7">
      <c r="A457" t="s">
        <v>791</v>
      </c>
      <c r="B457" t="s">
        <v>603</v>
      </c>
      <c r="C457" t="s">
        <v>165</v>
      </c>
      <c r="D457" t="s">
        <v>166</v>
      </c>
      <c r="E457">
        <v>48</v>
      </c>
      <c r="F457" t="s">
        <v>11</v>
      </c>
      <c r="G457">
        <f t="shared" si="7"/>
        <v>1</v>
      </c>
    </row>
    <row r="458" spans="1:7">
      <c r="A458" t="s">
        <v>792</v>
      </c>
      <c r="B458" t="s">
        <v>793</v>
      </c>
      <c r="C458" t="s">
        <v>22</v>
      </c>
      <c r="D458" t="s">
        <v>23</v>
      </c>
      <c r="E458">
        <v>53</v>
      </c>
      <c r="F458" t="s">
        <v>28</v>
      </c>
      <c r="G458">
        <f t="shared" si="7"/>
        <v>1</v>
      </c>
    </row>
    <row r="459" spans="1:7">
      <c r="A459" t="s">
        <v>794</v>
      </c>
      <c r="B459" t="s">
        <v>795</v>
      </c>
      <c r="C459" t="s">
        <v>66</v>
      </c>
      <c r="D459" t="s">
        <v>67</v>
      </c>
      <c r="E459">
        <v>55</v>
      </c>
      <c r="F459" t="s">
        <v>11</v>
      </c>
      <c r="G459">
        <f t="shared" si="7"/>
        <v>1</v>
      </c>
    </row>
    <row r="460" spans="1:7">
      <c r="A460" t="s">
        <v>796</v>
      </c>
      <c r="B460" t="s">
        <v>797</v>
      </c>
      <c r="C460" t="s">
        <v>14</v>
      </c>
      <c r="D460" t="s">
        <v>15</v>
      </c>
      <c r="E460">
        <v>51</v>
      </c>
      <c r="F460" t="s">
        <v>11</v>
      </c>
      <c r="G460">
        <f t="shared" si="7"/>
        <v>1</v>
      </c>
    </row>
    <row r="461" spans="1:7">
      <c r="A461" t="s">
        <v>798</v>
      </c>
      <c r="B461" t="s">
        <v>799</v>
      </c>
      <c r="C461" t="s">
        <v>14</v>
      </c>
      <c r="D461" t="s">
        <v>15</v>
      </c>
      <c r="E461">
        <v>44</v>
      </c>
      <c r="F461" t="s">
        <v>28</v>
      </c>
      <c r="G461">
        <f t="shared" si="7"/>
        <v>1</v>
      </c>
    </row>
    <row r="462" spans="1:7">
      <c r="A462" t="s">
        <v>800</v>
      </c>
      <c r="B462" t="s">
        <v>125</v>
      </c>
      <c r="C462" t="s">
        <v>240</v>
      </c>
      <c r="D462" t="s">
        <v>241</v>
      </c>
      <c r="E462">
        <v>26</v>
      </c>
      <c r="F462" t="s">
        <v>11</v>
      </c>
      <c r="G462">
        <f t="shared" si="7"/>
        <v>1</v>
      </c>
    </row>
    <row r="463" spans="1:7">
      <c r="A463" t="s">
        <v>801</v>
      </c>
      <c r="B463" t="s">
        <v>802</v>
      </c>
      <c r="C463" t="s">
        <v>26</v>
      </c>
      <c r="D463" t="s">
        <v>27</v>
      </c>
      <c r="E463">
        <v>59</v>
      </c>
      <c r="F463" t="s">
        <v>28</v>
      </c>
      <c r="G463">
        <f t="shared" si="7"/>
        <v>1</v>
      </c>
    </row>
    <row r="464" spans="1:7">
      <c r="A464" t="s">
        <v>803</v>
      </c>
      <c r="B464" t="s">
        <v>804</v>
      </c>
      <c r="C464" t="s">
        <v>240</v>
      </c>
      <c r="D464" t="s">
        <v>241</v>
      </c>
      <c r="E464">
        <v>36</v>
      </c>
      <c r="F464" t="s">
        <v>28</v>
      </c>
      <c r="G464">
        <f t="shared" si="7"/>
        <v>1</v>
      </c>
    </row>
    <row r="465" spans="1:7">
      <c r="A465" t="s">
        <v>805</v>
      </c>
      <c r="B465" t="s">
        <v>806</v>
      </c>
      <c r="C465" t="s">
        <v>90</v>
      </c>
      <c r="D465" t="s">
        <v>90</v>
      </c>
      <c r="E465">
        <v>23</v>
      </c>
      <c r="F465" t="s">
        <v>11</v>
      </c>
      <c r="G465">
        <f t="shared" si="7"/>
        <v>1</v>
      </c>
    </row>
    <row r="466" spans="1:7">
      <c r="A466" t="s">
        <v>807</v>
      </c>
      <c r="B466" t="s">
        <v>141</v>
      </c>
      <c r="C466" t="s">
        <v>26</v>
      </c>
      <c r="D466" t="s">
        <v>27</v>
      </c>
      <c r="E466">
        <v>44</v>
      </c>
      <c r="F466" t="s">
        <v>11</v>
      </c>
      <c r="G466">
        <f t="shared" si="7"/>
        <v>1</v>
      </c>
    </row>
    <row r="467" spans="1:7">
      <c r="A467" t="s">
        <v>808</v>
      </c>
      <c r="B467" t="s">
        <v>809</v>
      </c>
      <c r="C467" t="s">
        <v>40</v>
      </c>
      <c r="D467" t="s">
        <v>10</v>
      </c>
      <c r="E467">
        <v>49</v>
      </c>
      <c r="F467" t="s">
        <v>11</v>
      </c>
      <c r="G467">
        <f t="shared" si="7"/>
        <v>1</v>
      </c>
    </row>
    <row r="468" spans="1:7">
      <c r="A468" t="s">
        <v>810</v>
      </c>
      <c r="B468" t="s">
        <v>558</v>
      </c>
      <c r="C468" t="s">
        <v>90</v>
      </c>
      <c r="D468" t="s">
        <v>90</v>
      </c>
      <c r="E468">
        <v>37</v>
      </c>
      <c r="F468" t="s">
        <v>11</v>
      </c>
      <c r="G468">
        <f t="shared" si="7"/>
        <v>1</v>
      </c>
    </row>
    <row r="469" spans="1:7">
      <c r="A469" t="s">
        <v>811</v>
      </c>
      <c r="B469" t="s">
        <v>514</v>
      </c>
      <c r="C469" t="s">
        <v>58</v>
      </c>
      <c r="D469" t="s">
        <v>59</v>
      </c>
      <c r="E469">
        <v>59</v>
      </c>
      <c r="F469" t="s">
        <v>28</v>
      </c>
      <c r="G469">
        <f t="shared" si="7"/>
        <v>1</v>
      </c>
    </row>
    <row r="470" spans="1:7">
      <c r="A470" t="s">
        <v>812</v>
      </c>
      <c r="B470" t="s">
        <v>429</v>
      </c>
      <c r="C470" t="s">
        <v>66</v>
      </c>
      <c r="D470" t="s">
        <v>67</v>
      </c>
      <c r="E470">
        <v>35</v>
      </c>
      <c r="F470" t="s">
        <v>11</v>
      </c>
      <c r="G470">
        <f t="shared" si="7"/>
        <v>1</v>
      </c>
    </row>
    <row r="471" spans="1:7">
      <c r="A471" t="s">
        <v>813</v>
      </c>
      <c r="B471" t="s">
        <v>814</v>
      </c>
      <c r="C471" t="s">
        <v>9</v>
      </c>
      <c r="D471" t="s">
        <v>10</v>
      </c>
      <c r="E471">
        <v>47</v>
      </c>
      <c r="F471" t="s">
        <v>28</v>
      </c>
      <c r="G471">
        <f t="shared" si="7"/>
        <v>1</v>
      </c>
    </row>
    <row r="472" spans="1:7">
      <c r="A472" t="s">
        <v>815</v>
      </c>
      <c r="B472" t="s">
        <v>8</v>
      </c>
      <c r="C472" t="s">
        <v>33</v>
      </c>
      <c r="D472" t="s">
        <v>19</v>
      </c>
      <c r="E472">
        <v>39</v>
      </c>
      <c r="F472" t="s">
        <v>28</v>
      </c>
      <c r="G472">
        <f t="shared" si="7"/>
        <v>1</v>
      </c>
    </row>
    <row r="473" spans="1:7">
      <c r="A473" t="s">
        <v>816</v>
      </c>
      <c r="B473" t="s">
        <v>817</v>
      </c>
      <c r="C473" t="s">
        <v>18</v>
      </c>
      <c r="D473" t="s">
        <v>19</v>
      </c>
      <c r="E473">
        <v>57</v>
      </c>
      <c r="F473" t="s">
        <v>28</v>
      </c>
      <c r="G473">
        <f t="shared" si="7"/>
        <v>1</v>
      </c>
    </row>
    <row r="474" spans="1:7">
      <c r="A474" t="s">
        <v>818</v>
      </c>
      <c r="B474" t="s">
        <v>819</v>
      </c>
      <c r="C474" t="s">
        <v>76</v>
      </c>
      <c r="D474" t="s">
        <v>77</v>
      </c>
      <c r="E474">
        <v>23</v>
      </c>
      <c r="F474" t="s">
        <v>28</v>
      </c>
      <c r="G474">
        <f t="shared" si="7"/>
        <v>1</v>
      </c>
    </row>
    <row r="475" spans="1:7">
      <c r="A475" t="s">
        <v>820</v>
      </c>
      <c r="B475" t="s">
        <v>821</v>
      </c>
      <c r="C475" t="s">
        <v>9</v>
      </c>
      <c r="D475" t="s">
        <v>10</v>
      </c>
      <c r="E475">
        <v>48</v>
      </c>
      <c r="F475" t="s">
        <v>28</v>
      </c>
      <c r="G475">
        <f t="shared" si="7"/>
        <v>1</v>
      </c>
    </row>
    <row r="476" spans="1:7">
      <c r="A476" t="s">
        <v>822</v>
      </c>
      <c r="B476" t="s">
        <v>646</v>
      </c>
      <c r="C476" t="s">
        <v>14</v>
      </c>
      <c r="D476" t="s">
        <v>15</v>
      </c>
      <c r="E476">
        <v>42</v>
      </c>
      <c r="F476" t="s">
        <v>11</v>
      </c>
      <c r="G476">
        <f t="shared" si="7"/>
        <v>1</v>
      </c>
    </row>
    <row r="477" spans="1:7">
      <c r="A477" t="s">
        <v>823</v>
      </c>
      <c r="B477" t="s">
        <v>260</v>
      </c>
      <c r="C477" t="s">
        <v>165</v>
      </c>
      <c r="D477" t="s">
        <v>166</v>
      </c>
      <c r="E477">
        <v>37</v>
      </c>
      <c r="F477" t="s">
        <v>11</v>
      </c>
      <c r="G477">
        <f t="shared" si="7"/>
        <v>1</v>
      </c>
    </row>
    <row r="478" spans="1:7">
      <c r="A478" t="s">
        <v>824</v>
      </c>
      <c r="B478" t="s">
        <v>825</v>
      </c>
      <c r="C478" t="s">
        <v>160</v>
      </c>
      <c r="D478" t="s">
        <v>15</v>
      </c>
      <c r="E478">
        <v>33</v>
      </c>
      <c r="F478" t="s">
        <v>11</v>
      </c>
      <c r="G478">
        <f t="shared" si="7"/>
        <v>1</v>
      </c>
    </row>
    <row r="479" spans="1:7">
      <c r="A479" t="s">
        <v>826</v>
      </c>
      <c r="B479" t="s">
        <v>827</v>
      </c>
      <c r="C479" t="s">
        <v>9</v>
      </c>
      <c r="D479" t="s">
        <v>10</v>
      </c>
      <c r="E479">
        <v>28</v>
      </c>
      <c r="F479" t="s">
        <v>28</v>
      </c>
      <c r="G479">
        <f t="shared" si="7"/>
        <v>1</v>
      </c>
    </row>
    <row r="480" spans="1:7">
      <c r="A480" t="s">
        <v>828</v>
      </c>
      <c r="B480" t="s">
        <v>367</v>
      </c>
      <c r="C480" t="s">
        <v>118</v>
      </c>
      <c r="D480" t="s">
        <v>119</v>
      </c>
      <c r="E480">
        <v>25</v>
      </c>
      <c r="F480" t="s">
        <v>28</v>
      </c>
      <c r="G480">
        <f t="shared" si="7"/>
        <v>1</v>
      </c>
    </row>
    <row r="481" spans="1:7">
      <c r="A481" t="s">
        <v>829</v>
      </c>
      <c r="B481" t="s">
        <v>830</v>
      </c>
      <c r="C481" t="s">
        <v>93</v>
      </c>
      <c r="D481" t="s">
        <v>94</v>
      </c>
      <c r="E481">
        <v>32</v>
      </c>
      <c r="F481" t="s">
        <v>11</v>
      </c>
      <c r="G481">
        <f t="shared" si="7"/>
        <v>1</v>
      </c>
    </row>
    <row r="482" spans="1:7">
      <c r="A482" t="s">
        <v>831</v>
      </c>
      <c r="B482" t="s">
        <v>832</v>
      </c>
      <c r="C482" t="s">
        <v>240</v>
      </c>
      <c r="D482" t="s">
        <v>241</v>
      </c>
      <c r="E482">
        <v>56</v>
      </c>
      <c r="F482" t="s">
        <v>28</v>
      </c>
      <c r="G482">
        <f t="shared" si="7"/>
        <v>1</v>
      </c>
    </row>
    <row r="483" spans="1:7">
      <c r="A483" t="s">
        <v>833</v>
      </c>
      <c r="B483" t="s">
        <v>417</v>
      </c>
      <c r="C483" t="s">
        <v>76</v>
      </c>
      <c r="D483" t="s">
        <v>77</v>
      </c>
      <c r="E483">
        <v>52</v>
      </c>
      <c r="F483" t="s">
        <v>11</v>
      </c>
      <c r="G483">
        <f t="shared" si="7"/>
        <v>1</v>
      </c>
    </row>
    <row r="484" spans="1:7">
      <c r="A484" t="s">
        <v>834</v>
      </c>
      <c r="B484" t="s">
        <v>354</v>
      </c>
      <c r="C484" t="s">
        <v>14</v>
      </c>
      <c r="D484" t="s">
        <v>15</v>
      </c>
      <c r="E484">
        <v>23</v>
      </c>
      <c r="F484" t="s">
        <v>28</v>
      </c>
      <c r="G484">
        <f t="shared" si="7"/>
        <v>1</v>
      </c>
    </row>
    <row r="485" spans="1:7">
      <c r="A485" t="s">
        <v>835</v>
      </c>
      <c r="B485" t="s">
        <v>473</v>
      </c>
      <c r="C485" t="s">
        <v>118</v>
      </c>
      <c r="D485" t="s">
        <v>119</v>
      </c>
      <c r="E485">
        <v>54</v>
      </c>
      <c r="F485" t="s">
        <v>11</v>
      </c>
      <c r="G485">
        <f t="shared" si="7"/>
        <v>1</v>
      </c>
    </row>
    <row r="486" spans="1:7">
      <c r="A486" t="s">
        <v>836</v>
      </c>
      <c r="B486" t="s">
        <v>837</v>
      </c>
      <c r="C486" t="s">
        <v>40</v>
      </c>
      <c r="D486" t="s">
        <v>10</v>
      </c>
      <c r="E486">
        <v>30</v>
      </c>
      <c r="F486" t="s">
        <v>11</v>
      </c>
      <c r="G486">
        <f t="shared" si="7"/>
        <v>1</v>
      </c>
    </row>
    <row r="487" spans="1:7">
      <c r="A487" t="s">
        <v>838</v>
      </c>
      <c r="B487" t="s">
        <v>839</v>
      </c>
      <c r="C487" t="s">
        <v>33</v>
      </c>
      <c r="D487" t="s">
        <v>19</v>
      </c>
      <c r="E487">
        <v>46</v>
      </c>
      <c r="F487" t="s">
        <v>11</v>
      </c>
      <c r="G487">
        <f t="shared" si="7"/>
        <v>1</v>
      </c>
    </row>
    <row r="488" spans="1:7">
      <c r="A488" t="s">
        <v>840</v>
      </c>
      <c r="B488" t="s">
        <v>769</v>
      </c>
      <c r="C488" t="s">
        <v>22</v>
      </c>
      <c r="D488" t="s">
        <v>23</v>
      </c>
      <c r="E488">
        <v>23</v>
      </c>
      <c r="F488" t="s">
        <v>28</v>
      </c>
      <c r="G488">
        <f t="shared" si="7"/>
        <v>1</v>
      </c>
    </row>
    <row r="489" spans="1:7">
      <c r="A489" t="s">
        <v>841</v>
      </c>
      <c r="B489" t="s">
        <v>276</v>
      </c>
      <c r="C489" t="s">
        <v>40</v>
      </c>
      <c r="D489" t="s">
        <v>10</v>
      </c>
      <c r="E489">
        <v>50</v>
      </c>
      <c r="F489" t="s">
        <v>28</v>
      </c>
      <c r="G489">
        <f t="shared" si="7"/>
        <v>1</v>
      </c>
    </row>
    <row r="490" spans="1:7">
      <c r="A490" t="s">
        <v>842</v>
      </c>
      <c r="B490" t="s">
        <v>843</v>
      </c>
      <c r="C490" t="s">
        <v>165</v>
      </c>
      <c r="D490" t="s">
        <v>166</v>
      </c>
      <c r="E490">
        <v>53</v>
      </c>
      <c r="F490" t="s">
        <v>28</v>
      </c>
      <c r="G490">
        <f t="shared" si="7"/>
        <v>1</v>
      </c>
    </row>
    <row r="491" spans="1:7">
      <c r="A491" t="s">
        <v>844</v>
      </c>
      <c r="B491" t="s">
        <v>845</v>
      </c>
      <c r="C491" t="s">
        <v>90</v>
      </c>
      <c r="D491" t="s">
        <v>90</v>
      </c>
      <c r="E491">
        <v>34</v>
      </c>
      <c r="F491" t="s">
        <v>11</v>
      </c>
      <c r="G491">
        <f t="shared" si="7"/>
        <v>1</v>
      </c>
    </row>
    <row r="492" spans="1:7">
      <c r="A492" t="s">
        <v>846</v>
      </c>
      <c r="B492" t="s">
        <v>715</v>
      </c>
      <c r="C492" t="s">
        <v>22</v>
      </c>
      <c r="D492" t="s">
        <v>23</v>
      </c>
      <c r="E492">
        <v>20</v>
      </c>
      <c r="F492" t="s">
        <v>28</v>
      </c>
      <c r="G492">
        <f t="shared" si="7"/>
        <v>1</v>
      </c>
    </row>
    <row r="493" spans="1:7">
      <c r="A493" t="s">
        <v>847</v>
      </c>
      <c r="B493" t="s">
        <v>848</v>
      </c>
      <c r="C493" t="s">
        <v>93</v>
      </c>
      <c r="D493" t="s">
        <v>94</v>
      </c>
      <c r="E493">
        <v>21</v>
      </c>
      <c r="F493" t="s">
        <v>11</v>
      </c>
      <c r="G493">
        <f t="shared" si="7"/>
        <v>1</v>
      </c>
    </row>
    <row r="494" spans="1:7">
      <c r="A494" t="s">
        <v>849</v>
      </c>
      <c r="B494" t="s">
        <v>189</v>
      </c>
      <c r="C494" t="s">
        <v>240</v>
      </c>
      <c r="D494" t="s">
        <v>241</v>
      </c>
      <c r="E494">
        <v>44</v>
      </c>
      <c r="F494" t="s">
        <v>11</v>
      </c>
      <c r="G494">
        <f t="shared" si="7"/>
        <v>1</v>
      </c>
    </row>
    <row r="495" spans="1:7">
      <c r="A495" t="s">
        <v>850</v>
      </c>
      <c r="B495" t="s">
        <v>212</v>
      </c>
      <c r="C495" t="s">
        <v>66</v>
      </c>
      <c r="D495" t="s">
        <v>67</v>
      </c>
      <c r="E495">
        <v>42</v>
      </c>
      <c r="F495" t="s">
        <v>28</v>
      </c>
      <c r="G495">
        <f t="shared" si="7"/>
        <v>1</v>
      </c>
    </row>
    <row r="496" spans="1:7">
      <c r="A496" t="s">
        <v>851</v>
      </c>
      <c r="B496" t="s">
        <v>852</v>
      </c>
      <c r="C496" t="s">
        <v>49</v>
      </c>
      <c r="D496" t="s">
        <v>50</v>
      </c>
      <c r="E496">
        <v>60</v>
      </c>
      <c r="F496" t="s">
        <v>11</v>
      </c>
      <c r="G496">
        <f t="shared" si="7"/>
        <v>1</v>
      </c>
    </row>
    <row r="497" spans="1:7">
      <c r="A497" t="s">
        <v>853</v>
      </c>
      <c r="B497" t="s">
        <v>391</v>
      </c>
      <c r="C497" t="s">
        <v>93</v>
      </c>
      <c r="D497" t="s">
        <v>94</v>
      </c>
      <c r="E497">
        <v>52</v>
      </c>
      <c r="F497" t="s">
        <v>28</v>
      </c>
      <c r="G497">
        <f t="shared" si="7"/>
        <v>1</v>
      </c>
    </row>
    <row r="498" spans="1:7">
      <c r="A498" t="s">
        <v>854</v>
      </c>
      <c r="B498" t="s">
        <v>13</v>
      </c>
      <c r="C498" t="s">
        <v>118</v>
      </c>
      <c r="D498" t="s">
        <v>119</v>
      </c>
      <c r="E498">
        <v>32</v>
      </c>
      <c r="F498" t="s">
        <v>11</v>
      </c>
      <c r="G498">
        <f t="shared" si="7"/>
        <v>1</v>
      </c>
    </row>
    <row r="499" spans="1:7">
      <c r="A499" t="s">
        <v>855</v>
      </c>
      <c r="B499" t="s">
        <v>514</v>
      </c>
      <c r="C499" t="s">
        <v>87</v>
      </c>
      <c r="D499" t="s">
        <v>67</v>
      </c>
      <c r="E499">
        <v>52</v>
      </c>
      <c r="F499" t="s">
        <v>28</v>
      </c>
      <c r="G499">
        <f t="shared" si="7"/>
        <v>1</v>
      </c>
    </row>
    <row r="500" spans="1:7">
      <c r="A500" t="s">
        <v>856</v>
      </c>
      <c r="B500" t="s">
        <v>857</v>
      </c>
      <c r="C500" t="s">
        <v>26</v>
      </c>
      <c r="D500" t="s">
        <v>27</v>
      </c>
      <c r="E500">
        <v>33</v>
      </c>
      <c r="F500" t="s">
        <v>28</v>
      </c>
      <c r="G500">
        <f t="shared" si="7"/>
        <v>1</v>
      </c>
    </row>
    <row r="501" spans="1:7">
      <c r="A501" t="s">
        <v>858</v>
      </c>
      <c r="B501" t="s">
        <v>859</v>
      </c>
      <c r="C501" t="s">
        <v>93</v>
      </c>
      <c r="D501" t="s">
        <v>94</v>
      </c>
      <c r="E501">
        <v>30</v>
      </c>
      <c r="F501" t="s">
        <v>11</v>
      </c>
      <c r="G501">
        <f t="shared" si="7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9375-72DC-4671-812A-023F732F1032}">
  <dimension ref="A1:E51"/>
  <sheetViews>
    <sheetView workbookViewId="0">
      <selection activeCell="C1" sqref="C1"/>
    </sheetView>
  </sheetViews>
  <sheetFormatPr defaultRowHeight="15"/>
  <cols>
    <col min="1" max="1" width="13.140625" bestFit="1" customWidth="1"/>
    <col min="2" max="2" width="17.42578125" bestFit="1" customWidth="1"/>
    <col min="3" max="3" width="16.5703125" style="3" customWidth="1"/>
    <col min="4" max="4" width="12.42578125" bestFit="1" customWidth="1"/>
    <col min="5" max="5" width="11.28515625" bestFit="1" customWidth="1"/>
  </cols>
  <sheetData>
    <row r="1" spans="1:5">
      <c r="A1" t="s">
        <v>860</v>
      </c>
      <c r="B1" t="s">
        <v>861</v>
      </c>
      <c r="C1" s="3" t="s">
        <v>862</v>
      </c>
      <c r="D1" s="2" t="s">
        <v>863</v>
      </c>
      <c r="E1" s="2" t="s">
        <v>864</v>
      </c>
    </row>
    <row r="2" spans="1:5">
      <c r="A2">
        <v>1</v>
      </c>
      <c r="B2" t="s">
        <v>865</v>
      </c>
      <c r="C2" s="3" t="s">
        <v>866</v>
      </c>
      <c r="D2" s="2">
        <v>637</v>
      </c>
      <c r="E2" s="2">
        <v>359.91</v>
      </c>
    </row>
    <row r="3" spans="1:5">
      <c r="A3">
        <v>2</v>
      </c>
      <c r="B3" t="s">
        <v>867</v>
      </c>
      <c r="C3" s="3" t="s">
        <v>866</v>
      </c>
      <c r="D3" s="2">
        <v>774</v>
      </c>
      <c r="E3" s="2">
        <v>448.92</v>
      </c>
    </row>
    <row r="4" spans="1:5">
      <c r="A4">
        <v>3</v>
      </c>
      <c r="B4" t="s">
        <v>868</v>
      </c>
      <c r="C4" s="3" t="s">
        <v>866</v>
      </c>
      <c r="D4" s="2">
        <v>911</v>
      </c>
      <c r="E4" s="2">
        <v>542.04999999999995</v>
      </c>
    </row>
    <row r="5" spans="1:5">
      <c r="A5">
        <v>4</v>
      </c>
      <c r="B5" t="s">
        <v>869</v>
      </c>
      <c r="C5" s="3" t="s">
        <v>866</v>
      </c>
      <c r="D5" s="2">
        <v>1048</v>
      </c>
      <c r="E5" s="2">
        <v>639.28</v>
      </c>
    </row>
    <row r="6" spans="1:5">
      <c r="A6">
        <v>5</v>
      </c>
      <c r="B6" t="s">
        <v>870</v>
      </c>
      <c r="C6" s="3" t="s">
        <v>866</v>
      </c>
      <c r="D6" s="2">
        <v>1185</v>
      </c>
      <c r="E6" s="2">
        <v>740.62</v>
      </c>
    </row>
    <row r="7" spans="1:5">
      <c r="A7">
        <v>6</v>
      </c>
      <c r="B7" t="s">
        <v>871</v>
      </c>
      <c r="C7" s="3" t="s">
        <v>866</v>
      </c>
      <c r="D7" s="2">
        <v>1322</v>
      </c>
      <c r="E7" s="2">
        <v>846.08</v>
      </c>
    </row>
    <row r="8" spans="1:5">
      <c r="A8">
        <v>7</v>
      </c>
      <c r="B8" t="s">
        <v>872</v>
      </c>
      <c r="C8" s="3" t="s">
        <v>866</v>
      </c>
      <c r="D8" s="2">
        <v>1459</v>
      </c>
      <c r="E8" s="2">
        <v>955.65</v>
      </c>
    </row>
    <row r="9" spans="1:5">
      <c r="A9">
        <v>8</v>
      </c>
      <c r="B9" t="s">
        <v>873</v>
      </c>
      <c r="C9" s="3" t="s">
        <v>866</v>
      </c>
      <c r="D9" s="2">
        <v>1596</v>
      </c>
      <c r="E9" s="2">
        <v>1069.32</v>
      </c>
    </row>
    <row r="10" spans="1:5">
      <c r="A10">
        <v>9</v>
      </c>
      <c r="B10" t="s">
        <v>874</v>
      </c>
      <c r="C10" s="3" t="s">
        <v>866</v>
      </c>
      <c r="D10" s="2">
        <v>1733</v>
      </c>
      <c r="E10" s="2">
        <v>1187.1099999999999</v>
      </c>
    </row>
    <row r="11" spans="1:5">
      <c r="A11">
        <v>10</v>
      </c>
      <c r="B11" t="s">
        <v>875</v>
      </c>
      <c r="C11" s="3" t="s">
        <v>866</v>
      </c>
      <c r="D11" s="2">
        <v>1870</v>
      </c>
      <c r="E11" s="2">
        <v>1028.5</v>
      </c>
    </row>
    <row r="12" spans="1:5">
      <c r="A12">
        <v>11</v>
      </c>
      <c r="B12" t="s">
        <v>876</v>
      </c>
      <c r="C12" s="3" t="s">
        <v>877</v>
      </c>
      <c r="D12" s="2">
        <v>2007</v>
      </c>
      <c r="E12" s="2">
        <v>1133.96</v>
      </c>
    </row>
    <row r="13" spans="1:5">
      <c r="A13">
        <v>12</v>
      </c>
      <c r="B13" t="s">
        <v>878</v>
      </c>
      <c r="C13" s="3" t="s">
        <v>877</v>
      </c>
      <c r="D13" s="2">
        <v>2144</v>
      </c>
      <c r="E13" s="2">
        <v>1243.52</v>
      </c>
    </row>
    <row r="14" spans="1:5">
      <c r="A14">
        <v>13</v>
      </c>
      <c r="B14" t="s">
        <v>879</v>
      </c>
      <c r="C14" s="3" t="s">
        <v>877</v>
      </c>
      <c r="D14" s="2">
        <v>2281</v>
      </c>
      <c r="E14" s="2">
        <v>1357.2</v>
      </c>
    </row>
    <row r="15" spans="1:5">
      <c r="A15">
        <v>14</v>
      </c>
      <c r="B15" t="s">
        <v>880</v>
      </c>
      <c r="C15" s="3" t="s">
        <v>877</v>
      </c>
      <c r="D15" s="2">
        <v>2418</v>
      </c>
      <c r="E15" s="2">
        <v>1474.98</v>
      </c>
    </row>
    <row r="16" spans="1:5">
      <c r="A16">
        <v>15</v>
      </c>
      <c r="B16" t="s">
        <v>881</v>
      </c>
      <c r="C16" s="3" t="s">
        <v>877</v>
      </c>
      <c r="D16" s="2">
        <v>2555</v>
      </c>
      <c r="E16" s="2">
        <v>1596.88</v>
      </c>
    </row>
    <row r="17" spans="1:5">
      <c r="A17">
        <v>16</v>
      </c>
      <c r="B17" t="s">
        <v>882</v>
      </c>
      <c r="C17" s="3" t="s">
        <v>877</v>
      </c>
      <c r="D17" s="2">
        <v>2692</v>
      </c>
      <c r="E17" s="2">
        <v>1722.88</v>
      </c>
    </row>
    <row r="18" spans="1:5">
      <c r="A18">
        <v>17</v>
      </c>
      <c r="B18" t="s">
        <v>883</v>
      </c>
      <c r="C18" s="3" t="s">
        <v>877</v>
      </c>
      <c r="D18" s="2">
        <v>2829</v>
      </c>
      <c r="E18" s="2">
        <v>1853</v>
      </c>
    </row>
    <row r="19" spans="1:5">
      <c r="A19">
        <v>18</v>
      </c>
      <c r="B19" t="s">
        <v>884</v>
      </c>
      <c r="C19" s="3" t="s">
        <v>877</v>
      </c>
      <c r="D19" s="2">
        <v>2966</v>
      </c>
      <c r="E19" s="2">
        <v>1987.22</v>
      </c>
    </row>
    <row r="20" spans="1:5">
      <c r="A20">
        <v>19</v>
      </c>
      <c r="B20" t="s">
        <v>885</v>
      </c>
      <c r="C20" s="3" t="s">
        <v>877</v>
      </c>
      <c r="D20" s="2">
        <v>3103</v>
      </c>
      <c r="E20" s="2">
        <v>2125.56</v>
      </c>
    </row>
    <row r="21" spans="1:5">
      <c r="A21">
        <v>20</v>
      </c>
      <c r="B21" t="s">
        <v>886</v>
      </c>
      <c r="C21" s="3" t="s">
        <v>877</v>
      </c>
      <c r="D21" s="2">
        <v>3240</v>
      </c>
      <c r="E21" s="2">
        <v>1782</v>
      </c>
    </row>
    <row r="22" spans="1:5">
      <c r="A22">
        <v>21</v>
      </c>
      <c r="B22" t="s">
        <v>887</v>
      </c>
      <c r="C22" s="3" t="s">
        <v>888</v>
      </c>
      <c r="D22" s="2">
        <v>3377</v>
      </c>
      <c r="E22" s="2">
        <v>1908.01</v>
      </c>
    </row>
    <row r="23" spans="1:5">
      <c r="A23">
        <v>22</v>
      </c>
      <c r="B23" t="s">
        <v>889</v>
      </c>
      <c r="C23" s="3" t="s">
        <v>888</v>
      </c>
      <c r="D23" s="2">
        <v>3514</v>
      </c>
      <c r="E23" s="2">
        <v>2038.12</v>
      </c>
    </row>
    <row r="24" spans="1:5">
      <c r="A24">
        <v>23</v>
      </c>
      <c r="B24" t="s">
        <v>890</v>
      </c>
      <c r="C24" s="3" t="s">
        <v>888</v>
      </c>
      <c r="D24" s="2">
        <v>3651</v>
      </c>
      <c r="E24" s="2">
        <v>2172.35</v>
      </c>
    </row>
    <row r="25" spans="1:5">
      <c r="A25">
        <v>24</v>
      </c>
      <c r="B25" t="s">
        <v>891</v>
      </c>
      <c r="C25" s="3" t="s">
        <v>888</v>
      </c>
      <c r="D25" s="2">
        <v>3788</v>
      </c>
      <c r="E25" s="2">
        <v>2310.6799999999998</v>
      </c>
    </row>
    <row r="26" spans="1:5">
      <c r="A26">
        <v>25</v>
      </c>
      <c r="B26" t="s">
        <v>892</v>
      </c>
      <c r="C26" s="3" t="s">
        <v>888</v>
      </c>
      <c r="D26" s="2">
        <v>3925</v>
      </c>
      <c r="E26" s="2">
        <v>2453.12</v>
      </c>
    </row>
    <row r="27" spans="1:5">
      <c r="A27">
        <v>26</v>
      </c>
      <c r="B27" t="s">
        <v>893</v>
      </c>
      <c r="C27" s="3" t="s">
        <v>894</v>
      </c>
      <c r="D27" s="2">
        <v>4062</v>
      </c>
      <c r="E27" s="2">
        <v>2599.6799999999998</v>
      </c>
    </row>
    <row r="28" spans="1:5">
      <c r="A28">
        <v>27</v>
      </c>
      <c r="B28" t="s">
        <v>895</v>
      </c>
      <c r="C28" s="3" t="s">
        <v>894</v>
      </c>
      <c r="D28" s="2">
        <v>4199</v>
      </c>
      <c r="E28" s="2">
        <v>2750.35</v>
      </c>
    </row>
    <row r="29" spans="1:5">
      <c r="A29">
        <v>28</v>
      </c>
      <c r="B29" t="s">
        <v>896</v>
      </c>
      <c r="C29" s="3" t="s">
        <v>894</v>
      </c>
      <c r="D29" s="2">
        <v>4336</v>
      </c>
      <c r="E29" s="2">
        <v>2905.12</v>
      </c>
    </row>
    <row r="30" spans="1:5">
      <c r="A30">
        <v>29</v>
      </c>
      <c r="B30" t="s">
        <v>897</v>
      </c>
      <c r="C30" s="3" t="s">
        <v>898</v>
      </c>
      <c r="D30" s="2">
        <v>4473</v>
      </c>
      <c r="E30" s="2">
        <v>3064.01</v>
      </c>
    </row>
    <row r="31" spans="1:5">
      <c r="A31">
        <v>30</v>
      </c>
      <c r="B31" t="s">
        <v>899</v>
      </c>
      <c r="C31" s="3" t="s">
        <v>898</v>
      </c>
      <c r="D31" s="2">
        <v>4610</v>
      </c>
      <c r="E31" s="2">
        <v>2535.5</v>
      </c>
    </row>
    <row r="32" spans="1:5">
      <c r="A32">
        <v>31</v>
      </c>
      <c r="B32" t="s">
        <v>900</v>
      </c>
      <c r="C32" s="3" t="s">
        <v>901</v>
      </c>
      <c r="D32" s="2">
        <v>4747</v>
      </c>
      <c r="E32" s="2">
        <v>2682.06</v>
      </c>
    </row>
    <row r="33" spans="1:5">
      <c r="A33">
        <v>32</v>
      </c>
      <c r="B33" t="s">
        <v>902</v>
      </c>
      <c r="C33" s="3" t="s">
        <v>901</v>
      </c>
      <c r="D33" s="2">
        <v>4884</v>
      </c>
      <c r="E33" s="2">
        <v>2832.72</v>
      </c>
    </row>
    <row r="34" spans="1:5">
      <c r="A34">
        <v>33</v>
      </c>
      <c r="B34" t="s">
        <v>903</v>
      </c>
      <c r="C34" s="3" t="s">
        <v>901</v>
      </c>
      <c r="D34" s="2">
        <v>5021</v>
      </c>
      <c r="E34" s="2">
        <v>2987.5</v>
      </c>
    </row>
    <row r="35" spans="1:5">
      <c r="A35">
        <v>34</v>
      </c>
      <c r="B35" t="s">
        <v>904</v>
      </c>
      <c r="C35" s="3" t="s">
        <v>901</v>
      </c>
      <c r="D35" s="2">
        <v>5158</v>
      </c>
      <c r="E35" s="2">
        <v>3146.38</v>
      </c>
    </row>
    <row r="36" spans="1:5">
      <c r="A36">
        <v>35</v>
      </c>
      <c r="B36" t="s">
        <v>905</v>
      </c>
      <c r="C36" s="3" t="s">
        <v>901</v>
      </c>
      <c r="D36" s="2">
        <v>5295</v>
      </c>
      <c r="E36" s="2">
        <v>3309.38</v>
      </c>
    </row>
    <row r="37" spans="1:5">
      <c r="A37">
        <v>36</v>
      </c>
      <c r="B37" t="s">
        <v>906</v>
      </c>
      <c r="C37" s="3" t="s">
        <v>907</v>
      </c>
      <c r="D37" s="2">
        <v>5432</v>
      </c>
      <c r="E37" s="2">
        <v>3476.48</v>
      </c>
    </row>
    <row r="38" spans="1:5">
      <c r="A38">
        <v>37</v>
      </c>
      <c r="B38" t="s">
        <v>908</v>
      </c>
      <c r="C38" s="3" t="s">
        <v>907</v>
      </c>
      <c r="D38" s="2">
        <v>5569</v>
      </c>
      <c r="E38" s="2">
        <v>3647.7</v>
      </c>
    </row>
    <row r="39" spans="1:5">
      <c r="A39">
        <v>38</v>
      </c>
      <c r="B39" t="s">
        <v>909</v>
      </c>
      <c r="C39" s="3" t="s">
        <v>907</v>
      </c>
      <c r="D39" s="2">
        <v>5706</v>
      </c>
      <c r="E39" s="2">
        <v>3823.02</v>
      </c>
    </row>
    <row r="40" spans="1:5">
      <c r="A40">
        <v>39</v>
      </c>
      <c r="B40" t="s">
        <v>910</v>
      </c>
      <c r="C40" s="3" t="s">
        <v>907</v>
      </c>
      <c r="D40" s="2">
        <v>5843</v>
      </c>
      <c r="E40" s="2">
        <v>4002.46</v>
      </c>
    </row>
    <row r="41" spans="1:5">
      <c r="A41">
        <v>40</v>
      </c>
      <c r="B41" t="s">
        <v>911</v>
      </c>
      <c r="C41" s="3" t="s">
        <v>907</v>
      </c>
      <c r="D41" s="2">
        <v>5980</v>
      </c>
      <c r="E41" s="2">
        <v>3289</v>
      </c>
    </row>
    <row r="42" spans="1:5">
      <c r="A42">
        <v>41</v>
      </c>
      <c r="B42" t="s">
        <v>912</v>
      </c>
      <c r="C42" s="3" t="s">
        <v>913</v>
      </c>
      <c r="D42" s="2">
        <v>6117</v>
      </c>
      <c r="E42" s="2">
        <v>3456.11</v>
      </c>
    </row>
    <row r="43" spans="1:5">
      <c r="A43">
        <v>42</v>
      </c>
      <c r="B43" t="s">
        <v>914</v>
      </c>
      <c r="C43" s="3" t="s">
        <v>913</v>
      </c>
      <c r="D43" s="2">
        <v>6254</v>
      </c>
      <c r="E43" s="2">
        <v>3627.32</v>
      </c>
    </row>
    <row r="44" spans="1:5">
      <c r="A44">
        <v>43</v>
      </c>
      <c r="B44" t="s">
        <v>915</v>
      </c>
      <c r="C44" s="3" t="s">
        <v>913</v>
      </c>
      <c r="D44" s="2">
        <v>6391</v>
      </c>
      <c r="E44" s="2">
        <v>3802.65</v>
      </c>
    </row>
    <row r="45" spans="1:5">
      <c r="A45">
        <v>44</v>
      </c>
      <c r="B45" t="s">
        <v>916</v>
      </c>
      <c r="C45" s="3" t="s">
        <v>913</v>
      </c>
      <c r="D45" s="2">
        <v>6528</v>
      </c>
      <c r="E45" s="2">
        <v>3982.08</v>
      </c>
    </row>
    <row r="46" spans="1:5">
      <c r="A46">
        <v>45</v>
      </c>
      <c r="B46" t="s">
        <v>917</v>
      </c>
      <c r="C46" s="3" t="s">
        <v>913</v>
      </c>
      <c r="D46" s="2">
        <v>6665</v>
      </c>
      <c r="E46" s="2">
        <v>4165.62</v>
      </c>
    </row>
    <row r="47" spans="1:5">
      <c r="A47">
        <v>46</v>
      </c>
      <c r="B47" t="s">
        <v>918</v>
      </c>
      <c r="C47" s="3" t="s">
        <v>919</v>
      </c>
      <c r="D47" s="2">
        <v>6802</v>
      </c>
      <c r="E47" s="2">
        <v>4353.28</v>
      </c>
    </row>
    <row r="48" spans="1:5">
      <c r="A48">
        <v>47</v>
      </c>
      <c r="B48" t="s">
        <v>920</v>
      </c>
      <c r="C48" s="3" t="s">
        <v>919</v>
      </c>
      <c r="D48" s="2">
        <v>6939</v>
      </c>
      <c r="E48" s="2">
        <v>4545.05</v>
      </c>
    </row>
    <row r="49" spans="1:5">
      <c r="A49">
        <v>48</v>
      </c>
      <c r="B49" t="s">
        <v>921</v>
      </c>
      <c r="C49" s="3" t="s">
        <v>919</v>
      </c>
      <c r="D49" s="2">
        <v>7076</v>
      </c>
      <c r="E49" s="2">
        <v>4740.92</v>
      </c>
    </row>
    <row r="50" spans="1:5">
      <c r="A50">
        <v>49</v>
      </c>
      <c r="B50" t="s">
        <v>922</v>
      </c>
      <c r="C50" s="3" t="s">
        <v>919</v>
      </c>
      <c r="D50" s="2">
        <v>7213</v>
      </c>
      <c r="E50" s="2">
        <v>4940.91</v>
      </c>
    </row>
    <row r="51" spans="1:5">
      <c r="A51">
        <v>50</v>
      </c>
      <c r="B51" t="s">
        <v>923</v>
      </c>
      <c r="C51" s="3" t="s">
        <v>919</v>
      </c>
      <c r="D51" s="2">
        <v>7350</v>
      </c>
      <c r="E51" s="2">
        <v>4042.5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9FBA-E350-4A33-8F68-6B1C5CA99D66}">
  <dimension ref="A1:E501"/>
  <sheetViews>
    <sheetView workbookViewId="0">
      <selection activeCell="E22" sqref="E22"/>
    </sheetView>
  </sheetViews>
  <sheetFormatPr defaultRowHeight="15"/>
  <cols>
    <col min="1" max="1" width="11.140625" bestFit="1" customWidth="1"/>
    <col min="2" max="2" width="14.5703125" bestFit="1" customWidth="1"/>
    <col min="3" max="3" width="16.85546875" customWidth="1"/>
    <col min="4" max="4" width="14.85546875" bestFit="1" customWidth="1"/>
    <col min="5" max="5" width="15.140625" customWidth="1"/>
  </cols>
  <sheetData>
    <row r="1" spans="1:5">
      <c r="A1" t="s">
        <v>924</v>
      </c>
      <c r="B1" t="s">
        <v>0</v>
      </c>
      <c r="C1" s="1" t="s">
        <v>925</v>
      </c>
      <c r="D1" s="3" t="s">
        <v>926</v>
      </c>
      <c r="E1" t="s">
        <v>927</v>
      </c>
    </row>
    <row r="2" spans="1:5">
      <c r="A2">
        <v>101</v>
      </c>
      <c r="B2">
        <v>1</v>
      </c>
      <c r="C2" s="1">
        <v>45658</v>
      </c>
      <c r="D2" s="3" t="s">
        <v>928</v>
      </c>
      <c r="E2" t="str">
        <f>TEXT(Table3[[#This Row],[order_date]],"mmm-yyyy")</f>
        <v>Jan-2025</v>
      </c>
    </row>
    <row r="3" spans="1:5">
      <c r="A3">
        <v>102</v>
      </c>
      <c r="B3">
        <v>38</v>
      </c>
      <c r="C3" s="1">
        <v>45661</v>
      </c>
      <c r="D3" s="3" t="s">
        <v>928</v>
      </c>
      <c r="E3" t="str">
        <f>TEXT(Table3[[#This Row],[order_date]],"mmm-yyyy")</f>
        <v>Jan-2025</v>
      </c>
    </row>
    <row r="4" spans="1:5">
      <c r="A4">
        <v>103</v>
      </c>
      <c r="B4">
        <v>75</v>
      </c>
      <c r="C4" s="1">
        <v>45664</v>
      </c>
      <c r="D4" s="3" t="s">
        <v>929</v>
      </c>
      <c r="E4" t="str">
        <f>TEXT(Table3[[#This Row],[order_date]],"mmm-yyyy")</f>
        <v>Jan-2025</v>
      </c>
    </row>
    <row r="5" spans="1:5">
      <c r="A5">
        <v>104</v>
      </c>
      <c r="B5">
        <v>112</v>
      </c>
      <c r="C5" s="1">
        <v>45667</v>
      </c>
      <c r="D5" s="3" t="s">
        <v>928</v>
      </c>
      <c r="E5" t="str">
        <f>TEXT(Table3[[#This Row],[order_date]],"mmm-yyyy")</f>
        <v>Jan-2025</v>
      </c>
    </row>
    <row r="6" spans="1:5">
      <c r="A6">
        <v>105</v>
      </c>
      <c r="B6">
        <v>149</v>
      </c>
      <c r="C6" s="1">
        <v>45670</v>
      </c>
      <c r="D6" s="3" t="s">
        <v>928</v>
      </c>
      <c r="E6" t="str">
        <f>TEXT(Table3[[#This Row],[order_date]],"mmm-yyyy")</f>
        <v>Jan-2025</v>
      </c>
    </row>
    <row r="7" spans="1:5">
      <c r="A7">
        <v>106</v>
      </c>
      <c r="B7">
        <v>186</v>
      </c>
      <c r="C7" s="1">
        <v>45673</v>
      </c>
      <c r="D7" s="3" t="s">
        <v>928</v>
      </c>
      <c r="E7" t="str">
        <f>TEXT(Table3[[#This Row],[order_date]],"mmm-yyyy")</f>
        <v>Jan-2025</v>
      </c>
    </row>
    <row r="8" spans="1:5">
      <c r="A8">
        <v>107</v>
      </c>
      <c r="B8">
        <v>223</v>
      </c>
      <c r="C8" s="1">
        <v>45676</v>
      </c>
      <c r="D8" s="3" t="s">
        <v>928</v>
      </c>
      <c r="E8" t="str">
        <f>TEXT(Table3[[#This Row],[order_date]],"mmm-yyyy")</f>
        <v>Jan-2025</v>
      </c>
    </row>
    <row r="9" spans="1:5">
      <c r="A9">
        <v>108</v>
      </c>
      <c r="B9">
        <v>260</v>
      </c>
      <c r="C9" s="1">
        <v>45679</v>
      </c>
      <c r="D9" s="3" t="s">
        <v>929</v>
      </c>
      <c r="E9" t="str">
        <f>TEXT(Table3[[#This Row],[order_date]],"mmm-yyyy")</f>
        <v>Jan-2025</v>
      </c>
    </row>
    <row r="10" spans="1:5">
      <c r="A10">
        <v>109</v>
      </c>
      <c r="B10">
        <v>297</v>
      </c>
      <c r="C10" s="1">
        <v>45682</v>
      </c>
      <c r="D10" s="3" t="s">
        <v>928</v>
      </c>
      <c r="E10" t="str">
        <f>TEXT(Table3[[#This Row],[order_date]],"mmm-yyyy")</f>
        <v>Jan-2025</v>
      </c>
    </row>
    <row r="11" spans="1:5">
      <c r="A11">
        <v>110</v>
      </c>
      <c r="B11">
        <v>334</v>
      </c>
      <c r="C11" s="1">
        <v>45685</v>
      </c>
      <c r="D11" s="3" t="s">
        <v>928</v>
      </c>
      <c r="E11" t="str">
        <f>TEXT(Table3[[#This Row],[order_date]],"mmm-yyyy")</f>
        <v>Jan-2025</v>
      </c>
    </row>
    <row r="12" spans="1:5">
      <c r="A12">
        <v>111</v>
      </c>
      <c r="B12">
        <v>371</v>
      </c>
      <c r="C12" s="1">
        <v>45688</v>
      </c>
      <c r="D12" s="3" t="s">
        <v>928</v>
      </c>
      <c r="E12" t="str">
        <f>TEXT(Table3[[#This Row],[order_date]],"mmm-yyyy")</f>
        <v>Jan-2025</v>
      </c>
    </row>
    <row r="13" spans="1:5">
      <c r="A13">
        <v>112</v>
      </c>
      <c r="B13">
        <v>408</v>
      </c>
      <c r="C13" s="1">
        <v>45691</v>
      </c>
      <c r="D13" s="3" t="s">
        <v>928</v>
      </c>
      <c r="E13" t="str">
        <f>TEXT(Table3[[#This Row],[order_date]],"mmm-yyyy")</f>
        <v>Feb-2025</v>
      </c>
    </row>
    <row r="14" spans="1:5">
      <c r="A14">
        <v>113</v>
      </c>
      <c r="B14">
        <v>445</v>
      </c>
      <c r="C14" s="1">
        <v>45694</v>
      </c>
      <c r="D14" s="3" t="s">
        <v>928</v>
      </c>
      <c r="E14" t="str">
        <f>TEXT(Table3[[#This Row],[order_date]],"mmm-yyyy")</f>
        <v>Feb-2025</v>
      </c>
    </row>
    <row r="15" spans="1:5">
      <c r="A15">
        <v>114</v>
      </c>
      <c r="B15">
        <v>482</v>
      </c>
      <c r="C15" s="1">
        <v>45697</v>
      </c>
      <c r="D15" s="3" t="s">
        <v>929</v>
      </c>
      <c r="E15" t="str">
        <f>TEXT(Table3[[#This Row],[order_date]],"mmm-yyyy")</f>
        <v>Feb-2025</v>
      </c>
    </row>
    <row r="16" spans="1:5">
      <c r="A16">
        <v>115</v>
      </c>
      <c r="B16">
        <v>19</v>
      </c>
      <c r="C16" s="1">
        <v>45700</v>
      </c>
      <c r="D16" s="3" t="s">
        <v>928</v>
      </c>
      <c r="E16" t="str">
        <f>TEXT(Table3[[#This Row],[order_date]],"mmm-yyyy")</f>
        <v>Feb-2025</v>
      </c>
    </row>
    <row r="17" spans="1:5">
      <c r="A17">
        <v>116</v>
      </c>
      <c r="B17">
        <v>56</v>
      </c>
      <c r="C17" s="1">
        <v>45703</v>
      </c>
      <c r="D17" s="3" t="s">
        <v>928</v>
      </c>
      <c r="E17" t="str">
        <f>TEXT(Table3[[#This Row],[order_date]],"mmm-yyyy")</f>
        <v>Feb-2025</v>
      </c>
    </row>
    <row r="18" spans="1:5">
      <c r="A18">
        <v>117</v>
      </c>
      <c r="B18">
        <v>93</v>
      </c>
      <c r="C18" s="1">
        <v>45706</v>
      </c>
      <c r="D18" s="3" t="s">
        <v>930</v>
      </c>
      <c r="E18" t="str">
        <f>TEXT(Table3[[#This Row],[order_date]],"mmm-yyyy")</f>
        <v>Feb-2025</v>
      </c>
    </row>
    <row r="19" spans="1:5">
      <c r="A19">
        <v>118</v>
      </c>
      <c r="B19">
        <v>130</v>
      </c>
      <c r="C19" s="1">
        <v>45709</v>
      </c>
      <c r="D19" s="3" t="s">
        <v>928</v>
      </c>
      <c r="E19" t="str">
        <f>TEXT(Table3[[#This Row],[order_date]],"mmm-yyyy")</f>
        <v>Feb-2025</v>
      </c>
    </row>
    <row r="20" spans="1:5">
      <c r="A20">
        <v>119</v>
      </c>
      <c r="B20">
        <v>167</v>
      </c>
      <c r="C20" s="1">
        <v>45712</v>
      </c>
      <c r="D20" s="3" t="s">
        <v>930</v>
      </c>
      <c r="E20" t="str">
        <f>TEXT(Table3[[#This Row],[order_date]],"mmm-yyyy")</f>
        <v>Feb-2025</v>
      </c>
    </row>
    <row r="21" spans="1:5">
      <c r="A21">
        <v>120</v>
      </c>
      <c r="B21">
        <v>204</v>
      </c>
      <c r="C21" s="1">
        <v>45715</v>
      </c>
      <c r="D21" s="3" t="s">
        <v>928</v>
      </c>
      <c r="E21" t="str">
        <f>TEXT(Table3[[#This Row],[order_date]],"mmm-yyyy")</f>
        <v>Feb-2025</v>
      </c>
    </row>
    <row r="22" spans="1:5">
      <c r="A22">
        <v>121</v>
      </c>
      <c r="B22">
        <v>241</v>
      </c>
      <c r="C22" s="1">
        <v>45718</v>
      </c>
      <c r="D22" s="3" t="s">
        <v>929</v>
      </c>
      <c r="E22" t="str">
        <f>TEXT(Table3[[#This Row],[order_date]],"mmm-yyyy")</f>
        <v>Mar-2025</v>
      </c>
    </row>
    <row r="23" spans="1:5">
      <c r="A23">
        <v>122</v>
      </c>
      <c r="B23">
        <v>278</v>
      </c>
      <c r="C23" s="1">
        <v>45721</v>
      </c>
      <c r="D23" s="3" t="s">
        <v>928</v>
      </c>
      <c r="E23" t="str">
        <f>TEXT(Table3[[#This Row],[order_date]],"mmm-yyyy")</f>
        <v>Mar-2025</v>
      </c>
    </row>
    <row r="24" spans="1:5">
      <c r="A24">
        <v>123</v>
      </c>
      <c r="B24">
        <v>315</v>
      </c>
      <c r="C24" s="1">
        <v>45724</v>
      </c>
      <c r="D24" s="3" t="s">
        <v>928</v>
      </c>
      <c r="E24" t="str">
        <f>TEXT(Table3[[#This Row],[order_date]],"mmm-yyyy")</f>
        <v>Mar-2025</v>
      </c>
    </row>
    <row r="25" spans="1:5">
      <c r="A25">
        <v>124</v>
      </c>
      <c r="B25">
        <v>352</v>
      </c>
      <c r="C25" s="1">
        <v>45727</v>
      </c>
      <c r="D25" s="3" t="s">
        <v>930</v>
      </c>
      <c r="E25" t="str">
        <f>TEXT(Table3[[#This Row],[order_date]],"mmm-yyyy")</f>
        <v>Mar-2025</v>
      </c>
    </row>
    <row r="26" spans="1:5">
      <c r="A26">
        <v>125</v>
      </c>
      <c r="B26">
        <v>389</v>
      </c>
      <c r="C26" s="1">
        <v>45730</v>
      </c>
      <c r="D26" s="3" t="s">
        <v>928</v>
      </c>
      <c r="E26" t="str">
        <f>TEXT(Table3[[#This Row],[order_date]],"mmm-yyyy")</f>
        <v>Mar-2025</v>
      </c>
    </row>
    <row r="27" spans="1:5">
      <c r="A27">
        <v>126</v>
      </c>
      <c r="B27">
        <v>426</v>
      </c>
      <c r="C27" s="1">
        <v>45733</v>
      </c>
      <c r="D27" s="3" t="s">
        <v>928</v>
      </c>
      <c r="E27" t="str">
        <f>TEXT(Table3[[#This Row],[order_date]],"mmm-yyyy")</f>
        <v>Mar-2025</v>
      </c>
    </row>
    <row r="28" spans="1:5">
      <c r="A28">
        <v>127</v>
      </c>
      <c r="B28">
        <v>463</v>
      </c>
      <c r="C28" s="1">
        <v>45736</v>
      </c>
      <c r="D28" s="3" t="s">
        <v>928</v>
      </c>
      <c r="E28" t="str">
        <f>TEXT(Table3[[#This Row],[order_date]],"mmm-yyyy")</f>
        <v>Mar-2025</v>
      </c>
    </row>
    <row r="29" spans="1:5">
      <c r="A29">
        <v>128</v>
      </c>
      <c r="B29">
        <v>500</v>
      </c>
      <c r="C29" s="1">
        <v>45739</v>
      </c>
      <c r="D29" s="3" t="s">
        <v>930</v>
      </c>
      <c r="E29" t="str">
        <f>TEXT(Table3[[#This Row],[order_date]],"mmm-yyyy")</f>
        <v>Mar-2025</v>
      </c>
    </row>
    <row r="30" spans="1:5">
      <c r="A30">
        <v>129</v>
      </c>
      <c r="B30">
        <v>37</v>
      </c>
      <c r="C30" s="1">
        <v>45742</v>
      </c>
      <c r="D30" s="3" t="s">
        <v>930</v>
      </c>
      <c r="E30" t="str">
        <f>TEXT(Table3[[#This Row],[order_date]],"mmm-yyyy")</f>
        <v>Mar-2025</v>
      </c>
    </row>
    <row r="31" spans="1:5">
      <c r="A31">
        <v>130</v>
      </c>
      <c r="B31">
        <v>74</v>
      </c>
      <c r="C31" s="1">
        <v>45745</v>
      </c>
      <c r="D31" s="3" t="s">
        <v>928</v>
      </c>
      <c r="E31" t="str">
        <f>TEXT(Table3[[#This Row],[order_date]],"mmm-yyyy")</f>
        <v>Mar-2025</v>
      </c>
    </row>
    <row r="32" spans="1:5">
      <c r="A32">
        <v>131</v>
      </c>
      <c r="B32">
        <v>111</v>
      </c>
      <c r="C32" s="1">
        <v>45748</v>
      </c>
      <c r="D32" s="3" t="s">
        <v>928</v>
      </c>
      <c r="E32" t="str">
        <f>TEXT(Table3[[#This Row],[order_date]],"mmm-yyyy")</f>
        <v>Apr-2025</v>
      </c>
    </row>
    <row r="33" spans="1:5">
      <c r="A33">
        <v>132</v>
      </c>
      <c r="B33">
        <v>148</v>
      </c>
      <c r="C33" s="1">
        <v>45751</v>
      </c>
      <c r="D33" s="3" t="s">
        <v>928</v>
      </c>
      <c r="E33" t="str">
        <f>TEXT(Table3[[#This Row],[order_date]],"mmm-yyyy")</f>
        <v>Apr-2025</v>
      </c>
    </row>
    <row r="34" spans="1:5">
      <c r="A34">
        <v>133</v>
      </c>
      <c r="B34">
        <v>185</v>
      </c>
      <c r="C34" s="1">
        <v>45754</v>
      </c>
      <c r="D34" s="3" t="s">
        <v>928</v>
      </c>
      <c r="E34" t="str">
        <f>TEXT(Table3[[#This Row],[order_date]],"mmm-yyyy")</f>
        <v>Apr-2025</v>
      </c>
    </row>
    <row r="35" spans="1:5">
      <c r="A35">
        <v>134</v>
      </c>
      <c r="B35">
        <v>222</v>
      </c>
      <c r="C35" s="1">
        <v>45757</v>
      </c>
      <c r="D35" s="3" t="s">
        <v>928</v>
      </c>
      <c r="E35" t="str">
        <f>TEXT(Table3[[#This Row],[order_date]],"mmm-yyyy")</f>
        <v>Apr-2025</v>
      </c>
    </row>
    <row r="36" spans="1:5">
      <c r="A36">
        <v>135</v>
      </c>
      <c r="B36">
        <v>259</v>
      </c>
      <c r="C36" s="1">
        <v>45760</v>
      </c>
      <c r="D36" s="3" t="s">
        <v>928</v>
      </c>
      <c r="E36" t="str">
        <f>TEXT(Table3[[#This Row],[order_date]],"mmm-yyyy")</f>
        <v>Apr-2025</v>
      </c>
    </row>
    <row r="37" spans="1:5">
      <c r="A37">
        <v>136</v>
      </c>
      <c r="B37">
        <v>296</v>
      </c>
      <c r="C37" s="1">
        <v>45763</v>
      </c>
      <c r="D37" s="3" t="s">
        <v>930</v>
      </c>
      <c r="E37" t="str">
        <f>TEXT(Table3[[#This Row],[order_date]],"mmm-yyyy")</f>
        <v>Apr-2025</v>
      </c>
    </row>
    <row r="38" spans="1:5">
      <c r="A38">
        <v>137</v>
      </c>
      <c r="B38">
        <v>333</v>
      </c>
      <c r="C38" s="1">
        <v>45766</v>
      </c>
      <c r="D38" s="3" t="s">
        <v>928</v>
      </c>
      <c r="E38" t="str">
        <f>TEXT(Table3[[#This Row],[order_date]],"mmm-yyyy")</f>
        <v>Apr-2025</v>
      </c>
    </row>
    <row r="39" spans="1:5">
      <c r="A39">
        <v>138</v>
      </c>
      <c r="B39">
        <v>370</v>
      </c>
      <c r="C39" s="1">
        <v>45769</v>
      </c>
      <c r="D39" s="3" t="s">
        <v>928</v>
      </c>
      <c r="E39" t="str">
        <f>TEXT(Table3[[#This Row],[order_date]],"mmm-yyyy")</f>
        <v>Apr-2025</v>
      </c>
    </row>
    <row r="40" spans="1:5">
      <c r="A40">
        <v>139</v>
      </c>
      <c r="B40">
        <v>407</v>
      </c>
      <c r="C40" s="1">
        <v>45772</v>
      </c>
      <c r="D40" s="3" t="s">
        <v>928</v>
      </c>
      <c r="E40" t="str">
        <f>TEXT(Table3[[#This Row],[order_date]],"mmm-yyyy")</f>
        <v>Apr-2025</v>
      </c>
    </row>
    <row r="41" spans="1:5">
      <c r="A41">
        <v>140</v>
      </c>
      <c r="B41">
        <v>444</v>
      </c>
      <c r="C41" s="1">
        <v>45775</v>
      </c>
      <c r="D41" s="3" t="s">
        <v>928</v>
      </c>
      <c r="E41" t="str">
        <f>TEXT(Table3[[#This Row],[order_date]],"mmm-yyyy")</f>
        <v>Apr-2025</v>
      </c>
    </row>
    <row r="42" spans="1:5">
      <c r="A42">
        <v>141</v>
      </c>
      <c r="B42">
        <v>481</v>
      </c>
      <c r="C42" s="1">
        <v>45778</v>
      </c>
      <c r="D42" s="3" t="s">
        <v>930</v>
      </c>
      <c r="E42" t="str">
        <f>TEXT(Table3[[#This Row],[order_date]],"mmm-yyyy")</f>
        <v>May-2025</v>
      </c>
    </row>
    <row r="43" spans="1:5">
      <c r="A43">
        <v>142</v>
      </c>
      <c r="B43">
        <v>18</v>
      </c>
      <c r="C43" s="1">
        <v>45781</v>
      </c>
      <c r="D43" s="3" t="s">
        <v>928</v>
      </c>
      <c r="E43" t="str">
        <f>TEXT(Table3[[#This Row],[order_date]],"mmm-yyyy")</f>
        <v>May-2025</v>
      </c>
    </row>
    <row r="44" spans="1:5">
      <c r="A44">
        <v>143</v>
      </c>
      <c r="B44">
        <v>55</v>
      </c>
      <c r="C44" s="1">
        <v>45784</v>
      </c>
      <c r="D44" s="3" t="s">
        <v>931</v>
      </c>
      <c r="E44" t="str">
        <f>TEXT(Table3[[#This Row],[order_date]],"mmm-yyyy")</f>
        <v>May-2025</v>
      </c>
    </row>
    <row r="45" spans="1:5">
      <c r="A45">
        <v>144</v>
      </c>
      <c r="B45">
        <v>92</v>
      </c>
      <c r="C45" s="1">
        <v>45787</v>
      </c>
      <c r="D45" s="3" t="s">
        <v>928</v>
      </c>
      <c r="E45" t="str">
        <f>TEXT(Table3[[#This Row],[order_date]],"mmm-yyyy")</f>
        <v>May-2025</v>
      </c>
    </row>
    <row r="46" spans="1:5">
      <c r="A46">
        <v>145</v>
      </c>
      <c r="B46">
        <v>129</v>
      </c>
      <c r="C46" s="1">
        <v>45790</v>
      </c>
      <c r="D46" s="3" t="s">
        <v>928</v>
      </c>
      <c r="E46" t="str">
        <f>TEXT(Table3[[#This Row],[order_date]],"mmm-yyyy")</f>
        <v>May-2025</v>
      </c>
    </row>
    <row r="47" spans="1:5">
      <c r="A47">
        <v>146</v>
      </c>
      <c r="B47">
        <v>166</v>
      </c>
      <c r="C47" s="1">
        <v>45793</v>
      </c>
      <c r="D47" s="3" t="s">
        <v>928</v>
      </c>
      <c r="E47" t="str">
        <f>TEXT(Table3[[#This Row],[order_date]],"mmm-yyyy")</f>
        <v>May-2025</v>
      </c>
    </row>
    <row r="48" spans="1:5">
      <c r="A48">
        <v>147</v>
      </c>
      <c r="B48">
        <v>203</v>
      </c>
      <c r="C48" s="1">
        <v>45796</v>
      </c>
      <c r="D48" s="3" t="s">
        <v>930</v>
      </c>
      <c r="E48" t="str">
        <f>TEXT(Table3[[#This Row],[order_date]],"mmm-yyyy")</f>
        <v>May-2025</v>
      </c>
    </row>
    <row r="49" spans="1:5">
      <c r="A49">
        <v>148</v>
      </c>
      <c r="B49">
        <v>240</v>
      </c>
      <c r="C49" s="1">
        <v>45799</v>
      </c>
      <c r="D49" s="3" t="s">
        <v>928</v>
      </c>
      <c r="E49" t="str">
        <f>TEXT(Table3[[#This Row],[order_date]],"mmm-yyyy")</f>
        <v>May-2025</v>
      </c>
    </row>
    <row r="50" spans="1:5">
      <c r="A50">
        <v>149</v>
      </c>
      <c r="B50">
        <v>277</v>
      </c>
      <c r="C50" s="1">
        <v>45802</v>
      </c>
      <c r="D50" s="3" t="s">
        <v>930</v>
      </c>
      <c r="E50" t="str">
        <f>TEXT(Table3[[#This Row],[order_date]],"mmm-yyyy")</f>
        <v>May-2025</v>
      </c>
    </row>
    <row r="51" spans="1:5">
      <c r="A51">
        <v>150</v>
      </c>
      <c r="B51">
        <v>314</v>
      </c>
      <c r="C51" s="1">
        <v>45805</v>
      </c>
      <c r="D51" s="3" t="s">
        <v>930</v>
      </c>
      <c r="E51" t="str">
        <f>TEXT(Table3[[#This Row],[order_date]],"mmm-yyyy")</f>
        <v>May-2025</v>
      </c>
    </row>
    <row r="52" spans="1:5">
      <c r="A52">
        <v>151</v>
      </c>
      <c r="B52">
        <v>351</v>
      </c>
      <c r="C52" s="1">
        <v>45808</v>
      </c>
      <c r="D52" s="3" t="s">
        <v>928</v>
      </c>
      <c r="E52" t="str">
        <f>TEXT(Table3[[#This Row],[order_date]],"mmm-yyyy")</f>
        <v>May-2025</v>
      </c>
    </row>
    <row r="53" spans="1:5">
      <c r="A53">
        <v>152</v>
      </c>
      <c r="B53">
        <v>388</v>
      </c>
      <c r="C53" s="1">
        <v>45811</v>
      </c>
      <c r="D53" s="3" t="s">
        <v>928</v>
      </c>
      <c r="E53" t="str">
        <f>TEXT(Table3[[#This Row],[order_date]],"mmm-yyyy")</f>
        <v>Jun-2025</v>
      </c>
    </row>
    <row r="54" spans="1:5">
      <c r="A54">
        <v>153</v>
      </c>
      <c r="B54">
        <v>425</v>
      </c>
      <c r="C54" s="1">
        <v>45814</v>
      </c>
      <c r="D54" s="3" t="s">
        <v>928</v>
      </c>
      <c r="E54" t="str">
        <f>TEXT(Table3[[#This Row],[order_date]],"mmm-yyyy")</f>
        <v>Jun-2025</v>
      </c>
    </row>
    <row r="55" spans="1:5">
      <c r="A55">
        <v>154</v>
      </c>
      <c r="B55">
        <v>462</v>
      </c>
      <c r="C55" s="1">
        <v>45817</v>
      </c>
      <c r="D55" s="3" t="s">
        <v>928</v>
      </c>
      <c r="E55" t="str">
        <f>TEXT(Table3[[#This Row],[order_date]],"mmm-yyyy")</f>
        <v>Jun-2025</v>
      </c>
    </row>
    <row r="56" spans="1:5">
      <c r="A56">
        <v>155</v>
      </c>
      <c r="B56">
        <v>499</v>
      </c>
      <c r="C56" s="1">
        <v>45820</v>
      </c>
      <c r="D56" s="3" t="s">
        <v>931</v>
      </c>
      <c r="E56" t="str">
        <f>TEXT(Table3[[#This Row],[order_date]],"mmm-yyyy")</f>
        <v>Jun-2025</v>
      </c>
    </row>
    <row r="57" spans="1:5">
      <c r="A57">
        <v>156</v>
      </c>
      <c r="B57">
        <v>36</v>
      </c>
      <c r="C57" s="1">
        <v>45823</v>
      </c>
      <c r="D57" s="3" t="s">
        <v>928</v>
      </c>
      <c r="E57" t="str">
        <f>TEXT(Table3[[#This Row],[order_date]],"mmm-yyyy")</f>
        <v>Jun-2025</v>
      </c>
    </row>
    <row r="58" spans="1:5">
      <c r="A58">
        <v>157</v>
      </c>
      <c r="B58">
        <v>73</v>
      </c>
      <c r="C58" s="1">
        <v>45826</v>
      </c>
      <c r="D58" s="3" t="s">
        <v>930</v>
      </c>
      <c r="E58" t="str">
        <f>TEXT(Table3[[#This Row],[order_date]],"mmm-yyyy")</f>
        <v>Jun-2025</v>
      </c>
    </row>
    <row r="59" spans="1:5">
      <c r="A59">
        <v>158</v>
      </c>
      <c r="B59">
        <v>110</v>
      </c>
      <c r="C59" s="1">
        <v>45829</v>
      </c>
      <c r="D59" s="3" t="s">
        <v>928</v>
      </c>
      <c r="E59" t="str">
        <f>TEXT(Table3[[#This Row],[order_date]],"mmm-yyyy")</f>
        <v>Jun-2025</v>
      </c>
    </row>
    <row r="60" spans="1:5">
      <c r="A60">
        <v>159</v>
      </c>
      <c r="B60">
        <v>147</v>
      </c>
      <c r="C60" s="1">
        <v>45832</v>
      </c>
      <c r="D60" s="3" t="s">
        <v>929</v>
      </c>
      <c r="E60" t="str">
        <f>TEXT(Table3[[#This Row],[order_date]],"mmm-yyyy")</f>
        <v>Jun-2025</v>
      </c>
    </row>
    <row r="61" spans="1:5">
      <c r="A61">
        <v>160</v>
      </c>
      <c r="B61">
        <v>184</v>
      </c>
      <c r="C61" s="1">
        <v>45835</v>
      </c>
      <c r="D61" s="3" t="s">
        <v>930</v>
      </c>
      <c r="E61" t="str">
        <f>TEXT(Table3[[#This Row],[order_date]],"mmm-yyyy")</f>
        <v>Jun-2025</v>
      </c>
    </row>
    <row r="62" spans="1:5">
      <c r="A62">
        <v>161</v>
      </c>
      <c r="B62">
        <v>221</v>
      </c>
      <c r="C62" s="1">
        <v>45838</v>
      </c>
      <c r="D62" s="3" t="s">
        <v>928</v>
      </c>
      <c r="E62" t="str">
        <f>TEXT(Table3[[#This Row],[order_date]],"mmm-yyyy")</f>
        <v>Jun-2025</v>
      </c>
    </row>
    <row r="63" spans="1:5">
      <c r="A63">
        <v>162</v>
      </c>
      <c r="B63">
        <v>258</v>
      </c>
      <c r="C63" s="1">
        <v>45841</v>
      </c>
      <c r="D63" s="3" t="s">
        <v>928</v>
      </c>
      <c r="E63" t="str">
        <f>TEXT(Table3[[#This Row],[order_date]],"mmm-yyyy")</f>
        <v>Jul-2025</v>
      </c>
    </row>
    <row r="64" spans="1:5">
      <c r="A64">
        <v>163</v>
      </c>
      <c r="B64">
        <v>295</v>
      </c>
      <c r="C64" s="1">
        <v>45844</v>
      </c>
      <c r="D64" s="3" t="s">
        <v>929</v>
      </c>
      <c r="E64" t="str">
        <f>TEXT(Table3[[#This Row],[order_date]],"mmm-yyyy")</f>
        <v>Jul-2025</v>
      </c>
    </row>
    <row r="65" spans="1:5">
      <c r="A65">
        <v>164</v>
      </c>
      <c r="B65">
        <v>332</v>
      </c>
      <c r="C65" s="1">
        <v>45847</v>
      </c>
      <c r="D65" s="3" t="s">
        <v>928</v>
      </c>
      <c r="E65" t="str">
        <f>TEXT(Table3[[#This Row],[order_date]],"mmm-yyyy")</f>
        <v>Jul-2025</v>
      </c>
    </row>
    <row r="66" spans="1:5">
      <c r="A66">
        <v>165</v>
      </c>
      <c r="B66">
        <v>369</v>
      </c>
      <c r="C66" s="1">
        <v>45850</v>
      </c>
      <c r="D66" s="3" t="s">
        <v>931</v>
      </c>
      <c r="E66" t="str">
        <f>TEXT(Table3[[#This Row],[order_date]],"mmm-yyyy")</f>
        <v>Jul-2025</v>
      </c>
    </row>
    <row r="67" spans="1:5">
      <c r="A67">
        <v>166</v>
      </c>
      <c r="B67">
        <v>406</v>
      </c>
      <c r="C67" s="1">
        <v>45853</v>
      </c>
      <c r="D67" s="3" t="s">
        <v>928</v>
      </c>
      <c r="E67" t="str">
        <f>TEXT(Table3[[#This Row],[order_date]],"mmm-yyyy")</f>
        <v>Jul-2025</v>
      </c>
    </row>
    <row r="68" spans="1:5">
      <c r="A68">
        <v>167</v>
      </c>
      <c r="B68">
        <v>443</v>
      </c>
      <c r="C68" s="1">
        <v>45856</v>
      </c>
      <c r="D68" s="3" t="s">
        <v>930</v>
      </c>
      <c r="E68" t="str">
        <f>TEXT(Table3[[#This Row],[order_date]],"mmm-yyyy")</f>
        <v>Jul-2025</v>
      </c>
    </row>
    <row r="69" spans="1:5">
      <c r="A69">
        <v>168</v>
      </c>
      <c r="B69">
        <v>480</v>
      </c>
      <c r="C69" s="1">
        <v>45859</v>
      </c>
      <c r="D69" s="3" t="s">
        <v>928</v>
      </c>
      <c r="E69" t="str">
        <f>TEXT(Table3[[#This Row],[order_date]],"mmm-yyyy")</f>
        <v>Jul-2025</v>
      </c>
    </row>
    <row r="70" spans="1:5">
      <c r="A70">
        <v>169</v>
      </c>
      <c r="B70">
        <v>17</v>
      </c>
      <c r="C70" s="1">
        <v>45862</v>
      </c>
      <c r="D70" s="3" t="s">
        <v>928</v>
      </c>
      <c r="E70" t="str">
        <f>TEXT(Table3[[#This Row],[order_date]],"mmm-yyyy")</f>
        <v>Jul-2025</v>
      </c>
    </row>
    <row r="71" spans="1:5">
      <c r="A71">
        <v>170</v>
      </c>
      <c r="B71">
        <v>54</v>
      </c>
      <c r="C71" s="1">
        <v>45865</v>
      </c>
      <c r="D71" s="3" t="s">
        <v>928</v>
      </c>
      <c r="E71" t="str">
        <f>TEXT(Table3[[#This Row],[order_date]],"mmm-yyyy")</f>
        <v>Jul-2025</v>
      </c>
    </row>
    <row r="72" spans="1:5">
      <c r="A72">
        <v>171</v>
      </c>
      <c r="B72">
        <v>91</v>
      </c>
      <c r="C72" s="1">
        <v>45868</v>
      </c>
      <c r="D72" s="3" t="s">
        <v>928</v>
      </c>
      <c r="E72" t="str">
        <f>TEXT(Table3[[#This Row],[order_date]],"mmm-yyyy")</f>
        <v>Jul-2025</v>
      </c>
    </row>
    <row r="73" spans="1:5">
      <c r="A73">
        <v>172</v>
      </c>
      <c r="B73">
        <v>128</v>
      </c>
      <c r="C73" s="1">
        <v>45871</v>
      </c>
      <c r="D73" s="3" t="s">
        <v>931</v>
      </c>
      <c r="E73" t="str">
        <f>TEXT(Table3[[#This Row],[order_date]],"mmm-yyyy")</f>
        <v>Aug-2025</v>
      </c>
    </row>
    <row r="74" spans="1:5">
      <c r="A74">
        <v>173</v>
      </c>
      <c r="B74">
        <v>165</v>
      </c>
      <c r="C74" s="1">
        <v>45874</v>
      </c>
      <c r="D74" s="3" t="s">
        <v>931</v>
      </c>
      <c r="E74" t="str">
        <f>TEXT(Table3[[#This Row],[order_date]],"mmm-yyyy")</f>
        <v>Aug-2025</v>
      </c>
    </row>
    <row r="75" spans="1:5">
      <c r="A75">
        <v>174</v>
      </c>
      <c r="B75">
        <v>202</v>
      </c>
      <c r="C75" s="1">
        <v>45877</v>
      </c>
      <c r="D75" s="3" t="s">
        <v>928</v>
      </c>
      <c r="E75" t="str">
        <f>TEXT(Table3[[#This Row],[order_date]],"mmm-yyyy")</f>
        <v>Aug-2025</v>
      </c>
    </row>
    <row r="76" spans="1:5">
      <c r="A76">
        <v>175</v>
      </c>
      <c r="B76">
        <v>239</v>
      </c>
      <c r="C76" s="1">
        <v>45880</v>
      </c>
      <c r="D76" s="3" t="s">
        <v>928</v>
      </c>
      <c r="E76" t="str">
        <f>TEXT(Table3[[#This Row],[order_date]],"mmm-yyyy")</f>
        <v>Aug-2025</v>
      </c>
    </row>
    <row r="77" spans="1:5">
      <c r="A77">
        <v>176</v>
      </c>
      <c r="B77">
        <v>276</v>
      </c>
      <c r="C77" s="1">
        <v>45883</v>
      </c>
      <c r="D77" s="3" t="s">
        <v>928</v>
      </c>
      <c r="E77" t="str">
        <f>TEXT(Table3[[#This Row],[order_date]],"mmm-yyyy")</f>
        <v>Aug-2025</v>
      </c>
    </row>
    <row r="78" spans="1:5">
      <c r="A78">
        <v>177</v>
      </c>
      <c r="B78">
        <v>313</v>
      </c>
      <c r="C78" s="1">
        <v>45886</v>
      </c>
      <c r="D78" s="3" t="s">
        <v>928</v>
      </c>
      <c r="E78" t="str">
        <f>TEXT(Table3[[#This Row],[order_date]],"mmm-yyyy")</f>
        <v>Aug-2025</v>
      </c>
    </row>
    <row r="79" spans="1:5">
      <c r="A79">
        <v>178</v>
      </c>
      <c r="B79">
        <v>350</v>
      </c>
      <c r="C79" s="1">
        <v>45889</v>
      </c>
      <c r="D79" s="3" t="s">
        <v>928</v>
      </c>
      <c r="E79" t="str">
        <f>TEXT(Table3[[#This Row],[order_date]],"mmm-yyyy")</f>
        <v>Aug-2025</v>
      </c>
    </row>
    <row r="80" spans="1:5">
      <c r="A80">
        <v>179</v>
      </c>
      <c r="B80">
        <v>387</v>
      </c>
      <c r="C80" s="1">
        <v>45892</v>
      </c>
      <c r="D80" s="3" t="s">
        <v>928</v>
      </c>
      <c r="E80" t="str">
        <f>TEXT(Table3[[#This Row],[order_date]],"mmm-yyyy")</f>
        <v>Aug-2025</v>
      </c>
    </row>
    <row r="81" spans="1:5">
      <c r="A81">
        <v>180</v>
      </c>
      <c r="B81">
        <v>424</v>
      </c>
      <c r="C81" s="1">
        <v>45895</v>
      </c>
      <c r="D81" s="3" t="s">
        <v>928</v>
      </c>
      <c r="E81" t="str">
        <f>TEXT(Table3[[#This Row],[order_date]],"mmm-yyyy")</f>
        <v>Aug-2025</v>
      </c>
    </row>
    <row r="82" spans="1:5">
      <c r="A82">
        <v>181</v>
      </c>
      <c r="B82">
        <v>461</v>
      </c>
      <c r="C82" s="1">
        <v>45898</v>
      </c>
      <c r="D82" s="3" t="s">
        <v>930</v>
      </c>
      <c r="E82" t="str">
        <f>TEXT(Table3[[#This Row],[order_date]],"mmm-yyyy")</f>
        <v>Aug-2025</v>
      </c>
    </row>
    <row r="83" spans="1:5">
      <c r="A83">
        <v>182</v>
      </c>
      <c r="B83">
        <v>498</v>
      </c>
      <c r="C83" s="1">
        <v>45901</v>
      </c>
      <c r="D83" s="3" t="s">
        <v>928</v>
      </c>
      <c r="E83" t="str">
        <f>TEXT(Table3[[#This Row],[order_date]],"mmm-yyyy")</f>
        <v>Sep-2025</v>
      </c>
    </row>
    <row r="84" spans="1:5">
      <c r="A84">
        <v>183</v>
      </c>
      <c r="B84">
        <v>35</v>
      </c>
      <c r="C84" s="1">
        <v>45904</v>
      </c>
      <c r="D84" s="3" t="s">
        <v>928</v>
      </c>
      <c r="E84" t="str">
        <f>TEXT(Table3[[#This Row],[order_date]],"mmm-yyyy")</f>
        <v>Sep-2025</v>
      </c>
    </row>
    <row r="85" spans="1:5">
      <c r="A85">
        <v>184</v>
      </c>
      <c r="B85">
        <v>72</v>
      </c>
      <c r="C85" s="1">
        <v>45907</v>
      </c>
      <c r="D85" s="3" t="s">
        <v>928</v>
      </c>
      <c r="E85" t="str">
        <f>TEXT(Table3[[#This Row],[order_date]],"mmm-yyyy")</f>
        <v>Sep-2025</v>
      </c>
    </row>
    <row r="86" spans="1:5">
      <c r="A86">
        <v>185</v>
      </c>
      <c r="B86">
        <v>109</v>
      </c>
      <c r="C86" s="1">
        <v>45910</v>
      </c>
      <c r="D86" s="3" t="s">
        <v>928</v>
      </c>
      <c r="E86" t="str">
        <f>TEXT(Table3[[#This Row],[order_date]],"mmm-yyyy")</f>
        <v>Sep-2025</v>
      </c>
    </row>
    <row r="87" spans="1:5">
      <c r="A87">
        <v>186</v>
      </c>
      <c r="B87">
        <v>146</v>
      </c>
      <c r="C87" s="1">
        <v>45913</v>
      </c>
      <c r="D87" s="3" t="s">
        <v>928</v>
      </c>
      <c r="E87" t="str">
        <f>TEXT(Table3[[#This Row],[order_date]],"mmm-yyyy")</f>
        <v>Sep-2025</v>
      </c>
    </row>
    <row r="88" spans="1:5">
      <c r="A88">
        <v>187</v>
      </c>
      <c r="B88">
        <v>183</v>
      </c>
      <c r="C88" s="1">
        <v>45916</v>
      </c>
      <c r="D88" s="3" t="s">
        <v>928</v>
      </c>
      <c r="E88" t="str">
        <f>TEXT(Table3[[#This Row],[order_date]],"mmm-yyyy")</f>
        <v>Sep-2025</v>
      </c>
    </row>
    <row r="89" spans="1:5">
      <c r="A89">
        <v>188</v>
      </c>
      <c r="B89">
        <v>220</v>
      </c>
      <c r="C89" s="1">
        <v>45919</v>
      </c>
      <c r="D89" s="3" t="s">
        <v>928</v>
      </c>
      <c r="E89" t="str">
        <f>TEXT(Table3[[#This Row],[order_date]],"mmm-yyyy")</f>
        <v>Sep-2025</v>
      </c>
    </row>
    <row r="90" spans="1:5">
      <c r="A90">
        <v>189</v>
      </c>
      <c r="B90">
        <v>257</v>
      </c>
      <c r="C90" s="1">
        <v>45922</v>
      </c>
      <c r="D90" s="3" t="s">
        <v>928</v>
      </c>
      <c r="E90" t="str">
        <f>TEXT(Table3[[#This Row],[order_date]],"mmm-yyyy")</f>
        <v>Sep-2025</v>
      </c>
    </row>
    <row r="91" spans="1:5">
      <c r="A91">
        <v>190</v>
      </c>
      <c r="B91">
        <v>294</v>
      </c>
      <c r="C91" s="1">
        <v>45925</v>
      </c>
      <c r="D91" s="3" t="s">
        <v>928</v>
      </c>
      <c r="E91" t="str">
        <f>TEXT(Table3[[#This Row],[order_date]],"mmm-yyyy")</f>
        <v>Sep-2025</v>
      </c>
    </row>
    <row r="92" spans="1:5">
      <c r="A92">
        <v>191</v>
      </c>
      <c r="B92">
        <v>331</v>
      </c>
      <c r="C92" s="1">
        <v>45928</v>
      </c>
      <c r="D92" s="3" t="s">
        <v>928</v>
      </c>
      <c r="E92" t="str">
        <f>TEXT(Table3[[#This Row],[order_date]],"mmm-yyyy")</f>
        <v>Sep-2025</v>
      </c>
    </row>
    <row r="93" spans="1:5">
      <c r="A93">
        <v>192</v>
      </c>
      <c r="B93">
        <v>368</v>
      </c>
      <c r="C93" s="1">
        <v>45931</v>
      </c>
      <c r="D93" s="3" t="s">
        <v>928</v>
      </c>
      <c r="E93" t="str">
        <f>TEXT(Table3[[#This Row],[order_date]],"mmm-yyyy")</f>
        <v>Oct-2025</v>
      </c>
    </row>
    <row r="94" spans="1:5">
      <c r="A94">
        <v>193</v>
      </c>
      <c r="B94">
        <v>405</v>
      </c>
      <c r="C94" s="1">
        <v>45934</v>
      </c>
      <c r="D94" s="3" t="s">
        <v>928</v>
      </c>
      <c r="E94" t="str">
        <f>TEXT(Table3[[#This Row],[order_date]],"mmm-yyyy")</f>
        <v>Oct-2025</v>
      </c>
    </row>
    <row r="95" spans="1:5">
      <c r="A95">
        <v>194</v>
      </c>
      <c r="B95">
        <v>442</v>
      </c>
      <c r="C95" s="1">
        <v>45937</v>
      </c>
      <c r="D95" s="3" t="s">
        <v>928</v>
      </c>
      <c r="E95" t="str">
        <f>TEXT(Table3[[#This Row],[order_date]],"mmm-yyyy")</f>
        <v>Oct-2025</v>
      </c>
    </row>
    <row r="96" spans="1:5">
      <c r="A96">
        <v>195</v>
      </c>
      <c r="B96">
        <v>479</v>
      </c>
      <c r="C96" s="1">
        <v>45940</v>
      </c>
      <c r="D96" s="3" t="s">
        <v>928</v>
      </c>
      <c r="E96" t="str">
        <f>TEXT(Table3[[#This Row],[order_date]],"mmm-yyyy")</f>
        <v>Oct-2025</v>
      </c>
    </row>
    <row r="97" spans="1:5">
      <c r="A97">
        <v>196</v>
      </c>
      <c r="B97">
        <v>16</v>
      </c>
      <c r="C97" s="1">
        <v>45943</v>
      </c>
      <c r="D97" s="3" t="s">
        <v>928</v>
      </c>
      <c r="E97" t="str">
        <f>TEXT(Table3[[#This Row],[order_date]],"mmm-yyyy")</f>
        <v>Oct-2025</v>
      </c>
    </row>
    <row r="98" spans="1:5">
      <c r="A98">
        <v>197</v>
      </c>
      <c r="B98">
        <v>53</v>
      </c>
      <c r="C98" s="1">
        <v>45946</v>
      </c>
      <c r="D98" s="3" t="s">
        <v>931</v>
      </c>
      <c r="E98" t="str">
        <f>TEXT(Table3[[#This Row],[order_date]],"mmm-yyyy")</f>
        <v>Oct-2025</v>
      </c>
    </row>
    <row r="99" spans="1:5">
      <c r="A99">
        <v>198</v>
      </c>
      <c r="B99">
        <v>90</v>
      </c>
      <c r="C99" s="1">
        <v>45949</v>
      </c>
      <c r="D99" s="3" t="s">
        <v>930</v>
      </c>
      <c r="E99" t="str">
        <f>TEXT(Table3[[#This Row],[order_date]],"mmm-yyyy")</f>
        <v>Oct-2025</v>
      </c>
    </row>
    <row r="100" spans="1:5">
      <c r="A100">
        <v>199</v>
      </c>
      <c r="B100">
        <v>127</v>
      </c>
      <c r="C100" s="1">
        <v>45952</v>
      </c>
      <c r="D100" s="3" t="s">
        <v>931</v>
      </c>
      <c r="E100" t="str">
        <f>TEXT(Table3[[#This Row],[order_date]],"mmm-yyyy")</f>
        <v>Oct-2025</v>
      </c>
    </row>
    <row r="101" spans="1:5">
      <c r="A101">
        <v>200</v>
      </c>
      <c r="B101">
        <v>164</v>
      </c>
      <c r="C101" s="1">
        <v>45955</v>
      </c>
      <c r="D101" s="3" t="s">
        <v>931</v>
      </c>
      <c r="E101" t="str">
        <f>TEXT(Table3[[#This Row],[order_date]],"mmm-yyyy")</f>
        <v>Oct-2025</v>
      </c>
    </row>
    <row r="102" spans="1:5">
      <c r="A102">
        <v>201</v>
      </c>
      <c r="B102">
        <v>201</v>
      </c>
      <c r="C102" s="1">
        <v>45958</v>
      </c>
      <c r="D102" s="3" t="s">
        <v>931</v>
      </c>
      <c r="E102" t="str">
        <f>TEXT(Table3[[#This Row],[order_date]],"mmm-yyyy")</f>
        <v>Oct-2025</v>
      </c>
    </row>
    <row r="103" spans="1:5">
      <c r="A103">
        <v>202</v>
      </c>
      <c r="B103">
        <v>238</v>
      </c>
      <c r="C103" s="1">
        <v>45961</v>
      </c>
      <c r="D103" s="3" t="s">
        <v>931</v>
      </c>
      <c r="E103" t="str">
        <f>TEXT(Table3[[#This Row],[order_date]],"mmm-yyyy")</f>
        <v>Oct-2025</v>
      </c>
    </row>
    <row r="104" spans="1:5">
      <c r="A104">
        <v>203</v>
      </c>
      <c r="B104">
        <v>275</v>
      </c>
      <c r="C104" s="1">
        <v>45964</v>
      </c>
      <c r="D104" s="3" t="s">
        <v>928</v>
      </c>
      <c r="E104" t="str">
        <f>TEXT(Table3[[#This Row],[order_date]],"mmm-yyyy")</f>
        <v>Nov-2025</v>
      </c>
    </row>
    <row r="105" spans="1:5">
      <c r="A105">
        <v>204</v>
      </c>
      <c r="B105">
        <v>312</v>
      </c>
      <c r="C105" s="1">
        <v>45967</v>
      </c>
      <c r="D105" s="3" t="s">
        <v>929</v>
      </c>
      <c r="E105" t="str">
        <f>TEXT(Table3[[#This Row],[order_date]],"mmm-yyyy")</f>
        <v>Nov-2025</v>
      </c>
    </row>
    <row r="106" spans="1:5">
      <c r="A106">
        <v>205</v>
      </c>
      <c r="B106">
        <v>349</v>
      </c>
      <c r="C106" s="1">
        <v>45970</v>
      </c>
      <c r="D106" s="3" t="s">
        <v>928</v>
      </c>
      <c r="E106" t="str">
        <f>TEXT(Table3[[#This Row],[order_date]],"mmm-yyyy")</f>
        <v>Nov-2025</v>
      </c>
    </row>
    <row r="107" spans="1:5">
      <c r="A107">
        <v>206</v>
      </c>
      <c r="B107">
        <v>386</v>
      </c>
      <c r="C107" s="1">
        <v>45973</v>
      </c>
      <c r="D107" s="3" t="s">
        <v>928</v>
      </c>
      <c r="E107" t="str">
        <f>TEXT(Table3[[#This Row],[order_date]],"mmm-yyyy")</f>
        <v>Nov-2025</v>
      </c>
    </row>
    <row r="108" spans="1:5">
      <c r="A108">
        <v>207</v>
      </c>
      <c r="B108">
        <v>423</v>
      </c>
      <c r="C108" s="1">
        <v>45976</v>
      </c>
      <c r="D108" s="3" t="s">
        <v>928</v>
      </c>
      <c r="E108" t="str">
        <f>TEXT(Table3[[#This Row],[order_date]],"mmm-yyyy")</f>
        <v>Nov-2025</v>
      </c>
    </row>
    <row r="109" spans="1:5">
      <c r="A109">
        <v>208</v>
      </c>
      <c r="B109">
        <v>460</v>
      </c>
      <c r="C109" s="1">
        <v>45979</v>
      </c>
      <c r="D109" s="3" t="s">
        <v>930</v>
      </c>
      <c r="E109" t="str">
        <f>TEXT(Table3[[#This Row],[order_date]],"mmm-yyyy")</f>
        <v>Nov-2025</v>
      </c>
    </row>
    <row r="110" spans="1:5">
      <c r="A110">
        <v>209</v>
      </c>
      <c r="B110">
        <v>497</v>
      </c>
      <c r="C110" s="1">
        <v>45982</v>
      </c>
      <c r="D110" s="3" t="s">
        <v>928</v>
      </c>
      <c r="E110" t="str">
        <f>TEXT(Table3[[#This Row],[order_date]],"mmm-yyyy")</f>
        <v>Nov-2025</v>
      </c>
    </row>
    <row r="111" spans="1:5">
      <c r="A111">
        <v>210</v>
      </c>
      <c r="B111">
        <v>34</v>
      </c>
      <c r="C111" s="1">
        <v>45985</v>
      </c>
      <c r="D111" s="3" t="s">
        <v>929</v>
      </c>
      <c r="E111" t="str">
        <f>TEXT(Table3[[#This Row],[order_date]],"mmm-yyyy")</f>
        <v>Nov-2025</v>
      </c>
    </row>
    <row r="112" spans="1:5">
      <c r="A112">
        <v>211</v>
      </c>
      <c r="B112">
        <v>71</v>
      </c>
      <c r="C112" s="1">
        <v>45988</v>
      </c>
      <c r="D112" s="3" t="s">
        <v>928</v>
      </c>
      <c r="E112" t="str">
        <f>TEXT(Table3[[#This Row],[order_date]],"mmm-yyyy")</f>
        <v>Nov-2025</v>
      </c>
    </row>
    <row r="113" spans="1:5">
      <c r="A113">
        <v>212</v>
      </c>
      <c r="B113">
        <v>108</v>
      </c>
      <c r="C113" s="1">
        <v>45991</v>
      </c>
      <c r="D113" s="3" t="s">
        <v>930</v>
      </c>
      <c r="E113" t="str">
        <f>TEXT(Table3[[#This Row],[order_date]],"mmm-yyyy")</f>
        <v>Nov-2025</v>
      </c>
    </row>
    <row r="114" spans="1:5">
      <c r="A114">
        <v>213</v>
      </c>
      <c r="B114">
        <v>145</v>
      </c>
      <c r="C114" s="1">
        <v>45994</v>
      </c>
      <c r="D114" s="3" t="s">
        <v>928</v>
      </c>
      <c r="E114" t="str">
        <f>TEXT(Table3[[#This Row],[order_date]],"mmm-yyyy")</f>
        <v>Dec-2025</v>
      </c>
    </row>
    <row r="115" spans="1:5">
      <c r="A115">
        <v>214</v>
      </c>
      <c r="B115">
        <v>182</v>
      </c>
      <c r="C115" s="1">
        <v>45997</v>
      </c>
      <c r="D115" s="3" t="s">
        <v>928</v>
      </c>
      <c r="E115" t="str">
        <f>TEXT(Table3[[#This Row],[order_date]],"mmm-yyyy")</f>
        <v>Dec-2025</v>
      </c>
    </row>
    <row r="116" spans="1:5">
      <c r="A116">
        <v>215</v>
      </c>
      <c r="B116">
        <v>219</v>
      </c>
      <c r="C116" s="1">
        <v>46000</v>
      </c>
      <c r="D116" s="3" t="s">
        <v>931</v>
      </c>
      <c r="E116" t="str">
        <f>TEXT(Table3[[#This Row],[order_date]],"mmm-yyyy")</f>
        <v>Dec-2025</v>
      </c>
    </row>
    <row r="117" spans="1:5">
      <c r="A117">
        <v>216</v>
      </c>
      <c r="B117">
        <v>256</v>
      </c>
      <c r="C117" s="1">
        <v>46003</v>
      </c>
      <c r="D117" s="3" t="s">
        <v>928</v>
      </c>
      <c r="E117" t="str">
        <f>TEXT(Table3[[#This Row],[order_date]],"mmm-yyyy")</f>
        <v>Dec-2025</v>
      </c>
    </row>
    <row r="118" spans="1:5">
      <c r="A118">
        <v>217</v>
      </c>
      <c r="B118">
        <v>293</v>
      </c>
      <c r="C118" s="1">
        <v>46006</v>
      </c>
      <c r="D118" s="3" t="s">
        <v>928</v>
      </c>
      <c r="E118" t="str">
        <f>TEXT(Table3[[#This Row],[order_date]],"mmm-yyyy")</f>
        <v>Dec-2025</v>
      </c>
    </row>
    <row r="119" spans="1:5">
      <c r="A119">
        <v>218</v>
      </c>
      <c r="B119">
        <v>330</v>
      </c>
      <c r="C119" s="1">
        <v>46009</v>
      </c>
      <c r="D119" s="3" t="s">
        <v>928</v>
      </c>
      <c r="E119" t="str">
        <f>TEXT(Table3[[#This Row],[order_date]],"mmm-yyyy")</f>
        <v>Dec-2025</v>
      </c>
    </row>
    <row r="120" spans="1:5">
      <c r="A120">
        <v>219</v>
      </c>
      <c r="B120">
        <v>367</v>
      </c>
      <c r="C120" s="1">
        <v>46012</v>
      </c>
      <c r="D120" s="3" t="s">
        <v>928</v>
      </c>
      <c r="E120" t="str">
        <f>TEXT(Table3[[#This Row],[order_date]],"mmm-yyyy")</f>
        <v>Dec-2025</v>
      </c>
    </row>
    <row r="121" spans="1:5">
      <c r="A121">
        <v>220</v>
      </c>
      <c r="B121">
        <v>404</v>
      </c>
      <c r="C121" s="1">
        <v>46015</v>
      </c>
      <c r="D121" s="3" t="s">
        <v>928</v>
      </c>
      <c r="E121" t="str">
        <f>TEXT(Table3[[#This Row],[order_date]],"mmm-yyyy")</f>
        <v>Dec-2025</v>
      </c>
    </row>
    <row r="122" spans="1:5">
      <c r="A122">
        <v>221</v>
      </c>
      <c r="B122">
        <v>441</v>
      </c>
      <c r="C122" s="1">
        <v>46018</v>
      </c>
      <c r="D122" s="3" t="s">
        <v>928</v>
      </c>
      <c r="E122" t="str">
        <f>TEXT(Table3[[#This Row],[order_date]],"mmm-yyyy")</f>
        <v>Dec-2025</v>
      </c>
    </row>
    <row r="123" spans="1:5">
      <c r="A123">
        <v>222</v>
      </c>
      <c r="B123">
        <v>478</v>
      </c>
      <c r="C123" s="1">
        <v>46021</v>
      </c>
      <c r="D123" s="3" t="s">
        <v>928</v>
      </c>
      <c r="E123" t="str">
        <f>TEXT(Table3[[#This Row],[order_date]],"mmm-yyyy")</f>
        <v>Dec-2025</v>
      </c>
    </row>
    <row r="124" spans="1:5">
      <c r="A124">
        <v>223</v>
      </c>
      <c r="B124">
        <v>15</v>
      </c>
      <c r="C124" s="1">
        <v>45659</v>
      </c>
      <c r="D124" s="3" t="s">
        <v>928</v>
      </c>
      <c r="E124" t="str">
        <f>TEXT(Table3[[#This Row],[order_date]],"mmm-yyyy")</f>
        <v>Jan-2025</v>
      </c>
    </row>
    <row r="125" spans="1:5">
      <c r="A125">
        <v>224</v>
      </c>
      <c r="B125">
        <v>52</v>
      </c>
      <c r="C125" s="1">
        <v>45662</v>
      </c>
      <c r="D125" s="3" t="s">
        <v>928</v>
      </c>
      <c r="E125" t="str">
        <f>TEXT(Table3[[#This Row],[order_date]],"mmm-yyyy")</f>
        <v>Jan-2025</v>
      </c>
    </row>
    <row r="126" spans="1:5">
      <c r="A126">
        <v>225</v>
      </c>
      <c r="B126">
        <v>89</v>
      </c>
      <c r="C126" s="1">
        <v>45665</v>
      </c>
      <c r="D126" s="3" t="s">
        <v>930</v>
      </c>
      <c r="E126" t="str">
        <f>TEXT(Table3[[#This Row],[order_date]],"mmm-yyyy")</f>
        <v>Jan-2025</v>
      </c>
    </row>
    <row r="127" spans="1:5">
      <c r="A127">
        <v>226</v>
      </c>
      <c r="B127">
        <v>126</v>
      </c>
      <c r="C127" s="1">
        <v>45668</v>
      </c>
      <c r="D127" s="3" t="s">
        <v>929</v>
      </c>
      <c r="E127" t="str">
        <f>TEXT(Table3[[#This Row],[order_date]],"mmm-yyyy")</f>
        <v>Jan-2025</v>
      </c>
    </row>
    <row r="128" spans="1:5">
      <c r="A128">
        <v>227</v>
      </c>
      <c r="B128">
        <v>163</v>
      </c>
      <c r="C128" s="1">
        <v>45671</v>
      </c>
      <c r="D128" s="3" t="s">
        <v>931</v>
      </c>
      <c r="E128" t="str">
        <f>TEXT(Table3[[#This Row],[order_date]],"mmm-yyyy")</f>
        <v>Jan-2025</v>
      </c>
    </row>
    <row r="129" spans="1:5">
      <c r="A129">
        <v>228</v>
      </c>
      <c r="B129">
        <v>200</v>
      </c>
      <c r="C129" s="1">
        <v>45674</v>
      </c>
      <c r="D129" s="3" t="s">
        <v>929</v>
      </c>
      <c r="E129" t="str">
        <f>TEXT(Table3[[#This Row],[order_date]],"mmm-yyyy")</f>
        <v>Jan-2025</v>
      </c>
    </row>
    <row r="130" spans="1:5">
      <c r="A130">
        <v>229</v>
      </c>
      <c r="B130">
        <v>237</v>
      </c>
      <c r="C130" s="1">
        <v>45677</v>
      </c>
      <c r="D130" s="3" t="s">
        <v>931</v>
      </c>
      <c r="E130" t="str">
        <f>TEXT(Table3[[#This Row],[order_date]],"mmm-yyyy")</f>
        <v>Jan-2025</v>
      </c>
    </row>
    <row r="131" spans="1:5">
      <c r="A131">
        <v>230</v>
      </c>
      <c r="B131">
        <v>274</v>
      </c>
      <c r="C131" s="1">
        <v>45680</v>
      </c>
      <c r="D131" s="3" t="s">
        <v>928</v>
      </c>
      <c r="E131" t="str">
        <f>TEXT(Table3[[#This Row],[order_date]],"mmm-yyyy")</f>
        <v>Jan-2025</v>
      </c>
    </row>
    <row r="132" spans="1:5">
      <c r="A132">
        <v>231</v>
      </c>
      <c r="B132">
        <v>311</v>
      </c>
      <c r="C132" s="1">
        <v>45683</v>
      </c>
      <c r="D132" s="3" t="s">
        <v>928</v>
      </c>
      <c r="E132" t="str">
        <f>TEXT(Table3[[#This Row],[order_date]],"mmm-yyyy")</f>
        <v>Jan-2025</v>
      </c>
    </row>
    <row r="133" spans="1:5">
      <c r="A133">
        <v>232</v>
      </c>
      <c r="B133">
        <v>348</v>
      </c>
      <c r="C133" s="1">
        <v>45686</v>
      </c>
      <c r="D133" s="3" t="s">
        <v>928</v>
      </c>
      <c r="E133" t="str">
        <f>TEXT(Table3[[#This Row],[order_date]],"mmm-yyyy")</f>
        <v>Jan-2025</v>
      </c>
    </row>
    <row r="134" spans="1:5">
      <c r="A134">
        <v>233</v>
      </c>
      <c r="B134">
        <v>385</v>
      </c>
      <c r="C134" s="1">
        <v>45689</v>
      </c>
      <c r="D134" s="3" t="s">
        <v>929</v>
      </c>
      <c r="E134" t="str">
        <f>TEXT(Table3[[#This Row],[order_date]],"mmm-yyyy")</f>
        <v>Feb-2025</v>
      </c>
    </row>
    <row r="135" spans="1:5">
      <c r="A135">
        <v>234</v>
      </c>
      <c r="B135">
        <v>422</v>
      </c>
      <c r="C135" s="1">
        <v>45692</v>
      </c>
      <c r="D135" s="3" t="s">
        <v>928</v>
      </c>
      <c r="E135" t="str">
        <f>TEXT(Table3[[#This Row],[order_date]],"mmm-yyyy")</f>
        <v>Feb-2025</v>
      </c>
    </row>
    <row r="136" spans="1:5">
      <c r="A136">
        <v>235</v>
      </c>
      <c r="B136">
        <v>459</v>
      </c>
      <c r="C136" s="1">
        <v>45695</v>
      </c>
      <c r="D136" s="3" t="s">
        <v>928</v>
      </c>
      <c r="E136" t="str">
        <f>TEXT(Table3[[#This Row],[order_date]],"mmm-yyyy")</f>
        <v>Feb-2025</v>
      </c>
    </row>
    <row r="137" spans="1:5">
      <c r="A137">
        <v>236</v>
      </c>
      <c r="B137">
        <v>496</v>
      </c>
      <c r="C137" s="1">
        <v>45698</v>
      </c>
      <c r="D137" s="3" t="s">
        <v>928</v>
      </c>
      <c r="E137" t="str">
        <f>TEXT(Table3[[#This Row],[order_date]],"mmm-yyyy")</f>
        <v>Feb-2025</v>
      </c>
    </row>
    <row r="138" spans="1:5">
      <c r="A138">
        <v>237</v>
      </c>
      <c r="B138">
        <v>33</v>
      </c>
      <c r="C138" s="1">
        <v>45701</v>
      </c>
      <c r="D138" s="3" t="s">
        <v>928</v>
      </c>
      <c r="E138" t="str">
        <f>TEXT(Table3[[#This Row],[order_date]],"mmm-yyyy")</f>
        <v>Feb-2025</v>
      </c>
    </row>
    <row r="139" spans="1:5">
      <c r="A139">
        <v>238</v>
      </c>
      <c r="B139">
        <v>70</v>
      </c>
      <c r="C139" s="1">
        <v>45704</v>
      </c>
      <c r="D139" s="3" t="s">
        <v>928</v>
      </c>
      <c r="E139" t="str">
        <f>TEXT(Table3[[#This Row],[order_date]],"mmm-yyyy")</f>
        <v>Feb-2025</v>
      </c>
    </row>
    <row r="140" spans="1:5">
      <c r="A140">
        <v>239</v>
      </c>
      <c r="B140">
        <v>107</v>
      </c>
      <c r="C140" s="1">
        <v>45707</v>
      </c>
      <c r="D140" s="3" t="s">
        <v>931</v>
      </c>
      <c r="E140" t="str">
        <f>TEXT(Table3[[#This Row],[order_date]],"mmm-yyyy")</f>
        <v>Feb-2025</v>
      </c>
    </row>
    <row r="141" spans="1:5">
      <c r="A141">
        <v>240</v>
      </c>
      <c r="B141">
        <v>144</v>
      </c>
      <c r="C141" s="1">
        <v>45710</v>
      </c>
      <c r="D141" s="3" t="s">
        <v>930</v>
      </c>
      <c r="E141" t="str">
        <f>TEXT(Table3[[#This Row],[order_date]],"mmm-yyyy")</f>
        <v>Feb-2025</v>
      </c>
    </row>
    <row r="142" spans="1:5">
      <c r="A142">
        <v>241</v>
      </c>
      <c r="B142">
        <v>181</v>
      </c>
      <c r="C142" s="1">
        <v>45713</v>
      </c>
      <c r="D142" s="3" t="s">
        <v>928</v>
      </c>
      <c r="E142" t="str">
        <f>TEXT(Table3[[#This Row],[order_date]],"mmm-yyyy")</f>
        <v>Feb-2025</v>
      </c>
    </row>
    <row r="143" spans="1:5">
      <c r="A143">
        <v>242</v>
      </c>
      <c r="B143">
        <v>218</v>
      </c>
      <c r="C143" s="1">
        <v>45716</v>
      </c>
      <c r="D143" s="3" t="s">
        <v>931</v>
      </c>
      <c r="E143" t="str">
        <f>TEXT(Table3[[#This Row],[order_date]],"mmm-yyyy")</f>
        <v>Feb-2025</v>
      </c>
    </row>
    <row r="144" spans="1:5">
      <c r="A144">
        <v>243</v>
      </c>
      <c r="B144">
        <v>255</v>
      </c>
      <c r="C144" s="1">
        <v>45719</v>
      </c>
      <c r="D144" s="3" t="s">
        <v>928</v>
      </c>
      <c r="E144" t="str">
        <f>TEXT(Table3[[#This Row],[order_date]],"mmm-yyyy")</f>
        <v>Mar-2025</v>
      </c>
    </row>
    <row r="145" spans="1:5">
      <c r="A145">
        <v>244</v>
      </c>
      <c r="B145">
        <v>292</v>
      </c>
      <c r="C145" s="1">
        <v>45722</v>
      </c>
      <c r="D145" s="3" t="s">
        <v>931</v>
      </c>
      <c r="E145" t="str">
        <f>TEXT(Table3[[#This Row],[order_date]],"mmm-yyyy")</f>
        <v>Mar-2025</v>
      </c>
    </row>
    <row r="146" spans="1:5">
      <c r="A146">
        <v>245</v>
      </c>
      <c r="B146">
        <v>329</v>
      </c>
      <c r="C146" s="1">
        <v>45725</v>
      </c>
      <c r="D146" s="3" t="s">
        <v>928</v>
      </c>
      <c r="E146" t="str">
        <f>TEXT(Table3[[#This Row],[order_date]],"mmm-yyyy")</f>
        <v>Mar-2025</v>
      </c>
    </row>
    <row r="147" spans="1:5">
      <c r="A147">
        <v>246</v>
      </c>
      <c r="B147">
        <v>366</v>
      </c>
      <c r="C147" s="1">
        <v>45728</v>
      </c>
      <c r="D147" s="3" t="s">
        <v>928</v>
      </c>
      <c r="E147" t="str">
        <f>TEXT(Table3[[#This Row],[order_date]],"mmm-yyyy")</f>
        <v>Mar-2025</v>
      </c>
    </row>
    <row r="148" spans="1:5">
      <c r="A148">
        <v>247</v>
      </c>
      <c r="B148">
        <v>403</v>
      </c>
      <c r="C148" s="1">
        <v>45731</v>
      </c>
      <c r="D148" s="3" t="s">
        <v>928</v>
      </c>
      <c r="E148" t="str">
        <f>TEXT(Table3[[#This Row],[order_date]],"mmm-yyyy")</f>
        <v>Mar-2025</v>
      </c>
    </row>
    <row r="149" spans="1:5">
      <c r="A149">
        <v>248</v>
      </c>
      <c r="B149">
        <v>440</v>
      </c>
      <c r="C149" s="1">
        <v>45734</v>
      </c>
      <c r="D149" s="3" t="s">
        <v>931</v>
      </c>
      <c r="E149" t="str">
        <f>TEXT(Table3[[#This Row],[order_date]],"mmm-yyyy")</f>
        <v>Mar-2025</v>
      </c>
    </row>
    <row r="150" spans="1:5">
      <c r="A150">
        <v>249</v>
      </c>
      <c r="B150">
        <v>477</v>
      </c>
      <c r="C150" s="1">
        <v>45737</v>
      </c>
      <c r="D150" s="3" t="s">
        <v>928</v>
      </c>
      <c r="E150" t="str">
        <f>TEXT(Table3[[#This Row],[order_date]],"mmm-yyyy")</f>
        <v>Mar-2025</v>
      </c>
    </row>
    <row r="151" spans="1:5">
      <c r="A151">
        <v>250</v>
      </c>
      <c r="B151">
        <v>14</v>
      </c>
      <c r="C151" s="1">
        <v>45740</v>
      </c>
      <c r="D151" s="3" t="s">
        <v>928</v>
      </c>
      <c r="E151" t="str">
        <f>TEXT(Table3[[#This Row],[order_date]],"mmm-yyyy")</f>
        <v>Mar-2025</v>
      </c>
    </row>
    <row r="152" spans="1:5">
      <c r="A152">
        <v>251</v>
      </c>
      <c r="B152">
        <v>51</v>
      </c>
      <c r="C152" s="1">
        <v>45743</v>
      </c>
      <c r="D152" s="3" t="s">
        <v>928</v>
      </c>
      <c r="E152" t="str">
        <f>TEXT(Table3[[#This Row],[order_date]],"mmm-yyyy")</f>
        <v>Mar-2025</v>
      </c>
    </row>
    <row r="153" spans="1:5">
      <c r="A153">
        <v>252</v>
      </c>
      <c r="B153">
        <v>88</v>
      </c>
      <c r="C153" s="1">
        <v>45746</v>
      </c>
      <c r="D153" s="3" t="s">
        <v>930</v>
      </c>
      <c r="E153" t="str">
        <f>TEXT(Table3[[#This Row],[order_date]],"mmm-yyyy")</f>
        <v>Mar-2025</v>
      </c>
    </row>
    <row r="154" spans="1:5">
      <c r="A154">
        <v>253</v>
      </c>
      <c r="B154">
        <v>125</v>
      </c>
      <c r="C154" s="1">
        <v>45749</v>
      </c>
      <c r="D154" s="3" t="s">
        <v>928</v>
      </c>
      <c r="E154" t="str">
        <f>TEXT(Table3[[#This Row],[order_date]],"mmm-yyyy")</f>
        <v>Apr-2025</v>
      </c>
    </row>
    <row r="155" spans="1:5">
      <c r="A155">
        <v>254</v>
      </c>
      <c r="B155">
        <v>162</v>
      </c>
      <c r="C155" s="1">
        <v>45752</v>
      </c>
      <c r="D155" s="3" t="s">
        <v>928</v>
      </c>
      <c r="E155" t="str">
        <f>TEXT(Table3[[#This Row],[order_date]],"mmm-yyyy")</f>
        <v>Apr-2025</v>
      </c>
    </row>
    <row r="156" spans="1:5">
      <c r="A156">
        <v>255</v>
      </c>
      <c r="B156">
        <v>199</v>
      </c>
      <c r="C156" s="1">
        <v>45755</v>
      </c>
      <c r="D156" s="3" t="s">
        <v>928</v>
      </c>
      <c r="E156" t="str">
        <f>TEXT(Table3[[#This Row],[order_date]],"mmm-yyyy")</f>
        <v>Apr-2025</v>
      </c>
    </row>
    <row r="157" spans="1:5">
      <c r="A157">
        <v>256</v>
      </c>
      <c r="B157">
        <v>236</v>
      </c>
      <c r="C157" s="1">
        <v>45758</v>
      </c>
      <c r="D157" s="3" t="s">
        <v>929</v>
      </c>
      <c r="E157" t="str">
        <f>TEXT(Table3[[#This Row],[order_date]],"mmm-yyyy")</f>
        <v>Apr-2025</v>
      </c>
    </row>
    <row r="158" spans="1:5">
      <c r="A158">
        <v>257</v>
      </c>
      <c r="B158">
        <v>273</v>
      </c>
      <c r="C158" s="1">
        <v>45761</v>
      </c>
      <c r="D158" s="3" t="s">
        <v>928</v>
      </c>
      <c r="E158" t="str">
        <f>TEXT(Table3[[#This Row],[order_date]],"mmm-yyyy")</f>
        <v>Apr-2025</v>
      </c>
    </row>
    <row r="159" spans="1:5">
      <c r="A159">
        <v>258</v>
      </c>
      <c r="B159">
        <v>310</v>
      </c>
      <c r="C159" s="1">
        <v>45764</v>
      </c>
      <c r="D159" s="3" t="s">
        <v>928</v>
      </c>
      <c r="E159" t="str">
        <f>TEXT(Table3[[#This Row],[order_date]],"mmm-yyyy")</f>
        <v>Apr-2025</v>
      </c>
    </row>
    <row r="160" spans="1:5">
      <c r="A160">
        <v>259</v>
      </c>
      <c r="B160">
        <v>347</v>
      </c>
      <c r="C160" s="1">
        <v>45767</v>
      </c>
      <c r="D160" s="3" t="s">
        <v>928</v>
      </c>
      <c r="E160" t="str">
        <f>TEXT(Table3[[#This Row],[order_date]],"mmm-yyyy")</f>
        <v>Apr-2025</v>
      </c>
    </row>
    <row r="161" spans="1:5">
      <c r="A161">
        <v>260</v>
      </c>
      <c r="B161">
        <v>384</v>
      </c>
      <c r="C161" s="1">
        <v>45770</v>
      </c>
      <c r="D161" s="3" t="s">
        <v>928</v>
      </c>
      <c r="E161" t="str">
        <f>TEXT(Table3[[#This Row],[order_date]],"mmm-yyyy")</f>
        <v>Apr-2025</v>
      </c>
    </row>
    <row r="162" spans="1:5">
      <c r="A162">
        <v>261</v>
      </c>
      <c r="B162">
        <v>421</v>
      </c>
      <c r="C162" s="1">
        <v>45773</v>
      </c>
      <c r="D162" s="3" t="s">
        <v>928</v>
      </c>
      <c r="E162" t="str">
        <f>TEXT(Table3[[#This Row],[order_date]],"mmm-yyyy")</f>
        <v>Apr-2025</v>
      </c>
    </row>
    <row r="163" spans="1:5">
      <c r="A163">
        <v>262</v>
      </c>
      <c r="B163">
        <v>458</v>
      </c>
      <c r="C163" s="1">
        <v>45776</v>
      </c>
      <c r="D163" s="3" t="s">
        <v>930</v>
      </c>
      <c r="E163" t="str">
        <f>TEXT(Table3[[#This Row],[order_date]],"mmm-yyyy")</f>
        <v>Apr-2025</v>
      </c>
    </row>
    <row r="164" spans="1:5">
      <c r="A164">
        <v>263</v>
      </c>
      <c r="B164">
        <v>495</v>
      </c>
      <c r="C164" s="1">
        <v>45779</v>
      </c>
      <c r="D164" s="3" t="s">
        <v>928</v>
      </c>
      <c r="E164" t="str">
        <f>TEXT(Table3[[#This Row],[order_date]],"mmm-yyyy")</f>
        <v>May-2025</v>
      </c>
    </row>
    <row r="165" spans="1:5">
      <c r="A165">
        <v>264</v>
      </c>
      <c r="B165">
        <v>32</v>
      </c>
      <c r="C165" s="1">
        <v>45782</v>
      </c>
      <c r="D165" s="3" t="s">
        <v>928</v>
      </c>
      <c r="E165" t="str">
        <f>TEXT(Table3[[#This Row],[order_date]],"mmm-yyyy")</f>
        <v>May-2025</v>
      </c>
    </row>
    <row r="166" spans="1:5">
      <c r="A166">
        <v>265</v>
      </c>
      <c r="B166">
        <v>69</v>
      </c>
      <c r="C166" s="1">
        <v>45785</v>
      </c>
      <c r="D166" s="3" t="s">
        <v>928</v>
      </c>
      <c r="E166" t="str">
        <f>TEXT(Table3[[#This Row],[order_date]],"mmm-yyyy")</f>
        <v>May-2025</v>
      </c>
    </row>
    <row r="167" spans="1:5">
      <c r="A167">
        <v>266</v>
      </c>
      <c r="B167">
        <v>106</v>
      </c>
      <c r="C167" s="1">
        <v>45788</v>
      </c>
      <c r="D167" s="3" t="s">
        <v>930</v>
      </c>
      <c r="E167" t="str">
        <f>TEXT(Table3[[#This Row],[order_date]],"mmm-yyyy")</f>
        <v>May-2025</v>
      </c>
    </row>
    <row r="168" spans="1:5">
      <c r="A168">
        <v>267</v>
      </c>
      <c r="B168">
        <v>143</v>
      </c>
      <c r="C168" s="1">
        <v>45791</v>
      </c>
      <c r="D168" s="3" t="s">
        <v>928</v>
      </c>
      <c r="E168" t="str">
        <f>TEXT(Table3[[#This Row],[order_date]],"mmm-yyyy")</f>
        <v>May-2025</v>
      </c>
    </row>
    <row r="169" spans="1:5">
      <c r="A169">
        <v>268</v>
      </c>
      <c r="B169">
        <v>180</v>
      </c>
      <c r="C169" s="1">
        <v>45794</v>
      </c>
      <c r="D169" s="3" t="s">
        <v>928</v>
      </c>
      <c r="E169" t="str">
        <f>TEXT(Table3[[#This Row],[order_date]],"mmm-yyyy")</f>
        <v>May-2025</v>
      </c>
    </row>
    <row r="170" spans="1:5">
      <c r="A170">
        <v>269</v>
      </c>
      <c r="B170">
        <v>217</v>
      </c>
      <c r="C170" s="1">
        <v>45797</v>
      </c>
      <c r="D170" s="3" t="s">
        <v>928</v>
      </c>
      <c r="E170" t="str">
        <f>TEXT(Table3[[#This Row],[order_date]],"mmm-yyyy")</f>
        <v>May-2025</v>
      </c>
    </row>
    <row r="171" spans="1:5">
      <c r="A171">
        <v>270</v>
      </c>
      <c r="B171">
        <v>254</v>
      </c>
      <c r="C171" s="1">
        <v>45800</v>
      </c>
      <c r="D171" s="3" t="s">
        <v>928</v>
      </c>
      <c r="E171" t="str">
        <f>TEXT(Table3[[#This Row],[order_date]],"mmm-yyyy")</f>
        <v>May-2025</v>
      </c>
    </row>
    <row r="172" spans="1:5">
      <c r="A172">
        <v>271</v>
      </c>
      <c r="B172">
        <v>291</v>
      </c>
      <c r="C172" s="1">
        <v>45803</v>
      </c>
      <c r="D172" s="3" t="s">
        <v>928</v>
      </c>
      <c r="E172" t="str">
        <f>TEXT(Table3[[#This Row],[order_date]],"mmm-yyyy")</f>
        <v>May-2025</v>
      </c>
    </row>
    <row r="173" spans="1:5">
      <c r="A173">
        <v>272</v>
      </c>
      <c r="B173">
        <v>328</v>
      </c>
      <c r="C173" s="1">
        <v>45806</v>
      </c>
      <c r="D173" s="3" t="s">
        <v>928</v>
      </c>
      <c r="E173" t="str">
        <f>TEXT(Table3[[#This Row],[order_date]],"mmm-yyyy")</f>
        <v>May-2025</v>
      </c>
    </row>
    <row r="174" spans="1:5">
      <c r="A174">
        <v>273</v>
      </c>
      <c r="B174">
        <v>365</v>
      </c>
      <c r="C174" s="1">
        <v>45809</v>
      </c>
      <c r="D174" s="3" t="s">
        <v>928</v>
      </c>
      <c r="E174" t="str">
        <f>TEXT(Table3[[#This Row],[order_date]],"mmm-yyyy")</f>
        <v>Jun-2025</v>
      </c>
    </row>
    <row r="175" spans="1:5">
      <c r="A175">
        <v>274</v>
      </c>
      <c r="B175">
        <v>402</v>
      </c>
      <c r="C175" s="1">
        <v>45812</v>
      </c>
      <c r="D175" s="3" t="s">
        <v>928</v>
      </c>
      <c r="E175" t="str">
        <f>TEXT(Table3[[#This Row],[order_date]],"mmm-yyyy")</f>
        <v>Jun-2025</v>
      </c>
    </row>
    <row r="176" spans="1:5">
      <c r="A176">
        <v>275</v>
      </c>
      <c r="B176">
        <v>439</v>
      </c>
      <c r="C176" s="1">
        <v>45815</v>
      </c>
      <c r="D176" s="3" t="s">
        <v>928</v>
      </c>
      <c r="E176" t="str">
        <f>TEXT(Table3[[#This Row],[order_date]],"mmm-yyyy")</f>
        <v>Jun-2025</v>
      </c>
    </row>
    <row r="177" spans="1:5">
      <c r="A177">
        <v>276</v>
      </c>
      <c r="B177">
        <v>476</v>
      </c>
      <c r="C177" s="1">
        <v>45818</v>
      </c>
      <c r="D177" s="3" t="s">
        <v>928</v>
      </c>
      <c r="E177" t="str">
        <f>TEXT(Table3[[#This Row],[order_date]],"mmm-yyyy")</f>
        <v>Jun-2025</v>
      </c>
    </row>
    <row r="178" spans="1:5">
      <c r="A178">
        <v>277</v>
      </c>
      <c r="B178">
        <v>13</v>
      </c>
      <c r="C178" s="1">
        <v>45821</v>
      </c>
      <c r="D178" s="3" t="s">
        <v>928</v>
      </c>
      <c r="E178" t="str">
        <f>TEXT(Table3[[#This Row],[order_date]],"mmm-yyyy")</f>
        <v>Jun-2025</v>
      </c>
    </row>
    <row r="179" spans="1:5">
      <c r="A179">
        <v>278</v>
      </c>
      <c r="B179">
        <v>50</v>
      </c>
      <c r="C179" s="1">
        <v>45824</v>
      </c>
      <c r="D179" s="3" t="s">
        <v>928</v>
      </c>
      <c r="E179" t="str">
        <f>TEXT(Table3[[#This Row],[order_date]],"mmm-yyyy")</f>
        <v>Jun-2025</v>
      </c>
    </row>
    <row r="180" spans="1:5">
      <c r="A180">
        <v>279</v>
      </c>
      <c r="B180">
        <v>87</v>
      </c>
      <c r="C180" s="1">
        <v>45827</v>
      </c>
      <c r="D180" s="3" t="s">
        <v>928</v>
      </c>
      <c r="E180" t="str">
        <f>TEXT(Table3[[#This Row],[order_date]],"mmm-yyyy")</f>
        <v>Jun-2025</v>
      </c>
    </row>
    <row r="181" spans="1:5">
      <c r="A181">
        <v>280</v>
      </c>
      <c r="B181">
        <v>124</v>
      </c>
      <c r="C181" s="1">
        <v>45830</v>
      </c>
      <c r="D181" s="3" t="s">
        <v>928</v>
      </c>
      <c r="E181" t="str">
        <f>TEXT(Table3[[#This Row],[order_date]],"mmm-yyyy")</f>
        <v>Jun-2025</v>
      </c>
    </row>
    <row r="182" spans="1:5">
      <c r="A182">
        <v>281</v>
      </c>
      <c r="B182">
        <v>161</v>
      </c>
      <c r="C182" s="1">
        <v>45833</v>
      </c>
      <c r="D182" s="3" t="s">
        <v>928</v>
      </c>
      <c r="E182" t="str">
        <f>TEXT(Table3[[#This Row],[order_date]],"mmm-yyyy")</f>
        <v>Jun-2025</v>
      </c>
    </row>
    <row r="183" spans="1:5">
      <c r="A183">
        <v>282</v>
      </c>
      <c r="B183">
        <v>198</v>
      </c>
      <c r="C183" s="1">
        <v>45836</v>
      </c>
      <c r="D183" s="3" t="s">
        <v>930</v>
      </c>
      <c r="E183" t="str">
        <f>TEXT(Table3[[#This Row],[order_date]],"mmm-yyyy")</f>
        <v>Jun-2025</v>
      </c>
    </row>
    <row r="184" spans="1:5">
      <c r="A184">
        <v>283</v>
      </c>
      <c r="B184">
        <v>235</v>
      </c>
      <c r="C184" s="1">
        <v>45839</v>
      </c>
      <c r="D184" s="3" t="s">
        <v>928</v>
      </c>
      <c r="E184" t="str">
        <f>TEXT(Table3[[#This Row],[order_date]],"mmm-yyyy")</f>
        <v>Jul-2025</v>
      </c>
    </row>
    <row r="185" spans="1:5">
      <c r="A185">
        <v>284</v>
      </c>
      <c r="B185">
        <v>272</v>
      </c>
      <c r="C185" s="1">
        <v>45842</v>
      </c>
      <c r="D185" s="3" t="s">
        <v>928</v>
      </c>
      <c r="E185" t="str">
        <f>TEXT(Table3[[#This Row],[order_date]],"mmm-yyyy")</f>
        <v>Jul-2025</v>
      </c>
    </row>
    <row r="186" spans="1:5">
      <c r="A186">
        <v>285</v>
      </c>
      <c r="B186">
        <v>309</v>
      </c>
      <c r="C186" s="1">
        <v>45845</v>
      </c>
      <c r="D186" s="3" t="s">
        <v>928</v>
      </c>
      <c r="E186" t="str">
        <f>TEXT(Table3[[#This Row],[order_date]],"mmm-yyyy")</f>
        <v>Jul-2025</v>
      </c>
    </row>
    <row r="187" spans="1:5">
      <c r="A187">
        <v>286</v>
      </c>
      <c r="B187">
        <v>346</v>
      </c>
      <c r="C187" s="1">
        <v>45848</v>
      </c>
      <c r="D187" s="3" t="s">
        <v>928</v>
      </c>
      <c r="E187" t="str">
        <f>TEXT(Table3[[#This Row],[order_date]],"mmm-yyyy")</f>
        <v>Jul-2025</v>
      </c>
    </row>
    <row r="188" spans="1:5">
      <c r="A188">
        <v>287</v>
      </c>
      <c r="B188">
        <v>383</v>
      </c>
      <c r="C188" s="1">
        <v>45851</v>
      </c>
      <c r="D188" s="3" t="s">
        <v>928</v>
      </c>
      <c r="E188" t="str">
        <f>TEXT(Table3[[#This Row],[order_date]],"mmm-yyyy")</f>
        <v>Jul-2025</v>
      </c>
    </row>
    <row r="189" spans="1:5">
      <c r="A189">
        <v>288</v>
      </c>
      <c r="B189">
        <v>420</v>
      </c>
      <c r="C189" s="1">
        <v>45854</v>
      </c>
      <c r="D189" s="3" t="s">
        <v>931</v>
      </c>
      <c r="E189" t="str">
        <f>TEXT(Table3[[#This Row],[order_date]],"mmm-yyyy")</f>
        <v>Jul-2025</v>
      </c>
    </row>
    <row r="190" spans="1:5">
      <c r="A190">
        <v>289</v>
      </c>
      <c r="B190">
        <v>457</v>
      </c>
      <c r="C190" s="1">
        <v>45857</v>
      </c>
      <c r="D190" s="3" t="s">
        <v>929</v>
      </c>
      <c r="E190" t="str">
        <f>TEXT(Table3[[#This Row],[order_date]],"mmm-yyyy")</f>
        <v>Jul-2025</v>
      </c>
    </row>
    <row r="191" spans="1:5">
      <c r="A191">
        <v>290</v>
      </c>
      <c r="B191">
        <v>494</v>
      </c>
      <c r="C191" s="1">
        <v>45860</v>
      </c>
      <c r="D191" s="3" t="s">
        <v>928</v>
      </c>
      <c r="E191" t="str">
        <f>TEXT(Table3[[#This Row],[order_date]],"mmm-yyyy")</f>
        <v>Jul-2025</v>
      </c>
    </row>
    <row r="192" spans="1:5">
      <c r="A192">
        <v>291</v>
      </c>
      <c r="B192">
        <v>31</v>
      </c>
      <c r="C192" s="1">
        <v>45863</v>
      </c>
      <c r="D192" s="3" t="s">
        <v>928</v>
      </c>
      <c r="E192" t="str">
        <f>TEXT(Table3[[#This Row],[order_date]],"mmm-yyyy")</f>
        <v>Jul-2025</v>
      </c>
    </row>
    <row r="193" spans="1:5">
      <c r="A193">
        <v>292</v>
      </c>
      <c r="B193">
        <v>68</v>
      </c>
      <c r="C193" s="1">
        <v>45866</v>
      </c>
      <c r="D193" s="3" t="s">
        <v>929</v>
      </c>
      <c r="E193" t="str">
        <f>TEXT(Table3[[#This Row],[order_date]],"mmm-yyyy")</f>
        <v>Jul-2025</v>
      </c>
    </row>
    <row r="194" spans="1:5">
      <c r="A194">
        <v>293</v>
      </c>
      <c r="B194">
        <v>105</v>
      </c>
      <c r="C194" s="1">
        <v>45869</v>
      </c>
      <c r="D194" s="3" t="s">
        <v>928</v>
      </c>
      <c r="E194" t="str">
        <f>TEXT(Table3[[#This Row],[order_date]],"mmm-yyyy")</f>
        <v>Jul-2025</v>
      </c>
    </row>
    <row r="195" spans="1:5">
      <c r="A195">
        <v>294</v>
      </c>
      <c r="B195">
        <v>142</v>
      </c>
      <c r="C195" s="1">
        <v>45872</v>
      </c>
      <c r="D195" s="3" t="s">
        <v>928</v>
      </c>
      <c r="E195" t="str">
        <f>TEXT(Table3[[#This Row],[order_date]],"mmm-yyyy")</f>
        <v>Aug-2025</v>
      </c>
    </row>
    <row r="196" spans="1:5">
      <c r="A196">
        <v>295</v>
      </c>
      <c r="B196">
        <v>179</v>
      </c>
      <c r="C196" s="1">
        <v>45875</v>
      </c>
      <c r="D196" s="3" t="s">
        <v>928</v>
      </c>
      <c r="E196" t="str">
        <f>TEXT(Table3[[#This Row],[order_date]],"mmm-yyyy")</f>
        <v>Aug-2025</v>
      </c>
    </row>
    <row r="197" spans="1:5">
      <c r="A197">
        <v>296</v>
      </c>
      <c r="B197">
        <v>216</v>
      </c>
      <c r="C197" s="1">
        <v>45878</v>
      </c>
      <c r="D197" s="3" t="s">
        <v>930</v>
      </c>
      <c r="E197" t="str">
        <f>TEXT(Table3[[#This Row],[order_date]],"mmm-yyyy")</f>
        <v>Aug-2025</v>
      </c>
    </row>
    <row r="198" spans="1:5">
      <c r="A198">
        <v>297</v>
      </c>
      <c r="B198">
        <v>253</v>
      </c>
      <c r="C198" s="1">
        <v>45881</v>
      </c>
      <c r="D198" s="3" t="s">
        <v>928</v>
      </c>
      <c r="E198" t="str">
        <f>TEXT(Table3[[#This Row],[order_date]],"mmm-yyyy")</f>
        <v>Aug-2025</v>
      </c>
    </row>
    <row r="199" spans="1:5">
      <c r="A199">
        <v>298</v>
      </c>
      <c r="B199">
        <v>290</v>
      </c>
      <c r="C199" s="1">
        <v>45884</v>
      </c>
      <c r="D199" s="3" t="s">
        <v>931</v>
      </c>
      <c r="E199" t="str">
        <f>TEXT(Table3[[#This Row],[order_date]],"mmm-yyyy")</f>
        <v>Aug-2025</v>
      </c>
    </row>
    <row r="200" spans="1:5">
      <c r="A200">
        <v>299</v>
      </c>
      <c r="B200">
        <v>327</v>
      </c>
      <c r="C200" s="1">
        <v>45887</v>
      </c>
      <c r="D200" s="3" t="s">
        <v>928</v>
      </c>
      <c r="E200" t="str">
        <f>TEXT(Table3[[#This Row],[order_date]],"mmm-yyyy")</f>
        <v>Aug-2025</v>
      </c>
    </row>
    <row r="201" spans="1:5">
      <c r="A201">
        <v>300</v>
      </c>
      <c r="B201">
        <v>364</v>
      </c>
      <c r="C201" s="1">
        <v>45890</v>
      </c>
      <c r="D201" s="3" t="s">
        <v>928</v>
      </c>
      <c r="E201" t="str">
        <f>TEXT(Table3[[#This Row],[order_date]],"mmm-yyyy")</f>
        <v>Aug-2025</v>
      </c>
    </row>
    <row r="202" spans="1:5">
      <c r="A202">
        <v>301</v>
      </c>
      <c r="B202">
        <v>401</v>
      </c>
      <c r="C202" s="1">
        <v>45893</v>
      </c>
      <c r="D202" s="3" t="s">
        <v>928</v>
      </c>
      <c r="E202" t="str">
        <f>TEXT(Table3[[#This Row],[order_date]],"mmm-yyyy")</f>
        <v>Aug-2025</v>
      </c>
    </row>
    <row r="203" spans="1:5">
      <c r="A203">
        <v>302</v>
      </c>
      <c r="B203">
        <v>438</v>
      </c>
      <c r="C203" s="1">
        <v>45896</v>
      </c>
      <c r="D203" s="3" t="s">
        <v>928</v>
      </c>
      <c r="E203" t="str">
        <f>TEXT(Table3[[#This Row],[order_date]],"mmm-yyyy")</f>
        <v>Aug-2025</v>
      </c>
    </row>
    <row r="204" spans="1:5">
      <c r="A204">
        <v>303</v>
      </c>
      <c r="B204">
        <v>475</v>
      </c>
      <c r="C204" s="1">
        <v>45899</v>
      </c>
      <c r="D204" s="3" t="s">
        <v>928</v>
      </c>
      <c r="E204" t="str">
        <f>TEXT(Table3[[#This Row],[order_date]],"mmm-yyyy")</f>
        <v>Aug-2025</v>
      </c>
    </row>
    <row r="205" spans="1:5">
      <c r="A205">
        <v>304</v>
      </c>
      <c r="B205">
        <v>12</v>
      </c>
      <c r="C205" s="1">
        <v>45902</v>
      </c>
      <c r="D205" s="3" t="s">
        <v>931</v>
      </c>
      <c r="E205" t="str">
        <f>TEXT(Table3[[#This Row],[order_date]],"mmm-yyyy")</f>
        <v>Sep-2025</v>
      </c>
    </row>
    <row r="206" spans="1:5">
      <c r="A206">
        <v>305</v>
      </c>
      <c r="B206">
        <v>49</v>
      </c>
      <c r="C206" s="1">
        <v>45905</v>
      </c>
      <c r="D206" s="3" t="s">
        <v>929</v>
      </c>
      <c r="E206" t="str">
        <f>TEXT(Table3[[#This Row],[order_date]],"mmm-yyyy")</f>
        <v>Sep-2025</v>
      </c>
    </row>
    <row r="207" spans="1:5">
      <c r="A207">
        <v>306</v>
      </c>
      <c r="B207">
        <v>86</v>
      </c>
      <c r="C207" s="1">
        <v>45908</v>
      </c>
      <c r="D207" s="3" t="s">
        <v>931</v>
      </c>
      <c r="E207" t="str">
        <f>TEXT(Table3[[#This Row],[order_date]],"mmm-yyyy")</f>
        <v>Sep-2025</v>
      </c>
    </row>
    <row r="208" spans="1:5">
      <c r="A208">
        <v>307</v>
      </c>
      <c r="B208">
        <v>123</v>
      </c>
      <c r="C208" s="1">
        <v>45911</v>
      </c>
      <c r="D208" s="3" t="s">
        <v>931</v>
      </c>
      <c r="E208" t="str">
        <f>TEXT(Table3[[#This Row],[order_date]],"mmm-yyyy")</f>
        <v>Sep-2025</v>
      </c>
    </row>
    <row r="209" spans="1:5">
      <c r="A209">
        <v>308</v>
      </c>
      <c r="B209">
        <v>160</v>
      </c>
      <c r="C209" s="1">
        <v>45914</v>
      </c>
      <c r="D209" s="3" t="s">
        <v>930</v>
      </c>
      <c r="E209" t="str">
        <f>TEXT(Table3[[#This Row],[order_date]],"mmm-yyyy")</f>
        <v>Sep-2025</v>
      </c>
    </row>
    <row r="210" spans="1:5">
      <c r="A210">
        <v>309</v>
      </c>
      <c r="B210">
        <v>197</v>
      </c>
      <c r="C210" s="1">
        <v>45917</v>
      </c>
      <c r="D210" s="3" t="s">
        <v>928</v>
      </c>
      <c r="E210" t="str">
        <f>TEXT(Table3[[#This Row],[order_date]],"mmm-yyyy")</f>
        <v>Sep-2025</v>
      </c>
    </row>
    <row r="211" spans="1:5">
      <c r="A211">
        <v>310</v>
      </c>
      <c r="B211">
        <v>234</v>
      </c>
      <c r="C211" s="1">
        <v>45920</v>
      </c>
      <c r="D211" s="3" t="s">
        <v>928</v>
      </c>
      <c r="E211" t="str">
        <f>TEXT(Table3[[#This Row],[order_date]],"mmm-yyyy")</f>
        <v>Sep-2025</v>
      </c>
    </row>
    <row r="212" spans="1:5">
      <c r="A212">
        <v>311</v>
      </c>
      <c r="B212">
        <v>271</v>
      </c>
      <c r="C212" s="1">
        <v>45923</v>
      </c>
      <c r="D212" s="3" t="s">
        <v>931</v>
      </c>
      <c r="E212" t="str">
        <f>TEXT(Table3[[#This Row],[order_date]],"mmm-yyyy")</f>
        <v>Sep-2025</v>
      </c>
    </row>
    <row r="213" spans="1:5">
      <c r="A213">
        <v>312</v>
      </c>
      <c r="B213">
        <v>308</v>
      </c>
      <c r="C213" s="1">
        <v>45926</v>
      </c>
      <c r="D213" s="3" t="s">
        <v>928</v>
      </c>
      <c r="E213" t="str">
        <f>TEXT(Table3[[#This Row],[order_date]],"mmm-yyyy")</f>
        <v>Sep-2025</v>
      </c>
    </row>
    <row r="214" spans="1:5">
      <c r="A214">
        <v>313</v>
      </c>
      <c r="B214">
        <v>345</v>
      </c>
      <c r="C214" s="1">
        <v>45929</v>
      </c>
      <c r="D214" s="3" t="s">
        <v>928</v>
      </c>
      <c r="E214" t="str">
        <f>TEXT(Table3[[#This Row],[order_date]],"mmm-yyyy")</f>
        <v>Sep-2025</v>
      </c>
    </row>
    <row r="215" spans="1:5">
      <c r="A215">
        <v>314</v>
      </c>
      <c r="B215">
        <v>382</v>
      </c>
      <c r="C215" s="1">
        <v>45932</v>
      </c>
      <c r="D215" s="3" t="s">
        <v>928</v>
      </c>
      <c r="E215" t="str">
        <f>TEXT(Table3[[#This Row],[order_date]],"mmm-yyyy")</f>
        <v>Oct-2025</v>
      </c>
    </row>
    <row r="216" spans="1:5">
      <c r="A216">
        <v>315</v>
      </c>
      <c r="B216">
        <v>419</v>
      </c>
      <c r="C216" s="1">
        <v>45935</v>
      </c>
      <c r="D216" s="3" t="s">
        <v>928</v>
      </c>
      <c r="E216" t="str">
        <f>TEXT(Table3[[#This Row],[order_date]],"mmm-yyyy")</f>
        <v>Oct-2025</v>
      </c>
    </row>
    <row r="217" spans="1:5">
      <c r="A217">
        <v>316</v>
      </c>
      <c r="B217">
        <v>456</v>
      </c>
      <c r="C217" s="1">
        <v>45938</v>
      </c>
      <c r="D217" s="3" t="s">
        <v>928</v>
      </c>
      <c r="E217" t="str">
        <f>TEXT(Table3[[#This Row],[order_date]],"mmm-yyyy")</f>
        <v>Oct-2025</v>
      </c>
    </row>
    <row r="218" spans="1:5">
      <c r="A218">
        <v>317</v>
      </c>
      <c r="B218">
        <v>493</v>
      </c>
      <c r="C218" s="1">
        <v>45941</v>
      </c>
      <c r="D218" s="3" t="s">
        <v>930</v>
      </c>
      <c r="E218" t="str">
        <f>TEXT(Table3[[#This Row],[order_date]],"mmm-yyyy")</f>
        <v>Oct-2025</v>
      </c>
    </row>
    <row r="219" spans="1:5">
      <c r="A219">
        <v>318</v>
      </c>
      <c r="B219">
        <v>30</v>
      </c>
      <c r="C219" s="1">
        <v>45944</v>
      </c>
      <c r="D219" s="3" t="s">
        <v>928</v>
      </c>
      <c r="E219" t="str">
        <f>TEXT(Table3[[#This Row],[order_date]],"mmm-yyyy")</f>
        <v>Oct-2025</v>
      </c>
    </row>
    <row r="220" spans="1:5">
      <c r="A220">
        <v>319</v>
      </c>
      <c r="B220">
        <v>67</v>
      </c>
      <c r="C220" s="1">
        <v>45947</v>
      </c>
      <c r="D220" s="3" t="s">
        <v>928</v>
      </c>
      <c r="E220" t="str">
        <f>TEXT(Table3[[#This Row],[order_date]],"mmm-yyyy")</f>
        <v>Oct-2025</v>
      </c>
    </row>
    <row r="221" spans="1:5">
      <c r="A221">
        <v>320</v>
      </c>
      <c r="B221">
        <v>104</v>
      </c>
      <c r="C221" s="1">
        <v>45950</v>
      </c>
      <c r="D221" s="3" t="s">
        <v>931</v>
      </c>
      <c r="E221" t="str">
        <f>TEXT(Table3[[#This Row],[order_date]],"mmm-yyyy")</f>
        <v>Oct-2025</v>
      </c>
    </row>
    <row r="222" spans="1:5">
      <c r="A222">
        <v>321</v>
      </c>
      <c r="B222">
        <v>141</v>
      </c>
      <c r="C222" s="1">
        <v>45953</v>
      </c>
      <c r="D222" s="3" t="s">
        <v>928</v>
      </c>
      <c r="E222" t="str">
        <f>TEXT(Table3[[#This Row],[order_date]],"mmm-yyyy")</f>
        <v>Oct-2025</v>
      </c>
    </row>
    <row r="223" spans="1:5">
      <c r="A223">
        <v>322</v>
      </c>
      <c r="B223">
        <v>178</v>
      </c>
      <c r="C223" s="1">
        <v>45956</v>
      </c>
      <c r="D223" s="3" t="s">
        <v>930</v>
      </c>
      <c r="E223" t="str">
        <f>TEXT(Table3[[#This Row],[order_date]],"mmm-yyyy")</f>
        <v>Oct-2025</v>
      </c>
    </row>
    <row r="224" spans="1:5">
      <c r="A224">
        <v>323</v>
      </c>
      <c r="B224">
        <v>215</v>
      </c>
      <c r="C224" s="1">
        <v>45959</v>
      </c>
      <c r="D224" s="3" t="s">
        <v>928</v>
      </c>
      <c r="E224" t="str">
        <f>TEXT(Table3[[#This Row],[order_date]],"mmm-yyyy")</f>
        <v>Oct-2025</v>
      </c>
    </row>
    <row r="225" spans="1:5">
      <c r="A225">
        <v>324</v>
      </c>
      <c r="B225">
        <v>252</v>
      </c>
      <c r="C225" s="1">
        <v>45962</v>
      </c>
      <c r="D225" s="3" t="s">
        <v>928</v>
      </c>
      <c r="E225" t="str">
        <f>TEXT(Table3[[#This Row],[order_date]],"mmm-yyyy")</f>
        <v>Nov-2025</v>
      </c>
    </row>
    <row r="226" spans="1:5">
      <c r="A226">
        <v>325</v>
      </c>
      <c r="B226">
        <v>289</v>
      </c>
      <c r="C226" s="1">
        <v>45965</v>
      </c>
      <c r="D226" s="3" t="s">
        <v>928</v>
      </c>
      <c r="E226" t="str">
        <f>TEXT(Table3[[#This Row],[order_date]],"mmm-yyyy")</f>
        <v>Nov-2025</v>
      </c>
    </row>
    <row r="227" spans="1:5">
      <c r="A227">
        <v>326</v>
      </c>
      <c r="B227">
        <v>326</v>
      </c>
      <c r="C227" s="1">
        <v>45968</v>
      </c>
      <c r="D227" s="3" t="s">
        <v>928</v>
      </c>
      <c r="E227" t="str">
        <f>TEXT(Table3[[#This Row],[order_date]],"mmm-yyyy")</f>
        <v>Nov-2025</v>
      </c>
    </row>
    <row r="228" spans="1:5">
      <c r="A228">
        <v>327</v>
      </c>
      <c r="B228">
        <v>363</v>
      </c>
      <c r="C228" s="1">
        <v>45971</v>
      </c>
      <c r="D228" s="3" t="s">
        <v>928</v>
      </c>
      <c r="E228" t="str">
        <f>TEXT(Table3[[#This Row],[order_date]],"mmm-yyyy")</f>
        <v>Nov-2025</v>
      </c>
    </row>
    <row r="229" spans="1:5">
      <c r="A229">
        <v>328</v>
      </c>
      <c r="B229">
        <v>400</v>
      </c>
      <c r="C229" s="1">
        <v>45974</v>
      </c>
      <c r="D229" s="3" t="s">
        <v>929</v>
      </c>
      <c r="E229" t="str">
        <f>TEXT(Table3[[#This Row],[order_date]],"mmm-yyyy")</f>
        <v>Nov-2025</v>
      </c>
    </row>
    <row r="230" spans="1:5">
      <c r="A230">
        <v>329</v>
      </c>
      <c r="B230">
        <v>437</v>
      </c>
      <c r="C230" s="1">
        <v>45977</v>
      </c>
      <c r="D230" s="3" t="s">
        <v>928</v>
      </c>
      <c r="E230" t="str">
        <f>TEXT(Table3[[#This Row],[order_date]],"mmm-yyyy")</f>
        <v>Nov-2025</v>
      </c>
    </row>
    <row r="231" spans="1:5">
      <c r="A231">
        <v>330</v>
      </c>
      <c r="B231">
        <v>474</v>
      </c>
      <c r="C231" s="1">
        <v>45980</v>
      </c>
      <c r="D231" s="3" t="s">
        <v>931</v>
      </c>
      <c r="E231" t="str">
        <f>TEXT(Table3[[#This Row],[order_date]],"mmm-yyyy")</f>
        <v>Nov-2025</v>
      </c>
    </row>
    <row r="232" spans="1:5">
      <c r="A232">
        <v>331</v>
      </c>
      <c r="B232">
        <v>11</v>
      </c>
      <c r="C232" s="1">
        <v>45983</v>
      </c>
      <c r="D232" s="3" t="s">
        <v>928</v>
      </c>
      <c r="E232" t="str">
        <f>TEXT(Table3[[#This Row],[order_date]],"mmm-yyyy")</f>
        <v>Nov-2025</v>
      </c>
    </row>
    <row r="233" spans="1:5">
      <c r="A233">
        <v>332</v>
      </c>
      <c r="B233">
        <v>48</v>
      </c>
      <c r="C233" s="1">
        <v>45986</v>
      </c>
      <c r="D233" s="3" t="s">
        <v>930</v>
      </c>
      <c r="E233" t="str">
        <f>TEXT(Table3[[#This Row],[order_date]],"mmm-yyyy")</f>
        <v>Nov-2025</v>
      </c>
    </row>
    <row r="234" spans="1:5">
      <c r="A234">
        <v>333</v>
      </c>
      <c r="B234">
        <v>85</v>
      </c>
      <c r="C234" s="1">
        <v>45989</v>
      </c>
      <c r="D234" s="3" t="s">
        <v>928</v>
      </c>
      <c r="E234" t="str">
        <f>TEXT(Table3[[#This Row],[order_date]],"mmm-yyyy")</f>
        <v>Nov-2025</v>
      </c>
    </row>
    <row r="235" spans="1:5">
      <c r="A235">
        <v>334</v>
      </c>
      <c r="B235">
        <v>122</v>
      </c>
      <c r="C235" s="1">
        <v>45992</v>
      </c>
      <c r="D235" s="3" t="s">
        <v>930</v>
      </c>
      <c r="E235" t="str">
        <f>TEXT(Table3[[#This Row],[order_date]],"mmm-yyyy")</f>
        <v>Dec-2025</v>
      </c>
    </row>
    <row r="236" spans="1:5">
      <c r="A236">
        <v>335</v>
      </c>
      <c r="B236">
        <v>159</v>
      </c>
      <c r="C236" s="1">
        <v>45995</v>
      </c>
      <c r="D236" s="3" t="s">
        <v>928</v>
      </c>
      <c r="E236" t="str">
        <f>TEXT(Table3[[#This Row],[order_date]],"mmm-yyyy")</f>
        <v>Dec-2025</v>
      </c>
    </row>
    <row r="237" spans="1:5">
      <c r="A237">
        <v>336</v>
      </c>
      <c r="B237">
        <v>196</v>
      </c>
      <c r="C237" s="1">
        <v>45998</v>
      </c>
      <c r="D237" s="3" t="s">
        <v>929</v>
      </c>
      <c r="E237" t="str">
        <f>TEXT(Table3[[#This Row],[order_date]],"mmm-yyyy")</f>
        <v>Dec-2025</v>
      </c>
    </row>
    <row r="238" spans="1:5">
      <c r="A238">
        <v>337</v>
      </c>
      <c r="B238">
        <v>233</v>
      </c>
      <c r="C238" s="1">
        <v>46001</v>
      </c>
      <c r="D238" s="3" t="s">
        <v>930</v>
      </c>
      <c r="E238" t="str">
        <f>TEXT(Table3[[#This Row],[order_date]],"mmm-yyyy")</f>
        <v>Dec-2025</v>
      </c>
    </row>
    <row r="239" spans="1:5">
      <c r="A239">
        <v>338</v>
      </c>
      <c r="B239">
        <v>270</v>
      </c>
      <c r="C239" s="1">
        <v>46004</v>
      </c>
      <c r="D239" s="3" t="s">
        <v>928</v>
      </c>
      <c r="E239" t="str">
        <f>TEXT(Table3[[#This Row],[order_date]],"mmm-yyyy")</f>
        <v>Dec-2025</v>
      </c>
    </row>
    <row r="240" spans="1:5">
      <c r="A240">
        <v>339</v>
      </c>
      <c r="B240">
        <v>307</v>
      </c>
      <c r="C240" s="1">
        <v>46007</v>
      </c>
      <c r="D240" s="3" t="s">
        <v>930</v>
      </c>
      <c r="E240" t="str">
        <f>TEXT(Table3[[#This Row],[order_date]],"mmm-yyyy")</f>
        <v>Dec-2025</v>
      </c>
    </row>
    <row r="241" spans="1:5">
      <c r="A241">
        <v>340</v>
      </c>
      <c r="B241">
        <v>344</v>
      </c>
      <c r="C241" s="1">
        <v>46010</v>
      </c>
      <c r="D241" s="3" t="s">
        <v>928</v>
      </c>
      <c r="E241" t="str">
        <f>TEXT(Table3[[#This Row],[order_date]],"mmm-yyyy")</f>
        <v>Dec-2025</v>
      </c>
    </row>
    <row r="242" spans="1:5">
      <c r="A242">
        <v>341</v>
      </c>
      <c r="B242">
        <v>381</v>
      </c>
      <c r="C242" s="1">
        <v>46013</v>
      </c>
      <c r="D242" s="3" t="s">
        <v>928</v>
      </c>
      <c r="E242" t="str">
        <f>TEXT(Table3[[#This Row],[order_date]],"mmm-yyyy")</f>
        <v>Dec-2025</v>
      </c>
    </row>
    <row r="243" spans="1:5">
      <c r="A243">
        <v>342</v>
      </c>
      <c r="B243">
        <v>418</v>
      </c>
      <c r="C243" s="1">
        <v>46016</v>
      </c>
      <c r="D243" s="3" t="s">
        <v>928</v>
      </c>
      <c r="E243" t="str">
        <f>TEXT(Table3[[#This Row],[order_date]],"mmm-yyyy")</f>
        <v>Dec-2025</v>
      </c>
    </row>
    <row r="244" spans="1:5">
      <c r="A244">
        <v>343</v>
      </c>
      <c r="B244">
        <v>455</v>
      </c>
      <c r="C244" s="1">
        <v>46019</v>
      </c>
      <c r="D244" s="3" t="s">
        <v>928</v>
      </c>
      <c r="E244" t="str">
        <f>TEXT(Table3[[#This Row],[order_date]],"mmm-yyyy")</f>
        <v>Dec-2025</v>
      </c>
    </row>
    <row r="245" spans="1:5">
      <c r="A245">
        <v>344</v>
      </c>
      <c r="B245">
        <v>492</v>
      </c>
      <c r="C245" s="1">
        <v>46022</v>
      </c>
      <c r="D245" s="3" t="s">
        <v>928</v>
      </c>
      <c r="E245" t="str">
        <f>TEXT(Table3[[#This Row],[order_date]],"mmm-yyyy")</f>
        <v>Dec-2025</v>
      </c>
    </row>
    <row r="246" spans="1:5">
      <c r="A246">
        <v>345</v>
      </c>
      <c r="B246">
        <v>29</v>
      </c>
      <c r="C246" s="1">
        <v>45660</v>
      </c>
      <c r="D246" s="3" t="s">
        <v>929</v>
      </c>
      <c r="E246" t="str">
        <f>TEXT(Table3[[#This Row],[order_date]],"mmm-yyyy")</f>
        <v>Jan-2025</v>
      </c>
    </row>
    <row r="247" spans="1:5">
      <c r="A247">
        <v>346</v>
      </c>
      <c r="B247">
        <v>66</v>
      </c>
      <c r="C247" s="1">
        <v>45663</v>
      </c>
      <c r="D247" s="3" t="s">
        <v>928</v>
      </c>
      <c r="E247" t="str">
        <f>TEXT(Table3[[#This Row],[order_date]],"mmm-yyyy")</f>
        <v>Jan-2025</v>
      </c>
    </row>
    <row r="248" spans="1:5">
      <c r="A248">
        <v>347</v>
      </c>
      <c r="B248">
        <v>103</v>
      </c>
      <c r="C248" s="1">
        <v>45666</v>
      </c>
      <c r="D248" s="3" t="s">
        <v>928</v>
      </c>
      <c r="E248" t="str">
        <f>TEXT(Table3[[#This Row],[order_date]],"mmm-yyyy")</f>
        <v>Jan-2025</v>
      </c>
    </row>
    <row r="249" spans="1:5">
      <c r="A249">
        <v>348</v>
      </c>
      <c r="B249">
        <v>140</v>
      </c>
      <c r="C249" s="1">
        <v>45669</v>
      </c>
      <c r="D249" s="3" t="s">
        <v>930</v>
      </c>
      <c r="E249" t="str">
        <f>TEXT(Table3[[#This Row],[order_date]],"mmm-yyyy")</f>
        <v>Jan-2025</v>
      </c>
    </row>
    <row r="250" spans="1:5">
      <c r="A250">
        <v>349</v>
      </c>
      <c r="B250">
        <v>177</v>
      </c>
      <c r="C250" s="1">
        <v>45672</v>
      </c>
      <c r="D250" s="3" t="s">
        <v>928</v>
      </c>
      <c r="E250" t="str">
        <f>TEXT(Table3[[#This Row],[order_date]],"mmm-yyyy")</f>
        <v>Jan-2025</v>
      </c>
    </row>
    <row r="251" spans="1:5">
      <c r="A251">
        <v>350</v>
      </c>
      <c r="B251">
        <v>214</v>
      </c>
      <c r="C251" s="1">
        <v>45675</v>
      </c>
      <c r="D251" s="3" t="s">
        <v>928</v>
      </c>
      <c r="E251" t="str">
        <f>TEXT(Table3[[#This Row],[order_date]],"mmm-yyyy")</f>
        <v>Jan-2025</v>
      </c>
    </row>
    <row r="252" spans="1:5">
      <c r="A252">
        <v>351</v>
      </c>
      <c r="B252">
        <v>251</v>
      </c>
      <c r="C252" s="1">
        <v>45678</v>
      </c>
      <c r="D252" s="3" t="s">
        <v>931</v>
      </c>
      <c r="E252" t="str">
        <f>TEXT(Table3[[#This Row],[order_date]],"mmm-yyyy")</f>
        <v>Jan-2025</v>
      </c>
    </row>
    <row r="253" spans="1:5">
      <c r="A253">
        <v>352</v>
      </c>
      <c r="B253">
        <v>288</v>
      </c>
      <c r="C253" s="1">
        <v>45681</v>
      </c>
      <c r="D253" s="3" t="s">
        <v>931</v>
      </c>
      <c r="E253" t="str">
        <f>TEXT(Table3[[#This Row],[order_date]],"mmm-yyyy")</f>
        <v>Jan-2025</v>
      </c>
    </row>
    <row r="254" spans="1:5">
      <c r="A254">
        <v>353</v>
      </c>
      <c r="B254">
        <v>325</v>
      </c>
      <c r="C254" s="1">
        <v>45684</v>
      </c>
      <c r="D254" s="3" t="s">
        <v>930</v>
      </c>
      <c r="E254" t="str">
        <f>TEXT(Table3[[#This Row],[order_date]],"mmm-yyyy")</f>
        <v>Jan-2025</v>
      </c>
    </row>
    <row r="255" spans="1:5">
      <c r="A255">
        <v>354</v>
      </c>
      <c r="B255">
        <v>362</v>
      </c>
      <c r="C255" s="1">
        <v>45687</v>
      </c>
      <c r="D255" s="3" t="s">
        <v>928</v>
      </c>
      <c r="E255" t="str">
        <f>TEXT(Table3[[#This Row],[order_date]],"mmm-yyyy")</f>
        <v>Jan-2025</v>
      </c>
    </row>
    <row r="256" spans="1:5">
      <c r="A256">
        <v>355</v>
      </c>
      <c r="B256">
        <v>399</v>
      </c>
      <c r="C256" s="1">
        <v>45690</v>
      </c>
      <c r="D256" s="3" t="s">
        <v>928</v>
      </c>
      <c r="E256" t="str">
        <f>TEXT(Table3[[#This Row],[order_date]],"mmm-yyyy")</f>
        <v>Feb-2025</v>
      </c>
    </row>
    <row r="257" spans="1:5">
      <c r="A257">
        <v>356</v>
      </c>
      <c r="B257">
        <v>436</v>
      </c>
      <c r="C257" s="1">
        <v>45693</v>
      </c>
      <c r="D257" s="3" t="s">
        <v>930</v>
      </c>
      <c r="E257" t="str">
        <f>TEXT(Table3[[#This Row],[order_date]],"mmm-yyyy")</f>
        <v>Feb-2025</v>
      </c>
    </row>
    <row r="258" spans="1:5">
      <c r="A258">
        <v>357</v>
      </c>
      <c r="B258">
        <v>473</v>
      </c>
      <c r="C258" s="1">
        <v>45696</v>
      </c>
      <c r="D258" s="3" t="s">
        <v>928</v>
      </c>
      <c r="E258" t="str">
        <f>TEXT(Table3[[#This Row],[order_date]],"mmm-yyyy")</f>
        <v>Feb-2025</v>
      </c>
    </row>
    <row r="259" spans="1:5">
      <c r="A259">
        <v>358</v>
      </c>
      <c r="B259">
        <v>10</v>
      </c>
      <c r="C259" s="1">
        <v>45699</v>
      </c>
      <c r="D259" s="3" t="s">
        <v>928</v>
      </c>
      <c r="E259" t="str">
        <f>TEXT(Table3[[#This Row],[order_date]],"mmm-yyyy")</f>
        <v>Feb-2025</v>
      </c>
    </row>
    <row r="260" spans="1:5">
      <c r="A260">
        <v>359</v>
      </c>
      <c r="B260">
        <v>47</v>
      </c>
      <c r="C260" s="1">
        <v>45702</v>
      </c>
      <c r="D260" s="3" t="s">
        <v>928</v>
      </c>
      <c r="E260" t="str">
        <f>TEXT(Table3[[#This Row],[order_date]],"mmm-yyyy")</f>
        <v>Feb-2025</v>
      </c>
    </row>
    <row r="261" spans="1:5">
      <c r="A261">
        <v>360</v>
      </c>
      <c r="B261">
        <v>84</v>
      </c>
      <c r="C261" s="1">
        <v>45705</v>
      </c>
      <c r="D261" s="3" t="s">
        <v>928</v>
      </c>
      <c r="E261" t="str">
        <f>TEXT(Table3[[#This Row],[order_date]],"mmm-yyyy")</f>
        <v>Feb-2025</v>
      </c>
    </row>
    <row r="262" spans="1:5">
      <c r="A262">
        <v>361</v>
      </c>
      <c r="B262">
        <v>121</v>
      </c>
      <c r="C262" s="1">
        <v>45708</v>
      </c>
      <c r="D262" s="3" t="s">
        <v>929</v>
      </c>
      <c r="E262" t="str">
        <f>TEXT(Table3[[#This Row],[order_date]],"mmm-yyyy")</f>
        <v>Feb-2025</v>
      </c>
    </row>
    <row r="263" spans="1:5">
      <c r="A263">
        <v>362</v>
      </c>
      <c r="B263">
        <v>158</v>
      </c>
      <c r="C263" s="1">
        <v>45711</v>
      </c>
      <c r="D263" s="3" t="s">
        <v>928</v>
      </c>
      <c r="E263" t="str">
        <f>TEXT(Table3[[#This Row],[order_date]],"mmm-yyyy")</f>
        <v>Feb-2025</v>
      </c>
    </row>
    <row r="264" spans="1:5">
      <c r="A264">
        <v>363</v>
      </c>
      <c r="B264">
        <v>195</v>
      </c>
      <c r="C264" s="1">
        <v>45714</v>
      </c>
      <c r="D264" s="3" t="s">
        <v>928</v>
      </c>
      <c r="E264" t="str">
        <f>TEXT(Table3[[#This Row],[order_date]],"mmm-yyyy")</f>
        <v>Feb-2025</v>
      </c>
    </row>
    <row r="265" spans="1:5">
      <c r="A265">
        <v>364</v>
      </c>
      <c r="B265">
        <v>232</v>
      </c>
      <c r="C265" s="1">
        <v>45717</v>
      </c>
      <c r="D265" s="3" t="s">
        <v>928</v>
      </c>
      <c r="E265" t="str">
        <f>TEXT(Table3[[#This Row],[order_date]],"mmm-yyyy")</f>
        <v>Mar-2025</v>
      </c>
    </row>
    <row r="266" spans="1:5">
      <c r="A266">
        <v>365</v>
      </c>
      <c r="B266">
        <v>269</v>
      </c>
      <c r="C266" s="1">
        <v>45720</v>
      </c>
      <c r="D266" s="3" t="s">
        <v>929</v>
      </c>
      <c r="E266" t="str">
        <f>TEXT(Table3[[#This Row],[order_date]],"mmm-yyyy")</f>
        <v>Mar-2025</v>
      </c>
    </row>
    <row r="267" spans="1:5">
      <c r="A267">
        <v>366</v>
      </c>
      <c r="B267">
        <v>306</v>
      </c>
      <c r="C267" s="1">
        <v>45723</v>
      </c>
      <c r="D267" s="3" t="s">
        <v>928</v>
      </c>
      <c r="E267" t="str">
        <f>TEXT(Table3[[#This Row],[order_date]],"mmm-yyyy")</f>
        <v>Mar-2025</v>
      </c>
    </row>
    <row r="268" spans="1:5">
      <c r="A268">
        <v>367</v>
      </c>
      <c r="B268">
        <v>343</v>
      </c>
      <c r="C268" s="1">
        <v>45726</v>
      </c>
      <c r="D268" s="3" t="s">
        <v>928</v>
      </c>
      <c r="E268" t="str">
        <f>TEXT(Table3[[#This Row],[order_date]],"mmm-yyyy")</f>
        <v>Mar-2025</v>
      </c>
    </row>
    <row r="269" spans="1:5">
      <c r="A269">
        <v>368</v>
      </c>
      <c r="B269">
        <v>380</v>
      </c>
      <c r="C269" s="1">
        <v>45729</v>
      </c>
      <c r="D269" s="3" t="s">
        <v>928</v>
      </c>
      <c r="E269" t="str">
        <f>TEXT(Table3[[#This Row],[order_date]],"mmm-yyyy")</f>
        <v>Mar-2025</v>
      </c>
    </row>
    <row r="270" spans="1:5">
      <c r="A270">
        <v>369</v>
      </c>
      <c r="B270">
        <v>417</v>
      </c>
      <c r="C270" s="1">
        <v>45732</v>
      </c>
      <c r="D270" s="3" t="s">
        <v>928</v>
      </c>
      <c r="E270" t="str">
        <f>TEXT(Table3[[#This Row],[order_date]],"mmm-yyyy")</f>
        <v>Mar-2025</v>
      </c>
    </row>
    <row r="271" spans="1:5">
      <c r="A271">
        <v>370</v>
      </c>
      <c r="B271">
        <v>454</v>
      </c>
      <c r="C271" s="1">
        <v>45735</v>
      </c>
      <c r="D271" s="3" t="s">
        <v>928</v>
      </c>
      <c r="E271" t="str">
        <f>TEXT(Table3[[#This Row],[order_date]],"mmm-yyyy")</f>
        <v>Mar-2025</v>
      </c>
    </row>
    <row r="272" spans="1:5">
      <c r="A272">
        <v>371</v>
      </c>
      <c r="B272">
        <v>491</v>
      </c>
      <c r="C272" s="1">
        <v>45738</v>
      </c>
      <c r="D272" s="3" t="s">
        <v>928</v>
      </c>
      <c r="E272" t="str">
        <f>TEXT(Table3[[#This Row],[order_date]],"mmm-yyyy")</f>
        <v>Mar-2025</v>
      </c>
    </row>
    <row r="273" spans="1:5">
      <c r="A273">
        <v>372</v>
      </c>
      <c r="B273">
        <v>28</v>
      </c>
      <c r="C273" s="1">
        <v>45741</v>
      </c>
      <c r="D273" s="3" t="s">
        <v>930</v>
      </c>
      <c r="E273" t="str">
        <f>TEXT(Table3[[#This Row],[order_date]],"mmm-yyyy")</f>
        <v>Mar-2025</v>
      </c>
    </row>
    <row r="274" spans="1:5">
      <c r="A274">
        <v>373</v>
      </c>
      <c r="B274">
        <v>65</v>
      </c>
      <c r="C274" s="1">
        <v>45744</v>
      </c>
      <c r="D274" s="3" t="s">
        <v>928</v>
      </c>
      <c r="E274" t="str">
        <f>TEXT(Table3[[#This Row],[order_date]],"mmm-yyyy")</f>
        <v>Mar-2025</v>
      </c>
    </row>
    <row r="275" spans="1:5">
      <c r="A275">
        <v>374</v>
      </c>
      <c r="B275">
        <v>102</v>
      </c>
      <c r="C275" s="1">
        <v>45747</v>
      </c>
      <c r="D275" s="3" t="s">
        <v>930</v>
      </c>
      <c r="E275" t="str">
        <f>TEXT(Table3[[#This Row],[order_date]],"mmm-yyyy")</f>
        <v>Mar-2025</v>
      </c>
    </row>
    <row r="276" spans="1:5">
      <c r="A276">
        <v>375</v>
      </c>
      <c r="B276">
        <v>139</v>
      </c>
      <c r="C276" s="1">
        <v>45750</v>
      </c>
      <c r="D276" s="3" t="s">
        <v>928</v>
      </c>
      <c r="E276" t="str">
        <f>TEXT(Table3[[#This Row],[order_date]],"mmm-yyyy")</f>
        <v>Apr-2025</v>
      </c>
    </row>
    <row r="277" spans="1:5">
      <c r="A277">
        <v>376</v>
      </c>
      <c r="B277">
        <v>176</v>
      </c>
      <c r="C277" s="1">
        <v>45753</v>
      </c>
      <c r="D277" s="3" t="s">
        <v>931</v>
      </c>
      <c r="E277" t="str">
        <f>TEXT(Table3[[#This Row],[order_date]],"mmm-yyyy")</f>
        <v>Apr-2025</v>
      </c>
    </row>
    <row r="278" spans="1:5">
      <c r="A278">
        <v>377</v>
      </c>
      <c r="B278">
        <v>213</v>
      </c>
      <c r="C278" s="1">
        <v>45756</v>
      </c>
      <c r="D278" s="3" t="s">
        <v>928</v>
      </c>
      <c r="E278" t="str">
        <f>TEXT(Table3[[#This Row],[order_date]],"mmm-yyyy")</f>
        <v>Apr-2025</v>
      </c>
    </row>
    <row r="279" spans="1:5">
      <c r="A279">
        <v>378</v>
      </c>
      <c r="B279">
        <v>250</v>
      </c>
      <c r="C279" s="1">
        <v>45759</v>
      </c>
      <c r="D279" s="3" t="s">
        <v>928</v>
      </c>
      <c r="E279" t="str">
        <f>TEXT(Table3[[#This Row],[order_date]],"mmm-yyyy")</f>
        <v>Apr-2025</v>
      </c>
    </row>
    <row r="280" spans="1:5">
      <c r="A280">
        <v>379</v>
      </c>
      <c r="B280">
        <v>287</v>
      </c>
      <c r="C280" s="1">
        <v>45762</v>
      </c>
      <c r="D280" s="3" t="s">
        <v>931</v>
      </c>
      <c r="E280" t="str">
        <f>TEXT(Table3[[#This Row],[order_date]],"mmm-yyyy")</f>
        <v>Apr-2025</v>
      </c>
    </row>
    <row r="281" spans="1:5">
      <c r="A281">
        <v>380</v>
      </c>
      <c r="B281">
        <v>324</v>
      </c>
      <c r="C281" s="1">
        <v>45765</v>
      </c>
      <c r="D281" s="3" t="s">
        <v>928</v>
      </c>
      <c r="E281" t="str">
        <f>TEXT(Table3[[#This Row],[order_date]],"mmm-yyyy")</f>
        <v>Apr-2025</v>
      </c>
    </row>
    <row r="282" spans="1:5">
      <c r="A282">
        <v>381</v>
      </c>
      <c r="B282">
        <v>361</v>
      </c>
      <c r="C282" s="1">
        <v>45768</v>
      </c>
      <c r="D282" s="3" t="s">
        <v>928</v>
      </c>
      <c r="E282" t="str">
        <f>TEXT(Table3[[#This Row],[order_date]],"mmm-yyyy")</f>
        <v>Apr-2025</v>
      </c>
    </row>
    <row r="283" spans="1:5">
      <c r="A283">
        <v>382</v>
      </c>
      <c r="B283">
        <v>398</v>
      </c>
      <c r="C283" s="1">
        <v>45771</v>
      </c>
      <c r="D283" s="3" t="s">
        <v>931</v>
      </c>
      <c r="E283" t="str">
        <f>TEXT(Table3[[#This Row],[order_date]],"mmm-yyyy")</f>
        <v>Apr-2025</v>
      </c>
    </row>
    <row r="284" spans="1:5">
      <c r="A284">
        <v>383</v>
      </c>
      <c r="B284">
        <v>435</v>
      </c>
      <c r="C284" s="1">
        <v>45774</v>
      </c>
      <c r="D284" s="3" t="s">
        <v>930</v>
      </c>
      <c r="E284" t="str">
        <f>TEXT(Table3[[#This Row],[order_date]],"mmm-yyyy")</f>
        <v>Apr-2025</v>
      </c>
    </row>
    <row r="285" spans="1:5">
      <c r="A285">
        <v>384</v>
      </c>
      <c r="B285">
        <v>472</v>
      </c>
      <c r="C285" s="1">
        <v>45777</v>
      </c>
      <c r="D285" s="3" t="s">
        <v>928</v>
      </c>
      <c r="E285" t="str">
        <f>TEXT(Table3[[#This Row],[order_date]],"mmm-yyyy")</f>
        <v>Apr-2025</v>
      </c>
    </row>
    <row r="286" spans="1:5">
      <c r="A286">
        <v>385</v>
      </c>
      <c r="B286">
        <v>9</v>
      </c>
      <c r="C286" s="1">
        <v>45780</v>
      </c>
      <c r="D286" s="3" t="s">
        <v>928</v>
      </c>
      <c r="E286" t="str">
        <f>TEXT(Table3[[#This Row],[order_date]],"mmm-yyyy")</f>
        <v>May-2025</v>
      </c>
    </row>
    <row r="287" spans="1:5">
      <c r="A287">
        <v>386</v>
      </c>
      <c r="B287">
        <v>46</v>
      </c>
      <c r="C287" s="1">
        <v>45783</v>
      </c>
      <c r="D287" s="3" t="s">
        <v>928</v>
      </c>
      <c r="E287" t="str">
        <f>TEXT(Table3[[#This Row],[order_date]],"mmm-yyyy")</f>
        <v>May-2025</v>
      </c>
    </row>
    <row r="288" spans="1:5">
      <c r="A288">
        <v>387</v>
      </c>
      <c r="B288">
        <v>83</v>
      </c>
      <c r="C288" s="1">
        <v>45786</v>
      </c>
      <c r="D288" s="3" t="s">
        <v>930</v>
      </c>
      <c r="E288" t="str">
        <f>TEXT(Table3[[#This Row],[order_date]],"mmm-yyyy")</f>
        <v>May-2025</v>
      </c>
    </row>
    <row r="289" spans="1:5">
      <c r="A289">
        <v>388</v>
      </c>
      <c r="B289">
        <v>120</v>
      </c>
      <c r="C289" s="1">
        <v>45789</v>
      </c>
      <c r="D289" s="3" t="s">
        <v>929</v>
      </c>
      <c r="E289" t="str">
        <f>TEXT(Table3[[#This Row],[order_date]],"mmm-yyyy")</f>
        <v>May-2025</v>
      </c>
    </row>
    <row r="290" spans="1:5">
      <c r="A290">
        <v>389</v>
      </c>
      <c r="B290">
        <v>157</v>
      </c>
      <c r="C290" s="1">
        <v>45792</v>
      </c>
      <c r="D290" s="3" t="s">
        <v>928</v>
      </c>
      <c r="E290" t="str">
        <f>TEXT(Table3[[#This Row],[order_date]],"mmm-yyyy")</f>
        <v>May-2025</v>
      </c>
    </row>
    <row r="291" spans="1:5">
      <c r="A291">
        <v>390</v>
      </c>
      <c r="B291">
        <v>194</v>
      </c>
      <c r="C291" s="1">
        <v>45795</v>
      </c>
      <c r="D291" s="3" t="s">
        <v>928</v>
      </c>
      <c r="E291" t="str">
        <f>TEXT(Table3[[#This Row],[order_date]],"mmm-yyyy")</f>
        <v>May-2025</v>
      </c>
    </row>
    <row r="292" spans="1:5">
      <c r="A292">
        <v>391</v>
      </c>
      <c r="B292">
        <v>231</v>
      </c>
      <c r="C292" s="1">
        <v>45798</v>
      </c>
      <c r="D292" s="3" t="s">
        <v>928</v>
      </c>
      <c r="E292" t="str">
        <f>TEXT(Table3[[#This Row],[order_date]],"mmm-yyyy")</f>
        <v>May-2025</v>
      </c>
    </row>
    <row r="293" spans="1:5">
      <c r="A293">
        <v>392</v>
      </c>
      <c r="B293">
        <v>268</v>
      </c>
      <c r="C293" s="1">
        <v>45801</v>
      </c>
      <c r="D293" s="3" t="s">
        <v>928</v>
      </c>
      <c r="E293" t="str">
        <f>TEXT(Table3[[#This Row],[order_date]],"mmm-yyyy")</f>
        <v>May-2025</v>
      </c>
    </row>
    <row r="294" spans="1:5">
      <c r="A294">
        <v>393</v>
      </c>
      <c r="B294">
        <v>305</v>
      </c>
      <c r="C294" s="1">
        <v>45804</v>
      </c>
      <c r="D294" s="3" t="s">
        <v>928</v>
      </c>
      <c r="E294" t="str">
        <f>TEXT(Table3[[#This Row],[order_date]],"mmm-yyyy")</f>
        <v>May-2025</v>
      </c>
    </row>
    <row r="295" spans="1:5">
      <c r="A295">
        <v>394</v>
      </c>
      <c r="B295">
        <v>342</v>
      </c>
      <c r="C295" s="1">
        <v>45807</v>
      </c>
      <c r="D295" s="3" t="s">
        <v>931</v>
      </c>
      <c r="E295" t="str">
        <f>TEXT(Table3[[#This Row],[order_date]],"mmm-yyyy")</f>
        <v>May-2025</v>
      </c>
    </row>
    <row r="296" spans="1:5">
      <c r="A296">
        <v>395</v>
      </c>
      <c r="B296">
        <v>379</v>
      </c>
      <c r="C296" s="1">
        <v>45810</v>
      </c>
      <c r="D296" s="3" t="s">
        <v>928</v>
      </c>
      <c r="E296" t="str">
        <f>TEXT(Table3[[#This Row],[order_date]],"mmm-yyyy")</f>
        <v>Jun-2025</v>
      </c>
    </row>
    <row r="297" spans="1:5">
      <c r="A297">
        <v>396</v>
      </c>
      <c r="B297">
        <v>416</v>
      </c>
      <c r="C297" s="1">
        <v>45813</v>
      </c>
      <c r="D297" s="3" t="s">
        <v>928</v>
      </c>
      <c r="E297" t="str">
        <f>TEXT(Table3[[#This Row],[order_date]],"mmm-yyyy")</f>
        <v>Jun-2025</v>
      </c>
    </row>
    <row r="298" spans="1:5">
      <c r="A298">
        <v>397</v>
      </c>
      <c r="B298">
        <v>453</v>
      </c>
      <c r="C298" s="1">
        <v>45816</v>
      </c>
      <c r="D298" s="3" t="s">
        <v>928</v>
      </c>
      <c r="E298" t="str">
        <f>TEXT(Table3[[#This Row],[order_date]],"mmm-yyyy")</f>
        <v>Jun-2025</v>
      </c>
    </row>
    <row r="299" spans="1:5">
      <c r="A299">
        <v>398</v>
      </c>
      <c r="B299">
        <v>490</v>
      </c>
      <c r="C299" s="1">
        <v>45819</v>
      </c>
      <c r="D299" s="3" t="s">
        <v>928</v>
      </c>
      <c r="E299" t="str">
        <f>TEXT(Table3[[#This Row],[order_date]],"mmm-yyyy")</f>
        <v>Jun-2025</v>
      </c>
    </row>
    <row r="300" spans="1:5">
      <c r="A300">
        <v>399</v>
      </c>
      <c r="B300">
        <v>27</v>
      </c>
      <c r="C300" s="1">
        <v>45822</v>
      </c>
      <c r="D300" s="3" t="s">
        <v>930</v>
      </c>
      <c r="E300" t="str">
        <f>TEXT(Table3[[#This Row],[order_date]],"mmm-yyyy")</f>
        <v>Jun-2025</v>
      </c>
    </row>
    <row r="301" spans="1:5">
      <c r="A301">
        <v>400</v>
      </c>
      <c r="B301">
        <v>64</v>
      </c>
      <c r="C301" s="1">
        <v>45825</v>
      </c>
      <c r="D301" s="3" t="s">
        <v>928</v>
      </c>
      <c r="E301" t="str">
        <f>TEXT(Table3[[#This Row],[order_date]],"mmm-yyyy")</f>
        <v>Jun-2025</v>
      </c>
    </row>
    <row r="302" spans="1:5">
      <c r="A302">
        <v>401</v>
      </c>
      <c r="B302">
        <v>101</v>
      </c>
      <c r="C302" s="1">
        <v>45828</v>
      </c>
      <c r="D302" s="3" t="s">
        <v>928</v>
      </c>
      <c r="E302" t="str">
        <f>TEXT(Table3[[#This Row],[order_date]],"mmm-yyyy")</f>
        <v>Jun-2025</v>
      </c>
    </row>
    <row r="303" spans="1:5">
      <c r="A303">
        <v>402</v>
      </c>
      <c r="B303">
        <v>138</v>
      </c>
      <c r="C303" s="1">
        <v>45831</v>
      </c>
      <c r="D303" s="3" t="s">
        <v>928</v>
      </c>
      <c r="E303" t="str">
        <f>TEXT(Table3[[#This Row],[order_date]],"mmm-yyyy")</f>
        <v>Jun-2025</v>
      </c>
    </row>
    <row r="304" spans="1:5">
      <c r="A304">
        <v>403</v>
      </c>
      <c r="B304">
        <v>175</v>
      </c>
      <c r="C304" s="1">
        <v>45834</v>
      </c>
      <c r="D304" s="3" t="s">
        <v>929</v>
      </c>
      <c r="E304" t="str">
        <f>TEXT(Table3[[#This Row],[order_date]],"mmm-yyyy")</f>
        <v>Jun-2025</v>
      </c>
    </row>
    <row r="305" spans="1:5">
      <c r="A305">
        <v>404</v>
      </c>
      <c r="B305">
        <v>212</v>
      </c>
      <c r="C305" s="1">
        <v>45837</v>
      </c>
      <c r="D305" s="3" t="s">
        <v>928</v>
      </c>
      <c r="E305" t="str">
        <f>TEXT(Table3[[#This Row],[order_date]],"mmm-yyyy")</f>
        <v>Jun-2025</v>
      </c>
    </row>
    <row r="306" spans="1:5">
      <c r="A306">
        <v>405</v>
      </c>
      <c r="B306">
        <v>249</v>
      </c>
      <c r="C306" s="1">
        <v>45840</v>
      </c>
      <c r="D306" s="3" t="s">
        <v>928</v>
      </c>
      <c r="E306" t="str">
        <f>TEXT(Table3[[#This Row],[order_date]],"mmm-yyyy")</f>
        <v>Jul-2025</v>
      </c>
    </row>
    <row r="307" spans="1:5">
      <c r="A307">
        <v>406</v>
      </c>
      <c r="B307">
        <v>286</v>
      </c>
      <c r="C307" s="1">
        <v>45843</v>
      </c>
      <c r="D307" s="3" t="s">
        <v>928</v>
      </c>
      <c r="E307" t="str">
        <f>TEXT(Table3[[#This Row],[order_date]],"mmm-yyyy")</f>
        <v>Jul-2025</v>
      </c>
    </row>
    <row r="308" spans="1:5">
      <c r="A308">
        <v>407</v>
      </c>
      <c r="B308">
        <v>323</v>
      </c>
      <c r="C308" s="1">
        <v>45846</v>
      </c>
      <c r="D308" s="3" t="s">
        <v>929</v>
      </c>
      <c r="E308" t="str">
        <f>TEXT(Table3[[#This Row],[order_date]],"mmm-yyyy")</f>
        <v>Jul-2025</v>
      </c>
    </row>
    <row r="309" spans="1:5">
      <c r="A309">
        <v>408</v>
      </c>
      <c r="B309">
        <v>360</v>
      </c>
      <c r="C309" s="1">
        <v>45849</v>
      </c>
      <c r="D309" s="3" t="s">
        <v>928</v>
      </c>
      <c r="E309" t="str">
        <f>TEXT(Table3[[#This Row],[order_date]],"mmm-yyyy")</f>
        <v>Jul-2025</v>
      </c>
    </row>
    <row r="310" spans="1:5">
      <c r="A310">
        <v>409</v>
      </c>
      <c r="B310">
        <v>397</v>
      </c>
      <c r="C310" s="1">
        <v>45852</v>
      </c>
      <c r="D310" s="3" t="s">
        <v>928</v>
      </c>
      <c r="E310" t="str">
        <f>TEXT(Table3[[#This Row],[order_date]],"mmm-yyyy")</f>
        <v>Jul-2025</v>
      </c>
    </row>
    <row r="311" spans="1:5">
      <c r="A311">
        <v>410</v>
      </c>
      <c r="B311">
        <v>434</v>
      </c>
      <c r="C311" s="1">
        <v>45855</v>
      </c>
      <c r="D311" s="3" t="s">
        <v>928</v>
      </c>
      <c r="E311" t="str">
        <f>TEXT(Table3[[#This Row],[order_date]],"mmm-yyyy")</f>
        <v>Jul-2025</v>
      </c>
    </row>
    <row r="312" spans="1:5">
      <c r="A312">
        <v>411</v>
      </c>
      <c r="B312">
        <v>471</v>
      </c>
      <c r="C312" s="1">
        <v>45858</v>
      </c>
      <c r="D312" s="3" t="s">
        <v>930</v>
      </c>
      <c r="E312" t="str">
        <f>TEXT(Table3[[#This Row],[order_date]],"mmm-yyyy")</f>
        <v>Jul-2025</v>
      </c>
    </row>
    <row r="313" spans="1:5">
      <c r="A313">
        <v>412</v>
      </c>
      <c r="B313">
        <v>8</v>
      </c>
      <c r="C313" s="1">
        <v>45861</v>
      </c>
      <c r="D313" s="3" t="s">
        <v>930</v>
      </c>
      <c r="E313" t="str">
        <f>TEXT(Table3[[#This Row],[order_date]],"mmm-yyyy")</f>
        <v>Jul-2025</v>
      </c>
    </row>
    <row r="314" spans="1:5">
      <c r="A314">
        <v>413</v>
      </c>
      <c r="B314">
        <v>45</v>
      </c>
      <c r="C314" s="1">
        <v>45864</v>
      </c>
      <c r="D314" s="3" t="s">
        <v>928</v>
      </c>
      <c r="E314" t="str">
        <f>TEXT(Table3[[#This Row],[order_date]],"mmm-yyyy")</f>
        <v>Jul-2025</v>
      </c>
    </row>
    <row r="315" spans="1:5">
      <c r="A315">
        <v>414</v>
      </c>
      <c r="B315">
        <v>82</v>
      </c>
      <c r="C315" s="1">
        <v>45867</v>
      </c>
      <c r="D315" s="3" t="s">
        <v>928</v>
      </c>
      <c r="E315" t="str">
        <f>TEXT(Table3[[#This Row],[order_date]],"mmm-yyyy")</f>
        <v>Jul-2025</v>
      </c>
    </row>
    <row r="316" spans="1:5">
      <c r="A316">
        <v>415</v>
      </c>
      <c r="B316">
        <v>119</v>
      </c>
      <c r="C316" s="1">
        <v>45870</v>
      </c>
      <c r="D316" s="3" t="s">
        <v>928</v>
      </c>
      <c r="E316" t="str">
        <f>TEXT(Table3[[#This Row],[order_date]],"mmm-yyyy")</f>
        <v>Aug-2025</v>
      </c>
    </row>
    <row r="317" spans="1:5">
      <c r="A317">
        <v>416</v>
      </c>
      <c r="B317">
        <v>156</v>
      </c>
      <c r="C317" s="1">
        <v>45873</v>
      </c>
      <c r="D317" s="3" t="s">
        <v>928</v>
      </c>
      <c r="E317" t="str">
        <f>TEXT(Table3[[#This Row],[order_date]],"mmm-yyyy")</f>
        <v>Aug-2025</v>
      </c>
    </row>
    <row r="318" spans="1:5">
      <c r="A318">
        <v>417</v>
      </c>
      <c r="B318">
        <v>193</v>
      </c>
      <c r="C318" s="1">
        <v>45876</v>
      </c>
      <c r="D318" s="3" t="s">
        <v>928</v>
      </c>
      <c r="E318" t="str">
        <f>TEXT(Table3[[#This Row],[order_date]],"mmm-yyyy")</f>
        <v>Aug-2025</v>
      </c>
    </row>
    <row r="319" spans="1:5">
      <c r="A319">
        <v>418</v>
      </c>
      <c r="B319">
        <v>230</v>
      </c>
      <c r="C319" s="1">
        <v>45879</v>
      </c>
      <c r="D319" s="3" t="s">
        <v>930</v>
      </c>
      <c r="E319" t="str">
        <f>TEXT(Table3[[#This Row],[order_date]],"mmm-yyyy")</f>
        <v>Aug-2025</v>
      </c>
    </row>
    <row r="320" spans="1:5">
      <c r="A320">
        <v>419</v>
      </c>
      <c r="B320">
        <v>267</v>
      </c>
      <c r="C320" s="1">
        <v>45882</v>
      </c>
      <c r="D320" s="3" t="s">
        <v>931</v>
      </c>
      <c r="E320" t="str">
        <f>TEXT(Table3[[#This Row],[order_date]],"mmm-yyyy")</f>
        <v>Aug-2025</v>
      </c>
    </row>
    <row r="321" spans="1:5">
      <c r="A321">
        <v>420</v>
      </c>
      <c r="B321">
        <v>304</v>
      </c>
      <c r="C321" s="1">
        <v>45885</v>
      </c>
      <c r="D321" s="3" t="s">
        <v>931</v>
      </c>
      <c r="E321" t="str">
        <f>TEXT(Table3[[#This Row],[order_date]],"mmm-yyyy")</f>
        <v>Aug-2025</v>
      </c>
    </row>
    <row r="322" spans="1:5">
      <c r="A322">
        <v>421</v>
      </c>
      <c r="B322">
        <v>341</v>
      </c>
      <c r="C322" s="1">
        <v>45888</v>
      </c>
      <c r="D322" s="3" t="s">
        <v>928</v>
      </c>
      <c r="E322" t="str">
        <f>TEXT(Table3[[#This Row],[order_date]],"mmm-yyyy")</f>
        <v>Aug-2025</v>
      </c>
    </row>
    <row r="323" spans="1:5">
      <c r="A323">
        <v>422</v>
      </c>
      <c r="B323">
        <v>378</v>
      </c>
      <c r="C323" s="1">
        <v>45891</v>
      </c>
      <c r="D323" s="3" t="s">
        <v>929</v>
      </c>
      <c r="E323" t="str">
        <f>TEXT(Table3[[#This Row],[order_date]],"mmm-yyyy")</f>
        <v>Aug-2025</v>
      </c>
    </row>
    <row r="324" spans="1:5">
      <c r="A324">
        <v>423</v>
      </c>
      <c r="B324">
        <v>415</v>
      </c>
      <c r="C324" s="1">
        <v>45894</v>
      </c>
      <c r="D324" s="3" t="s">
        <v>928</v>
      </c>
      <c r="E324" t="str">
        <f>TEXT(Table3[[#This Row],[order_date]],"mmm-yyyy")</f>
        <v>Aug-2025</v>
      </c>
    </row>
    <row r="325" spans="1:5">
      <c r="A325">
        <v>424</v>
      </c>
      <c r="B325">
        <v>452</v>
      </c>
      <c r="C325" s="1">
        <v>45897</v>
      </c>
      <c r="D325" s="3" t="s">
        <v>928</v>
      </c>
      <c r="E325" t="str">
        <f>TEXT(Table3[[#This Row],[order_date]],"mmm-yyyy")</f>
        <v>Aug-2025</v>
      </c>
    </row>
    <row r="326" spans="1:5">
      <c r="A326">
        <v>425</v>
      </c>
      <c r="B326">
        <v>489</v>
      </c>
      <c r="C326" s="1">
        <v>45900</v>
      </c>
      <c r="D326" s="3" t="s">
        <v>928</v>
      </c>
      <c r="E326" t="str">
        <f>TEXT(Table3[[#This Row],[order_date]],"mmm-yyyy")</f>
        <v>Aug-2025</v>
      </c>
    </row>
    <row r="327" spans="1:5">
      <c r="A327">
        <v>426</v>
      </c>
      <c r="B327">
        <v>26</v>
      </c>
      <c r="C327" s="1">
        <v>45903</v>
      </c>
      <c r="D327" s="3" t="s">
        <v>928</v>
      </c>
      <c r="E327" t="str">
        <f>TEXT(Table3[[#This Row],[order_date]],"mmm-yyyy")</f>
        <v>Sep-2025</v>
      </c>
    </row>
    <row r="328" spans="1:5">
      <c r="A328">
        <v>427</v>
      </c>
      <c r="B328">
        <v>63</v>
      </c>
      <c r="C328" s="1">
        <v>45906</v>
      </c>
      <c r="D328" s="3" t="s">
        <v>928</v>
      </c>
      <c r="E328" t="str">
        <f>TEXT(Table3[[#This Row],[order_date]],"mmm-yyyy")</f>
        <v>Sep-2025</v>
      </c>
    </row>
    <row r="329" spans="1:5">
      <c r="A329">
        <v>428</v>
      </c>
      <c r="B329">
        <v>100</v>
      </c>
      <c r="C329" s="1">
        <v>45909</v>
      </c>
      <c r="D329" s="3" t="s">
        <v>928</v>
      </c>
      <c r="E329" t="str">
        <f>TEXT(Table3[[#This Row],[order_date]],"mmm-yyyy")</f>
        <v>Sep-2025</v>
      </c>
    </row>
    <row r="330" spans="1:5">
      <c r="A330">
        <v>429</v>
      </c>
      <c r="B330">
        <v>137</v>
      </c>
      <c r="C330" s="1">
        <v>45912</v>
      </c>
      <c r="D330" s="3" t="s">
        <v>928</v>
      </c>
      <c r="E330" t="str">
        <f>TEXT(Table3[[#This Row],[order_date]],"mmm-yyyy")</f>
        <v>Sep-2025</v>
      </c>
    </row>
    <row r="331" spans="1:5">
      <c r="A331">
        <v>430</v>
      </c>
      <c r="B331">
        <v>174</v>
      </c>
      <c r="C331" s="1">
        <v>45915</v>
      </c>
      <c r="D331" s="3" t="s">
        <v>928</v>
      </c>
      <c r="E331" t="str">
        <f>TEXT(Table3[[#This Row],[order_date]],"mmm-yyyy")</f>
        <v>Sep-2025</v>
      </c>
    </row>
    <row r="332" spans="1:5">
      <c r="A332">
        <v>431</v>
      </c>
      <c r="B332">
        <v>211</v>
      </c>
      <c r="C332" s="1">
        <v>45918</v>
      </c>
      <c r="D332" s="3" t="s">
        <v>931</v>
      </c>
      <c r="E332" t="str">
        <f>TEXT(Table3[[#This Row],[order_date]],"mmm-yyyy")</f>
        <v>Sep-2025</v>
      </c>
    </row>
    <row r="333" spans="1:5">
      <c r="A333">
        <v>432</v>
      </c>
      <c r="B333">
        <v>248</v>
      </c>
      <c r="C333" s="1">
        <v>45921</v>
      </c>
      <c r="D333" s="3" t="s">
        <v>931</v>
      </c>
      <c r="E333" t="str">
        <f>TEXT(Table3[[#This Row],[order_date]],"mmm-yyyy")</f>
        <v>Sep-2025</v>
      </c>
    </row>
    <row r="334" spans="1:5">
      <c r="A334">
        <v>433</v>
      </c>
      <c r="B334">
        <v>285</v>
      </c>
      <c r="C334" s="1">
        <v>45924</v>
      </c>
      <c r="D334" s="3" t="s">
        <v>928</v>
      </c>
      <c r="E334" t="str">
        <f>TEXT(Table3[[#This Row],[order_date]],"mmm-yyyy")</f>
        <v>Sep-2025</v>
      </c>
    </row>
    <row r="335" spans="1:5">
      <c r="A335">
        <v>434</v>
      </c>
      <c r="B335">
        <v>322</v>
      </c>
      <c r="C335" s="1">
        <v>45927</v>
      </c>
      <c r="D335" s="3" t="s">
        <v>928</v>
      </c>
      <c r="E335" t="str">
        <f>TEXT(Table3[[#This Row],[order_date]],"mmm-yyyy")</f>
        <v>Sep-2025</v>
      </c>
    </row>
    <row r="336" spans="1:5">
      <c r="A336">
        <v>435</v>
      </c>
      <c r="B336">
        <v>359</v>
      </c>
      <c r="C336" s="1">
        <v>45930</v>
      </c>
      <c r="D336" s="3" t="s">
        <v>931</v>
      </c>
      <c r="E336" t="str">
        <f>TEXT(Table3[[#This Row],[order_date]],"mmm-yyyy")</f>
        <v>Sep-2025</v>
      </c>
    </row>
    <row r="337" spans="1:5">
      <c r="A337">
        <v>436</v>
      </c>
      <c r="B337">
        <v>396</v>
      </c>
      <c r="C337" s="1">
        <v>45933</v>
      </c>
      <c r="D337" s="3" t="s">
        <v>930</v>
      </c>
      <c r="E337" t="str">
        <f>TEXT(Table3[[#This Row],[order_date]],"mmm-yyyy")</f>
        <v>Oct-2025</v>
      </c>
    </row>
    <row r="338" spans="1:5">
      <c r="A338">
        <v>437</v>
      </c>
      <c r="B338">
        <v>433</v>
      </c>
      <c r="C338" s="1">
        <v>45936</v>
      </c>
      <c r="D338" s="3" t="s">
        <v>928</v>
      </c>
      <c r="E338" t="str">
        <f>TEXT(Table3[[#This Row],[order_date]],"mmm-yyyy")</f>
        <v>Oct-2025</v>
      </c>
    </row>
    <row r="339" spans="1:5">
      <c r="A339">
        <v>438</v>
      </c>
      <c r="B339">
        <v>470</v>
      </c>
      <c r="C339" s="1">
        <v>45939</v>
      </c>
      <c r="D339" s="3" t="s">
        <v>929</v>
      </c>
      <c r="E339" t="str">
        <f>TEXT(Table3[[#This Row],[order_date]],"mmm-yyyy")</f>
        <v>Oct-2025</v>
      </c>
    </row>
    <row r="340" spans="1:5">
      <c r="A340">
        <v>439</v>
      </c>
      <c r="B340">
        <v>7</v>
      </c>
      <c r="C340" s="1">
        <v>45942</v>
      </c>
      <c r="D340" s="3" t="s">
        <v>928</v>
      </c>
      <c r="E340" t="str">
        <f>TEXT(Table3[[#This Row],[order_date]],"mmm-yyyy")</f>
        <v>Oct-2025</v>
      </c>
    </row>
    <row r="341" spans="1:5">
      <c r="A341">
        <v>440</v>
      </c>
      <c r="B341">
        <v>44</v>
      </c>
      <c r="C341" s="1">
        <v>45945</v>
      </c>
      <c r="D341" s="3" t="s">
        <v>930</v>
      </c>
      <c r="E341" t="str">
        <f>TEXT(Table3[[#This Row],[order_date]],"mmm-yyyy")</f>
        <v>Oct-2025</v>
      </c>
    </row>
    <row r="342" spans="1:5">
      <c r="A342">
        <v>441</v>
      </c>
      <c r="B342">
        <v>81</v>
      </c>
      <c r="C342" s="1">
        <v>45948</v>
      </c>
      <c r="D342" s="3" t="s">
        <v>929</v>
      </c>
      <c r="E342" t="str">
        <f>TEXT(Table3[[#This Row],[order_date]],"mmm-yyyy")</f>
        <v>Oct-2025</v>
      </c>
    </row>
    <row r="343" spans="1:5">
      <c r="A343">
        <v>442</v>
      </c>
      <c r="B343">
        <v>118</v>
      </c>
      <c r="C343" s="1">
        <v>45951</v>
      </c>
      <c r="D343" s="3" t="s">
        <v>928</v>
      </c>
      <c r="E343" t="str">
        <f>TEXT(Table3[[#This Row],[order_date]],"mmm-yyyy")</f>
        <v>Oct-2025</v>
      </c>
    </row>
    <row r="344" spans="1:5">
      <c r="A344">
        <v>443</v>
      </c>
      <c r="B344">
        <v>155</v>
      </c>
      <c r="C344" s="1">
        <v>45954</v>
      </c>
      <c r="D344" s="3" t="s">
        <v>928</v>
      </c>
      <c r="E344" t="str">
        <f>TEXT(Table3[[#This Row],[order_date]],"mmm-yyyy")</f>
        <v>Oct-2025</v>
      </c>
    </row>
    <row r="345" spans="1:5">
      <c r="A345">
        <v>444</v>
      </c>
      <c r="B345">
        <v>192</v>
      </c>
      <c r="C345" s="1">
        <v>45957</v>
      </c>
      <c r="D345" s="3" t="s">
        <v>931</v>
      </c>
      <c r="E345" t="str">
        <f>TEXT(Table3[[#This Row],[order_date]],"mmm-yyyy")</f>
        <v>Oct-2025</v>
      </c>
    </row>
    <row r="346" spans="1:5">
      <c r="A346">
        <v>445</v>
      </c>
      <c r="B346">
        <v>229</v>
      </c>
      <c r="C346" s="1">
        <v>45960</v>
      </c>
      <c r="D346" s="3" t="s">
        <v>931</v>
      </c>
      <c r="E346" t="str">
        <f>TEXT(Table3[[#This Row],[order_date]],"mmm-yyyy")</f>
        <v>Oct-2025</v>
      </c>
    </row>
    <row r="347" spans="1:5">
      <c r="A347">
        <v>446</v>
      </c>
      <c r="B347">
        <v>266</v>
      </c>
      <c r="C347" s="1">
        <v>45963</v>
      </c>
      <c r="D347" s="3" t="s">
        <v>928</v>
      </c>
      <c r="E347" t="str">
        <f>TEXT(Table3[[#This Row],[order_date]],"mmm-yyyy")</f>
        <v>Nov-2025</v>
      </c>
    </row>
    <row r="348" spans="1:5">
      <c r="A348">
        <v>447</v>
      </c>
      <c r="B348">
        <v>303</v>
      </c>
      <c r="C348" s="1">
        <v>45966</v>
      </c>
      <c r="D348" s="3" t="s">
        <v>929</v>
      </c>
      <c r="E348" t="str">
        <f>TEXT(Table3[[#This Row],[order_date]],"mmm-yyyy")</f>
        <v>Nov-2025</v>
      </c>
    </row>
    <row r="349" spans="1:5">
      <c r="A349">
        <v>448</v>
      </c>
      <c r="B349">
        <v>340</v>
      </c>
      <c r="C349" s="1">
        <v>45969</v>
      </c>
      <c r="D349" s="3" t="s">
        <v>928</v>
      </c>
      <c r="E349" t="str">
        <f>TEXT(Table3[[#This Row],[order_date]],"mmm-yyyy")</f>
        <v>Nov-2025</v>
      </c>
    </row>
    <row r="350" spans="1:5">
      <c r="A350">
        <v>449</v>
      </c>
      <c r="B350">
        <v>377</v>
      </c>
      <c r="C350" s="1">
        <v>45972</v>
      </c>
      <c r="D350" s="3" t="s">
        <v>928</v>
      </c>
      <c r="E350" t="str">
        <f>TEXT(Table3[[#This Row],[order_date]],"mmm-yyyy")</f>
        <v>Nov-2025</v>
      </c>
    </row>
    <row r="351" spans="1:5">
      <c r="A351">
        <v>450</v>
      </c>
      <c r="B351">
        <v>414</v>
      </c>
      <c r="C351" s="1">
        <v>45975</v>
      </c>
      <c r="D351" s="3" t="s">
        <v>929</v>
      </c>
      <c r="E351" t="str">
        <f>TEXT(Table3[[#This Row],[order_date]],"mmm-yyyy")</f>
        <v>Nov-2025</v>
      </c>
    </row>
    <row r="352" spans="1:5">
      <c r="A352">
        <v>451</v>
      </c>
      <c r="B352">
        <v>451</v>
      </c>
      <c r="C352" s="1">
        <v>45978</v>
      </c>
      <c r="D352" s="3" t="s">
        <v>929</v>
      </c>
      <c r="E352" t="str">
        <f>TEXT(Table3[[#This Row],[order_date]],"mmm-yyyy")</f>
        <v>Nov-2025</v>
      </c>
    </row>
    <row r="353" spans="1:5">
      <c r="A353">
        <v>452</v>
      </c>
      <c r="B353">
        <v>488</v>
      </c>
      <c r="C353" s="1">
        <v>45981</v>
      </c>
      <c r="D353" s="3" t="s">
        <v>929</v>
      </c>
      <c r="E353" t="str">
        <f>TEXT(Table3[[#This Row],[order_date]],"mmm-yyyy")</f>
        <v>Nov-2025</v>
      </c>
    </row>
    <row r="354" spans="1:5">
      <c r="A354">
        <v>453</v>
      </c>
      <c r="B354">
        <v>25</v>
      </c>
      <c r="C354" s="1">
        <v>45984</v>
      </c>
      <c r="D354" s="3" t="s">
        <v>931</v>
      </c>
      <c r="E354" t="str">
        <f>TEXT(Table3[[#This Row],[order_date]],"mmm-yyyy")</f>
        <v>Nov-2025</v>
      </c>
    </row>
    <row r="355" spans="1:5">
      <c r="A355">
        <v>454</v>
      </c>
      <c r="B355">
        <v>62</v>
      </c>
      <c r="C355" s="1">
        <v>45987</v>
      </c>
      <c r="D355" s="3" t="s">
        <v>928</v>
      </c>
      <c r="E355" t="str">
        <f>TEXT(Table3[[#This Row],[order_date]],"mmm-yyyy")</f>
        <v>Nov-2025</v>
      </c>
    </row>
    <row r="356" spans="1:5">
      <c r="A356">
        <v>455</v>
      </c>
      <c r="B356">
        <v>99</v>
      </c>
      <c r="C356" s="1">
        <v>45990</v>
      </c>
      <c r="D356" s="3" t="s">
        <v>928</v>
      </c>
      <c r="E356" t="str">
        <f>TEXT(Table3[[#This Row],[order_date]],"mmm-yyyy")</f>
        <v>Nov-2025</v>
      </c>
    </row>
    <row r="357" spans="1:5">
      <c r="A357">
        <v>456</v>
      </c>
      <c r="B357">
        <v>136</v>
      </c>
      <c r="C357" s="1">
        <v>45993</v>
      </c>
      <c r="D357" s="3" t="s">
        <v>929</v>
      </c>
      <c r="E357" t="str">
        <f>TEXT(Table3[[#This Row],[order_date]],"mmm-yyyy")</f>
        <v>Dec-2025</v>
      </c>
    </row>
    <row r="358" spans="1:5">
      <c r="A358">
        <v>457</v>
      </c>
      <c r="B358">
        <v>173</v>
      </c>
      <c r="C358" s="1">
        <v>45996</v>
      </c>
      <c r="D358" s="3" t="s">
        <v>929</v>
      </c>
      <c r="E358" t="str">
        <f>TEXT(Table3[[#This Row],[order_date]],"mmm-yyyy")</f>
        <v>Dec-2025</v>
      </c>
    </row>
    <row r="359" spans="1:5">
      <c r="A359">
        <v>458</v>
      </c>
      <c r="B359">
        <v>210</v>
      </c>
      <c r="C359" s="1">
        <v>45999</v>
      </c>
      <c r="D359" s="3" t="s">
        <v>929</v>
      </c>
      <c r="E359" t="str">
        <f>TEXT(Table3[[#This Row],[order_date]],"mmm-yyyy")</f>
        <v>Dec-2025</v>
      </c>
    </row>
    <row r="360" spans="1:5">
      <c r="A360">
        <v>459</v>
      </c>
      <c r="B360">
        <v>247</v>
      </c>
      <c r="C360" s="1">
        <v>46002</v>
      </c>
      <c r="D360" s="3" t="s">
        <v>928</v>
      </c>
      <c r="E360" t="str">
        <f>TEXT(Table3[[#This Row],[order_date]],"mmm-yyyy")</f>
        <v>Dec-2025</v>
      </c>
    </row>
    <row r="361" spans="1:5">
      <c r="A361">
        <v>460</v>
      </c>
      <c r="B361">
        <v>284</v>
      </c>
      <c r="C361" s="1">
        <v>46005</v>
      </c>
      <c r="D361" s="3" t="s">
        <v>928</v>
      </c>
      <c r="E361" t="str">
        <f>TEXT(Table3[[#This Row],[order_date]],"mmm-yyyy")</f>
        <v>Dec-2025</v>
      </c>
    </row>
    <row r="362" spans="1:5">
      <c r="A362">
        <v>461</v>
      </c>
      <c r="B362">
        <v>321</v>
      </c>
      <c r="C362" s="1">
        <v>46008</v>
      </c>
      <c r="D362" s="3" t="s">
        <v>928</v>
      </c>
      <c r="E362" t="str">
        <f>TEXT(Table3[[#This Row],[order_date]],"mmm-yyyy")</f>
        <v>Dec-2025</v>
      </c>
    </row>
    <row r="363" spans="1:5">
      <c r="A363">
        <v>462</v>
      </c>
      <c r="B363">
        <v>358</v>
      </c>
      <c r="C363" s="1">
        <v>46011</v>
      </c>
      <c r="D363" s="3" t="s">
        <v>928</v>
      </c>
      <c r="E363" t="str">
        <f>TEXT(Table3[[#This Row],[order_date]],"mmm-yyyy")</f>
        <v>Dec-2025</v>
      </c>
    </row>
    <row r="364" spans="1:5">
      <c r="A364">
        <v>463</v>
      </c>
      <c r="B364">
        <v>395</v>
      </c>
      <c r="C364" s="1">
        <v>46014</v>
      </c>
      <c r="D364" s="3" t="s">
        <v>928</v>
      </c>
      <c r="E364" t="str">
        <f>TEXT(Table3[[#This Row],[order_date]],"mmm-yyyy")</f>
        <v>Dec-2025</v>
      </c>
    </row>
    <row r="365" spans="1:5">
      <c r="A365">
        <v>464</v>
      </c>
      <c r="B365">
        <v>432</v>
      </c>
      <c r="C365" s="1">
        <v>46017</v>
      </c>
      <c r="D365" s="3" t="s">
        <v>928</v>
      </c>
      <c r="E365" t="str">
        <f>TEXT(Table3[[#This Row],[order_date]],"mmm-yyyy")</f>
        <v>Dec-2025</v>
      </c>
    </row>
    <row r="366" spans="1:5">
      <c r="A366">
        <v>465</v>
      </c>
      <c r="B366">
        <v>469</v>
      </c>
      <c r="C366" s="1">
        <v>46020</v>
      </c>
      <c r="D366" s="3" t="s">
        <v>928</v>
      </c>
      <c r="E366" t="str">
        <f>TEXT(Table3[[#This Row],[order_date]],"mmm-yyyy")</f>
        <v>Dec-2025</v>
      </c>
    </row>
    <row r="367" spans="1:5">
      <c r="A367">
        <v>466</v>
      </c>
      <c r="B367">
        <v>6</v>
      </c>
      <c r="C367" s="1">
        <v>45658</v>
      </c>
      <c r="D367" s="3" t="s">
        <v>931</v>
      </c>
      <c r="E367" t="str">
        <f>TEXT(Table3[[#This Row],[order_date]],"mmm-yyyy")</f>
        <v>Jan-2025</v>
      </c>
    </row>
    <row r="368" spans="1:5">
      <c r="A368">
        <v>467</v>
      </c>
      <c r="B368">
        <v>43</v>
      </c>
      <c r="C368" s="1">
        <v>45661</v>
      </c>
      <c r="D368" s="3" t="s">
        <v>928</v>
      </c>
      <c r="E368" t="str">
        <f>TEXT(Table3[[#This Row],[order_date]],"mmm-yyyy")</f>
        <v>Jan-2025</v>
      </c>
    </row>
    <row r="369" spans="1:5">
      <c r="A369">
        <v>468</v>
      </c>
      <c r="B369">
        <v>80</v>
      </c>
      <c r="C369" s="1">
        <v>45664</v>
      </c>
      <c r="D369" s="3" t="s">
        <v>928</v>
      </c>
      <c r="E369" t="str">
        <f>TEXT(Table3[[#This Row],[order_date]],"mmm-yyyy")</f>
        <v>Jan-2025</v>
      </c>
    </row>
    <row r="370" spans="1:5">
      <c r="A370">
        <v>469</v>
      </c>
      <c r="B370">
        <v>117</v>
      </c>
      <c r="C370" s="1">
        <v>45667</v>
      </c>
      <c r="D370" s="3" t="s">
        <v>929</v>
      </c>
      <c r="E370" t="str">
        <f>TEXT(Table3[[#This Row],[order_date]],"mmm-yyyy")</f>
        <v>Jan-2025</v>
      </c>
    </row>
    <row r="371" spans="1:5">
      <c r="A371">
        <v>470</v>
      </c>
      <c r="B371">
        <v>154</v>
      </c>
      <c r="C371" s="1">
        <v>45670</v>
      </c>
      <c r="D371" s="3" t="s">
        <v>928</v>
      </c>
      <c r="E371" t="str">
        <f>TEXT(Table3[[#This Row],[order_date]],"mmm-yyyy")</f>
        <v>Jan-2025</v>
      </c>
    </row>
    <row r="372" spans="1:5">
      <c r="A372">
        <v>471</v>
      </c>
      <c r="B372">
        <v>191</v>
      </c>
      <c r="C372" s="1">
        <v>45673</v>
      </c>
      <c r="D372" s="3" t="s">
        <v>928</v>
      </c>
      <c r="E372" t="str">
        <f>TEXT(Table3[[#This Row],[order_date]],"mmm-yyyy")</f>
        <v>Jan-2025</v>
      </c>
    </row>
    <row r="373" spans="1:5">
      <c r="A373">
        <v>472</v>
      </c>
      <c r="B373">
        <v>228</v>
      </c>
      <c r="C373" s="1">
        <v>45676</v>
      </c>
      <c r="D373" s="3" t="s">
        <v>928</v>
      </c>
      <c r="E373" t="str">
        <f>TEXT(Table3[[#This Row],[order_date]],"mmm-yyyy")</f>
        <v>Jan-2025</v>
      </c>
    </row>
    <row r="374" spans="1:5">
      <c r="A374">
        <v>473</v>
      </c>
      <c r="B374">
        <v>265</v>
      </c>
      <c r="C374" s="1">
        <v>45679</v>
      </c>
      <c r="D374" s="3" t="s">
        <v>928</v>
      </c>
      <c r="E374" t="str">
        <f>TEXT(Table3[[#This Row],[order_date]],"mmm-yyyy")</f>
        <v>Jan-2025</v>
      </c>
    </row>
    <row r="375" spans="1:5">
      <c r="A375">
        <v>474</v>
      </c>
      <c r="B375">
        <v>302</v>
      </c>
      <c r="C375" s="1">
        <v>45682</v>
      </c>
      <c r="D375" s="3" t="s">
        <v>929</v>
      </c>
      <c r="E375" t="str">
        <f>TEXT(Table3[[#This Row],[order_date]],"mmm-yyyy")</f>
        <v>Jan-2025</v>
      </c>
    </row>
    <row r="376" spans="1:5">
      <c r="A376">
        <v>475</v>
      </c>
      <c r="B376">
        <v>339</v>
      </c>
      <c r="C376" s="1">
        <v>45685</v>
      </c>
      <c r="D376" s="3" t="s">
        <v>930</v>
      </c>
      <c r="E376" t="str">
        <f>TEXT(Table3[[#This Row],[order_date]],"mmm-yyyy")</f>
        <v>Jan-2025</v>
      </c>
    </row>
    <row r="377" spans="1:5">
      <c r="A377">
        <v>476</v>
      </c>
      <c r="B377">
        <v>376</v>
      </c>
      <c r="C377" s="1">
        <v>45688</v>
      </c>
      <c r="D377" s="3" t="s">
        <v>928</v>
      </c>
      <c r="E377" t="str">
        <f>TEXT(Table3[[#This Row],[order_date]],"mmm-yyyy")</f>
        <v>Jan-2025</v>
      </c>
    </row>
    <row r="378" spans="1:5">
      <c r="A378">
        <v>477</v>
      </c>
      <c r="B378">
        <v>413</v>
      </c>
      <c r="C378" s="1">
        <v>45691</v>
      </c>
      <c r="D378" s="3" t="s">
        <v>931</v>
      </c>
      <c r="E378" t="str">
        <f>TEXT(Table3[[#This Row],[order_date]],"mmm-yyyy")</f>
        <v>Feb-2025</v>
      </c>
    </row>
    <row r="379" spans="1:5">
      <c r="A379">
        <v>478</v>
      </c>
      <c r="B379">
        <v>450</v>
      </c>
      <c r="C379" s="1">
        <v>45694</v>
      </c>
      <c r="D379" s="3" t="s">
        <v>931</v>
      </c>
      <c r="E379" t="str">
        <f>TEXT(Table3[[#This Row],[order_date]],"mmm-yyyy")</f>
        <v>Feb-2025</v>
      </c>
    </row>
    <row r="380" spans="1:5">
      <c r="A380">
        <v>479</v>
      </c>
      <c r="B380">
        <v>487</v>
      </c>
      <c r="C380" s="1">
        <v>45697</v>
      </c>
      <c r="D380" s="3" t="s">
        <v>928</v>
      </c>
      <c r="E380" t="str">
        <f>TEXT(Table3[[#This Row],[order_date]],"mmm-yyyy")</f>
        <v>Feb-2025</v>
      </c>
    </row>
    <row r="381" spans="1:5">
      <c r="A381">
        <v>480</v>
      </c>
      <c r="B381">
        <v>24</v>
      </c>
      <c r="C381" s="1">
        <v>45700</v>
      </c>
      <c r="D381" s="3" t="s">
        <v>929</v>
      </c>
      <c r="E381" t="str">
        <f>TEXT(Table3[[#This Row],[order_date]],"mmm-yyyy")</f>
        <v>Feb-2025</v>
      </c>
    </row>
    <row r="382" spans="1:5">
      <c r="A382">
        <v>481</v>
      </c>
      <c r="B382">
        <v>61</v>
      </c>
      <c r="C382" s="1">
        <v>45703</v>
      </c>
      <c r="D382" s="3" t="s">
        <v>928</v>
      </c>
      <c r="E382" t="str">
        <f>TEXT(Table3[[#This Row],[order_date]],"mmm-yyyy")</f>
        <v>Feb-2025</v>
      </c>
    </row>
    <row r="383" spans="1:5">
      <c r="A383">
        <v>482</v>
      </c>
      <c r="B383">
        <v>98</v>
      </c>
      <c r="C383" s="1">
        <v>45706</v>
      </c>
      <c r="D383" s="3" t="s">
        <v>928</v>
      </c>
      <c r="E383" t="str">
        <f>TEXT(Table3[[#This Row],[order_date]],"mmm-yyyy")</f>
        <v>Feb-2025</v>
      </c>
    </row>
    <row r="384" spans="1:5">
      <c r="A384">
        <v>483</v>
      </c>
      <c r="B384">
        <v>135</v>
      </c>
      <c r="C384" s="1">
        <v>45709</v>
      </c>
      <c r="D384" s="3" t="s">
        <v>928</v>
      </c>
      <c r="E384" t="str">
        <f>TEXT(Table3[[#This Row],[order_date]],"mmm-yyyy")</f>
        <v>Feb-2025</v>
      </c>
    </row>
    <row r="385" spans="1:5">
      <c r="A385">
        <v>484</v>
      </c>
      <c r="B385">
        <v>172</v>
      </c>
      <c r="C385" s="1">
        <v>45712</v>
      </c>
      <c r="D385" s="3" t="s">
        <v>929</v>
      </c>
      <c r="E385" t="str">
        <f>TEXT(Table3[[#This Row],[order_date]],"mmm-yyyy")</f>
        <v>Feb-2025</v>
      </c>
    </row>
    <row r="386" spans="1:5">
      <c r="A386">
        <v>485</v>
      </c>
      <c r="B386">
        <v>209</v>
      </c>
      <c r="C386" s="1">
        <v>45715</v>
      </c>
      <c r="D386" s="3" t="s">
        <v>928</v>
      </c>
      <c r="E386" t="str">
        <f>TEXT(Table3[[#This Row],[order_date]],"mmm-yyyy")</f>
        <v>Feb-2025</v>
      </c>
    </row>
    <row r="387" spans="1:5">
      <c r="A387">
        <v>486</v>
      </c>
      <c r="B387">
        <v>246</v>
      </c>
      <c r="C387" s="1">
        <v>45718</v>
      </c>
      <c r="D387" s="3" t="s">
        <v>929</v>
      </c>
      <c r="E387" t="str">
        <f>TEXT(Table3[[#This Row],[order_date]],"mmm-yyyy")</f>
        <v>Mar-2025</v>
      </c>
    </row>
    <row r="388" spans="1:5">
      <c r="A388">
        <v>487</v>
      </c>
      <c r="B388">
        <v>283</v>
      </c>
      <c r="C388" s="1">
        <v>45721</v>
      </c>
      <c r="D388" s="3" t="s">
        <v>928</v>
      </c>
      <c r="E388" t="str">
        <f>TEXT(Table3[[#This Row],[order_date]],"mmm-yyyy")</f>
        <v>Mar-2025</v>
      </c>
    </row>
    <row r="389" spans="1:5">
      <c r="A389">
        <v>488</v>
      </c>
      <c r="B389">
        <v>320</v>
      </c>
      <c r="C389" s="1">
        <v>45724</v>
      </c>
      <c r="D389" s="3" t="s">
        <v>929</v>
      </c>
      <c r="E389" t="str">
        <f>TEXT(Table3[[#This Row],[order_date]],"mmm-yyyy")</f>
        <v>Mar-2025</v>
      </c>
    </row>
    <row r="390" spans="1:5">
      <c r="A390">
        <v>489</v>
      </c>
      <c r="B390">
        <v>357</v>
      </c>
      <c r="C390" s="1">
        <v>45727</v>
      </c>
      <c r="D390" s="3" t="s">
        <v>929</v>
      </c>
      <c r="E390" t="str">
        <f>TEXT(Table3[[#This Row],[order_date]],"mmm-yyyy")</f>
        <v>Mar-2025</v>
      </c>
    </row>
    <row r="391" spans="1:5">
      <c r="A391">
        <v>490</v>
      </c>
      <c r="B391">
        <v>394</v>
      </c>
      <c r="C391" s="1">
        <v>45730</v>
      </c>
      <c r="D391" s="3" t="s">
        <v>928</v>
      </c>
      <c r="E391" t="str">
        <f>TEXT(Table3[[#This Row],[order_date]],"mmm-yyyy")</f>
        <v>Mar-2025</v>
      </c>
    </row>
    <row r="392" spans="1:5">
      <c r="A392">
        <v>491</v>
      </c>
      <c r="B392">
        <v>431</v>
      </c>
      <c r="C392" s="1">
        <v>45733</v>
      </c>
      <c r="D392" s="3" t="s">
        <v>928</v>
      </c>
      <c r="E392" t="str">
        <f>TEXT(Table3[[#This Row],[order_date]],"mmm-yyyy")</f>
        <v>Mar-2025</v>
      </c>
    </row>
    <row r="393" spans="1:5">
      <c r="A393">
        <v>492</v>
      </c>
      <c r="B393">
        <v>468</v>
      </c>
      <c r="C393" s="1">
        <v>45736</v>
      </c>
      <c r="D393" s="3" t="s">
        <v>928</v>
      </c>
      <c r="E393" t="str">
        <f>TEXT(Table3[[#This Row],[order_date]],"mmm-yyyy")</f>
        <v>Mar-2025</v>
      </c>
    </row>
    <row r="394" spans="1:5">
      <c r="A394">
        <v>493</v>
      </c>
      <c r="B394">
        <v>5</v>
      </c>
      <c r="C394" s="1">
        <v>45739</v>
      </c>
      <c r="D394" s="3" t="s">
        <v>928</v>
      </c>
      <c r="E394" t="str">
        <f>TEXT(Table3[[#This Row],[order_date]],"mmm-yyyy")</f>
        <v>Mar-2025</v>
      </c>
    </row>
    <row r="395" spans="1:5">
      <c r="A395">
        <v>494</v>
      </c>
      <c r="B395">
        <v>42</v>
      </c>
      <c r="C395" s="1">
        <v>45742</v>
      </c>
      <c r="D395" s="3" t="s">
        <v>928</v>
      </c>
      <c r="E395" t="str">
        <f>TEXT(Table3[[#This Row],[order_date]],"mmm-yyyy")</f>
        <v>Mar-2025</v>
      </c>
    </row>
    <row r="396" spans="1:5">
      <c r="A396">
        <v>495</v>
      </c>
      <c r="B396">
        <v>79</v>
      </c>
      <c r="C396" s="1">
        <v>45745</v>
      </c>
      <c r="D396" s="3" t="s">
        <v>928</v>
      </c>
      <c r="E396" t="str">
        <f>TEXT(Table3[[#This Row],[order_date]],"mmm-yyyy")</f>
        <v>Mar-2025</v>
      </c>
    </row>
    <row r="397" spans="1:5">
      <c r="A397">
        <v>496</v>
      </c>
      <c r="B397">
        <v>116</v>
      </c>
      <c r="C397" s="1">
        <v>45748</v>
      </c>
      <c r="D397" s="3" t="s">
        <v>928</v>
      </c>
      <c r="E397" t="str">
        <f>TEXT(Table3[[#This Row],[order_date]],"mmm-yyyy")</f>
        <v>Apr-2025</v>
      </c>
    </row>
    <row r="398" spans="1:5">
      <c r="A398">
        <v>497</v>
      </c>
      <c r="B398">
        <v>153</v>
      </c>
      <c r="C398" s="1">
        <v>45751</v>
      </c>
      <c r="D398" s="3" t="s">
        <v>928</v>
      </c>
      <c r="E398" t="str">
        <f>TEXT(Table3[[#This Row],[order_date]],"mmm-yyyy")</f>
        <v>Apr-2025</v>
      </c>
    </row>
    <row r="399" spans="1:5">
      <c r="A399">
        <v>498</v>
      </c>
      <c r="B399">
        <v>190</v>
      </c>
      <c r="C399" s="1">
        <v>45754</v>
      </c>
      <c r="D399" s="3" t="s">
        <v>928</v>
      </c>
      <c r="E399" t="str">
        <f>TEXT(Table3[[#This Row],[order_date]],"mmm-yyyy")</f>
        <v>Apr-2025</v>
      </c>
    </row>
    <row r="400" spans="1:5">
      <c r="A400">
        <v>499</v>
      </c>
      <c r="B400">
        <v>227</v>
      </c>
      <c r="C400" s="1">
        <v>45757</v>
      </c>
      <c r="D400" s="3" t="s">
        <v>928</v>
      </c>
      <c r="E400" t="str">
        <f>TEXT(Table3[[#This Row],[order_date]],"mmm-yyyy")</f>
        <v>Apr-2025</v>
      </c>
    </row>
    <row r="401" spans="1:5">
      <c r="A401">
        <v>500</v>
      </c>
      <c r="B401">
        <v>264</v>
      </c>
      <c r="C401" s="1">
        <v>45760</v>
      </c>
      <c r="D401" s="3" t="s">
        <v>928</v>
      </c>
      <c r="E401" t="str">
        <f>TEXT(Table3[[#This Row],[order_date]],"mmm-yyyy")</f>
        <v>Apr-2025</v>
      </c>
    </row>
    <row r="402" spans="1:5">
      <c r="A402">
        <v>501</v>
      </c>
      <c r="B402">
        <v>301</v>
      </c>
      <c r="C402" s="1">
        <v>45763</v>
      </c>
      <c r="D402" s="3" t="s">
        <v>928</v>
      </c>
      <c r="E402" t="str">
        <f>TEXT(Table3[[#This Row],[order_date]],"mmm-yyyy")</f>
        <v>Apr-2025</v>
      </c>
    </row>
    <row r="403" spans="1:5">
      <c r="A403">
        <v>502</v>
      </c>
      <c r="B403">
        <v>338</v>
      </c>
      <c r="C403" s="1">
        <v>45766</v>
      </c>
      <c r="D403" s="3" t="s">
        <v>928</v>
      </c>
      <c r="E403" t="str">
        <f>TEXT(Table3[[#This Row],[order_date]],"mmm-yyyy")</f>
        <v>Apr-2025</v>
      </c>
    </row>
    <row r="404" spans="1:5">
      <c r="A404">
        <v>503</v>
      </c>
      <c r="B404">
        <v>375</v>
      </c>
      <c r="C404" s="1">
        <v>45769</v>
      </c>
      <c r="D404" s="3" t="s">
        <v>928</v>
      </c>
      <c r="E404" t="str">
        <f>TEXT(Table3[[#This Row],[order_date]],"mmm-yyyy")</f>
        <v>Apr-2025</v>
      </c>
    </row>
    <row r="405" spans="1:5">
      <c r="A405">
        <v>504</v>
      </c>
      <c r="B405">
        <v>412</v>
      </c>
      <c r="C405" s="1">
        <v>45772</v>
      </c>
      <c r="D405" s="3" t="s">
        <v>928</v>
      </c>
      <c r="E405" t="str">
        <f>TEXT(Table3[[#This Row],[order_date]],"mmm-yyyy")</f>
        <v>Apr-2025</v>
      </c>
    </row>
    <row r="406" spans="1:5">
      <c r="A406">
        <v>505</v>
      </c>
      <c r="B406">
        <v>449</v>
      </c>
      <c r="C406" s="1">
        <v>45775</v>
      </c>
      <c r="D406" s="3" t="s">
        <v>928</v>
      </c>
      <c r="E406" t="str">
        <f>TEXT(Table3[[#This Row],[order_date]],"mmm-yyyy")</f>
        <v>Apr-2025</v>
      </c>
    </row>
    <row r="407" spans="1:5">
      <c r="A407">
        <v>506</v>
      </c>
      <c r="B407">
        <v>486</v>
      </c>
      <c r="C407" s="1">
        <v>45778</v>
      </c>
      <c r="D407" s="3" t="s">
        <v>928</v>
      </c>
      <c r="E407" t="str">
        <f>TEXT(Table3[[#This Row],[order_date]],"mmm-yyyy")</f>
        <v>May-2025</v>
      </c>
    </row>
    <row r="408" spans="1:5">
      <c r="A408">
        <v>507</v>
      </c>
      <c r="B408">
        <v>23</v>
      </c>
      <c r="C408" s="1">
        <v>45781</v>
      </c>
      <c r="D408" s="3" t="s">
        <v>931</v>
      </c>
      <c r="E408" t="str">
        <f>TEXT(Table3[[#This Row],[order_date]],"mmm-yyyy")</f>
        <v>May-2025</v>
      </c>
    </row>
    <row r="409" spans="1:5">
      <c r="A409">
        <v>508</v>
      </c>
      <c r="B409">
        <v>60</v>
      </c>
      <c r="C409" s="1">
        <v>45784</v>
      </c>
      <c r="D409" s="3" t="s">
        <v>930</v>
      </c>
      <c r="E409" t="str">
        <f>TEXT(Table3[[#This Row],[order_date]],"mmm-yyyy")</f>
        <v>May-2025</v>
      </c>
    </row>
    <row r="410" spans="1:5">
      <c r="A410">
        <v>509</v>
      </c>
      <c r="B410">
        <v>97</v>
      </c>
      <c r="C410" s="1">
        <v>45787</v>
      </c>
      <c r="D410" s="3" t="s">
        <v>928</v>
      </c>
      <c r="E410" t="str">
        <f>TEXT(Table3[[#This Row],[order_date]],"mmm-yyyy")</f>
        <v>May-2025</v>
      </c>
    </row>
    <row r="411" spans="1:5">
      <c r="A411">
        <v>510</v>
      </c>
      <c r="B411">
        <v>134</v>
      </c>
      <c r="C411" s="1">
        <v>45790</v>
      </c>
      <c r="D411" s="3" t="s">
        <v>931</v>
      </c>
      <c r="E411" t="str">
        <f>TEXT(Table3[[#This Row],[order_date]],"mmm-yyyy")</f>
        <v>May-2025</v>
      </c>
    </row>
    <row r="412" spans="1:5">
      <c r="A412">
        <v>511</v>
      </c>
      <c r="B412">
        <v>171</v>
      </c>
      <c r="C412" s="1">
        <v>45793</v>
      </c>
      <c r="D412" s="3" t="s">
        <v>928</v>
      </c>
      <c r="E412" t="str">
        <f>TEXT(Table3[[#This Row],[order_date]],"mmm-yyyy")</f>
        <v>May-2025</v>
      </c>
    </row>
    <row r="413" spans="1:5">
      <c r="A413">
        <v>512</v>
      </c>
      <c r="B413">
        <v>208</v>
      </c>
      <c r="C413" s="1">
        <v>45796</v>
      </c>
      <c r="D413" s="3" t="s">
        <v>928</v>
      </c>
      <c r="E413" t="str">
        <f>TEXT(Table3[[#This Row],[order_date]],"mmm-yyyy")</f>
        <v>May-2025</v>
      </c>
    </row>
    <row r="414" spans="1:5">
      <c r="A414">
        <v>513</v>
      </c>
      <c r="B414">
        <v>245</v>
      </c>
      <c r="C414" s="1">
        <v>45799</v>
      </c>
      <c r="D414" s="3" t="s">
        <v>928</v>
      </c>
      <c r="E414" t="str">
        <f>TEXT(Table3[[#This Row],[order_date]],"mmm-yyyy")</f>
        <v>May-2025</v>
      </c>
    </row>
    <row r="415" spans="1:5">
      <c r="A415">
        <v>514</v>
      </c>
      <c r="B415">
        <v>282</v>
      </c>
      <c r="C415" s="1">
        <v>45802</v>
      </c>
      <c r="D415" s="3" t="s">
        <v>928</v>
      </c>
      <c r="E415" t="str">
        <f>TEXT(Table3[[#This Row],[order_date]],"mmm-yyyy")</f>
        <v>May-2025</v>
      </c>
    </row>
    <row r="416" spans="1:5">
      <c r="A416">
        <v>515</v>
      </c>
      <c r="B416">
        <v>319</v>
      </c>
      <c r="C416" s="1">
        <v>45805</v>
      </c>
      <c r="D416" s="3" t="s">
        <v>928</v>
      </c>
      <c r="E416" t="str">
        <f>TEXT(Table3[[#This Row],[order_date]],"mmm-yyyy")</f>
        <v>May-2025</v>
      </c>
    </row>
    <row r="417" spans="1:5">
      <c r="A417">
        <v>516</v>
      </c>
      <c r="B417">
        <v>356</v>
      </c>
      <c r="C417" s="1">
        <v>45808</v>
      </c>
      <c r="D417" s="3" t="s">
        <v>928</v>
      </c>
      <c r="E417" t="str">
        <f>TEXT(Table3[[#This Row],[order_date]],"mmm-yyyy")</f>
        <v>May-2025</v>
      </c>
    </row>
    <row r="418" spans="1:5">
      <c r="A418">
        <v>517</v>
      </c>
      <c r="B418">
        <v>393</v>
      </c>
      <c r="C418" s="1">
        <v>45811</v>
      </c>
      <c r="D418" s="3" t="s">
        <v>928</v>
      </c>
      <c r="E418" t="str">
        <f>TEXT(Table3[[#This Row],[order_date]],"mmm-yyyy")</f>
        <v>Jun-2025</v>
      </c>
    </row>
    <row r="419" spans="1:5">
      <c r="A419">
        <v>518</v>
      </c>
      <c r="B419">
        <v>430</v>
      </c>
      <c r="C419" s="1">
        <v>45814</v>
      </c>
      <c r="D419" s="3" t="s">
        <v>928</v>
      </c>
      <c r="E419" t="str">
        <f>TEXT(Table3[[#This Row],[order_date]],"mmm-yyyy")</f>
        <v>Jun-2025</v>
      </c>
    </row>
    <row r="420" spans="1:5">
      <c r="A420">
        <v>519</v>
      </c>
      <c r="B420">
        <v>467</v>
      </c>
      <c r="C420" s="1">
        <v>45817</v>
      </c>
      <c r="D420" s="3" t="s">
        <v>928</v>
      </c>
      <c r="E420" t="str">
        <f>TEXT(Table3[[#This Row],[order_date]],"mmm-yyyy")</f>
        <v>Jun-2025</v>
      </c>
    </row>
    <row r="421" spans="1:5">
      <c r="A421">
        <v>520</v>
      </c>
      <c r="B421">
        <v>4</v>
      </c>
      <c r="C421" s="1">
        <v>45820</v>
      </c>
      <c r="D421" s="3" t="s">
        <v>928</v>
      </c>
      <c r="E421" t="str">
        <f>TEXT(Table3[[#This Row],[order_date]],"mmm-yyyy")</f>
        <v>Jun-2025</v>
      </c>
    </row>
    <row r="422" spans="1:5">
      <c r="A422">
        <v>521</v>
      </c>
      <c r="B422">
        <v>41</v>
      </c>
      <c r="C422" s="1">
        <v>45823</v>
      </c>
      <c r="D422" s="3" t="s">
        <v>931</v>
      </c>
      <c r="E422" t="str">
        <f>TEXT(Table3[[#This Row],[order_date]],"mmm-yyyy")</f>
        <v>Jun-2025</v>
      </c>
    </row>
    <row r="423" spans="1:5">
      <c r="A423">
        <v>522</v>
      </c>
      <c r="B423">
        <v>78</v>
      </c>
      <c r="C423" s="1">
        <v>45826</v>
      </c>
      <c r="D423" s="3" t="s">
        <v>928</v>
      </c>
      <c r="E423" t="str">
        <f>TEXT(Table3[[#This Row],[order_date]],"mmm-yyyy")</f>
        <v>Jun-2025</v>
      </c>
    </row>
    <row r="424" spans="1:5">
      <c r="A424">
        <v>523</v>
      </c>
      <c r="B424">
        <v>115</v>
      </c>
      <c r="C424" s="1">
        <v>45829</v>
      </c>
      <c r="D424" s="3" t="s">
        <v>928</v>
      </c>
      <c r="E424" t="str">
        <f>TEXT(Table3[[#This Row],[order_date]],"mmm-yyyy")</f>
        <v>Jun-2025</v>
      </c>
    </row>
    <row r="425" spans="1:5">
      <c r="A425">
        <v>524</v>
      </c>
      <c r="B425">
        <v>152</v>
      </c>
      <c r="C425" s="1">
        <v>45832</v>
      </c>
      <c r="D425" s="3" t="s">
        <v>929</v>
      </c>
      <c r="E425" t="str">
        <f>TEXT(Table3[[#This Row],[order_date]],"mmm-yyyy")</f>
        <v>Jun-2025</v>
      </c>
    </row>
    <row r="426" spans="1:5">
      <c r="A426">
        <v>525</v>
      </c>
      <c r="B426">
        <v>189</v>
      </c>
      <c r="C426" s="1">
        <v>45835</v>
      </c>
      <c r="D426" s="3" t="s">
        <v>928</v>
      </c>
      <c r="E426" t="str">
        <f>TEXT(Table3[[#This Row],[order_date]],"mmm-yyyy")</f>
        <v>Jun-2025</v>
      </c>
    </row>
    <row r="427" spans="1:5">
      <c r="A427">
        <v>526</v>
      </c>
      <c r="B427">
        <v>226</v>
      </c>
      <c r="C427" s="1">
        <v>45838</v>
      </c>
      <c r="D427" s="3" t="s">
        <v>929</v>
      </c>
      <c r="E427" t="str">
        <f>TEXT(Table3[[#This Row],[order_date]],"mmm-yyyy")</f>
        <v>Jun-2025</v>
      </c>
    </row>
    <row r="428" spans="1:5">
      <c r="A428">
        <v>527</v>
      </c>
      <c r="B428">
        <v>263</v>
      </c>
      <c r="C428" s="1">
        <v>45841</v>
      </c>
      <c r="D428" s="3" t="s">
        <v>928</v>
      </c>
      <c r="E428" t="str">
        <f>TEXT(Table3[[#This Row],[order_date]],"mmm-yyyy")</f>
        <v>Jul-2025</v>
      </c>
    </row>
    <row r="429" spans="1:5">
      <c r="A429">
        <v>528</v>
      </c>
      <c r="B429">
        <v>300</v>
      </c>
      <c r="C429" s="1">
        <v>45844</v>
      </c>
      <c r="D429" s="3" t="s">
        <v>928</v>
      </c>
      <c r="E429" t="str">
        <f>TEXT(Table3[[#This Row],[order_date]],"mmm-yyyy")</f>
        <v>Jul-2025</v>
      </c>
    </row>
    <row r="430" spans="1:5">
      <c r="A430">
        <v>529</v>
      </c>
      <c r="B430">
        <v>337</v>
      </c>
      <c r="C430" s="1">
        <v>45847</v>
      </c>
      <c r="D430" s="3" t="s">
        <v>928</v>
      </c>
      <c r="E430" t="str">
        <f>TEXT(Table3[[#This Row],[order_date]],"mmm-yyyy")</f>
        <v>Jul-2025</v>
      </c>
    </row>
    <row r="431" spans="1:5">
      <c r="A431">
        <v>530</v>
      </c>
      <c r="B431">
        <v>374</v>
      </c>
      <c r="C431" s="1">
        <v>45850</v>
      </c>
      <c r="D431" s="3" t="s">
        <v>928</v>
      </c>
      <c r="E431" t="str">
        <f>TEXT(Table3[[#This Row],[order_date]],"mmm-yyyy")</f>
        <v>Jul-2025</v>
      </c>
    </row>
    <row r="432" spans="1:5">
      <c r="A432">
        <v>531</v>
      </c>
      <c r="B432">
        <v>411</v>
      </c>
      <c r="C432" s="1">
        <v>45853</v>
      </c>
      <c r="D432" s="3" t="s">
        <v>928</v>
      </c>
      <c r="E432" t="str">
        <f>TEXT(Table3[[#This Row],[order_date]],"mmm-yyyy")</f>
        <v>Jul-2025</v>
      </c>
    </row>
    <row r="433" spans="1:5">
      <c r="A433">
        <v>532</v>
      </c>
      <c r="B433">
        <v>448</v>
      </c>
      <c r="C433" s="1">
        <v>45856</v>
      </c>
      <c r="D433" s="3" t="s">
        <v>928</v>
      </c>
      <c r="E433" t="str">
        <f>TEXT(Table3[[#This Row],[order_date]],"mmm-yyyy")</f>
        <v>Jul-2025</v>
      </c>
    </row>
    <row r="434" spans="1:5">
      <c r="A434">
        <v>533</v>
      </c>
      <c r="B434">
        <v>485</v>
      </c>
      <c r="C434" s="1">
        <v>45859</v>
      </c>
      <c r="D434" s="3" t="s">
        <v>929</v>
      </c>
      <c r="E434" t="str">
        <f>TEXT(Table3[[#This Row],[order_date]],"mmm-yyyy")</f>
        <v>Jul-2025</v>
      </c>
    </row>
    <row r="435" spans="1:5">
      <c r="A435">
        <v>534</v>
      </c>
      <c r="B435">
        <v>22</v>
      </c>
      <c r="C435" s="1">
        <v>45862</v>
      </c>
      <c r="D435" s="3" t="s">
        <v>928</v>
      </c>
      <c r="E435" t="str">
        <f>TEXT(Table3[[#This Row],[order_date]],"mmm-yyyy")</f>
        <v>Jul-2025</v>
      </c>
    </row>
    <row r="436" spans="1:5">
      <c r="A436">
        <v>535</v>
      </c>
      <c r="B436">
        <v>59</v>
      </c>
      <c r="C436" s="1">
        <v>45865</v>
      </c>
      <c r="D436" s="3" t="s">
        <v>928</v>
      </c>
      <c r="E436" t="str">
        <f>TEXT(Table3[[#This Row],[order_date]],"mmm-yyyy")</f>
        <v>Jul-2025</v>
      </c>
    </row>
    <row r="437" spans="1:5">
      <c r="A437">
        <v>536</v>
      </c>
      <c r="B437">
        <v>96</v>
      </c>
      <c r="C437" s="1">
        <v>45868</v>
      </c>
      <c r="D437" s="3" t="s">
        <v>928</v>
      </c>
      <c r="E437" t="str">
        <f>TEXT(Table3[[#This Row],[order_date]],"mmm-yyyy")</f>
        <v>Jul-2025</v>
      </c>
    </row>
    <row r="438" spans="1:5">
      <c r="A438">
        <v>537</v>
      </c>
      <c r="B438">
        <v>133</v>
      </c>
      <c r="C438" s="1">
        <v>45871</v>
      </c>
      <c r="D438" s="3" t="s">
        <v>928</v>
      </c>
      <c r="E438" t="str">
        <f>TEXT(Table3[[#This Row],[order_date]],"mmm-yyyy")</f>
        <v>Aug-2025</v>
      </c>
    </row>
    <row r="439" spans="1:5">
      <c r="A439">
        <v>538</v>
      </c>
      <c r="B439">
        <v>170</v>
      </c>
      <c r="C439" s="1">
        <v>45874</v>
      </c>
      <c r="D439" s="3" t="s">
        <v>928</v>
      </c>
      <c r="E439" t="str">
        <f>TEXT(Table3[[#This Row],[order_date]],"mmm-yyyy")</f>
        <v>Aug-2025</v>
      </c>
    </row>
    <row r="440" spans="1:5">
      <c r="A440">
        <v>539</v>
      </c>
      <c r="B440">
        <v>207</v>
      </c>
      <c r="C440" s="1">
        <v>45877</v>
      </c>
      <c r="D440" s="3" t="s">
        <v>928</v>
      </c>
      <c r="E440" t="str">
        <f>TEXT(Table3[[#This Row],[order_date]],"mmm-yyyy")</f>
        <v>Aug-2025</v>
      </c>
    </row>
    <row r="441" spans="1:5">
      <c r="A441">
        <v>540</v>
      </c>
      <c r="B441">
        <v>244</v>
      </c>
      <c r="C441" s="1">
        <v>45880</v>
      </c>
      <c r="D441" s="3" t="s">
        <v>928</v>
      </c>
      <c r="E441" t="str">
        <f>TEXT(Table3[[#This Row],[order_date]],"mmm-yyyy")</f>
        <v>Aug-2025</v>
      </c>
    </row>
    <row r="442" spans="1:5">
      <c r="A442">
        <v>541</v>
      </c>
      <c r="B442">
        <v>281</v>
      </c>
      <c r="C442" s="1">
        <v>45883</v>
      </c>
      <c r="D442" s="3" t="s">
        <v>929</v>
      </c>
      <c r="E442" t="str">
        <f>TEXT(Table3[[#This Row],[order_date]],"mmm-yyyy")</f>
        <v>Aug-2025</v>
      </c>
    </row>
    <row r="443" spans="1:5">
      <c r="A443">
        <v>542</v>
      </c>
      <c r="B443">
        <v>318</v>
      </c>
      <c r="C443" s="1">
        <v>45886</v>
      </c>
      <c r="D443" s="3" t="s">
        <v>930</v>
      </c>
      <c r="E443" t="str">
        <f>TEXT(Table3[[#This Row],[order_date]],"mmm-yyyy")</f>
        <v>Aug-2025</v>
      </c>
    </row>
    <row r="444" spans="1:5">
      <c r="A444">
        <v>543</v>
      </c>
      <c r="B444">
        <v>355</v>
      </c>
      <c r="C444" s="1">
        <v>45889</v>
      </c>
      <c r="D444" s="3" t="s">
        <v>928</v>
      </c>
      <c r="E444" t="str">
        <f>TEXT(Table3[[#This Row],[order_date]],"mmm-yyyy")</f>
        <v>Aug-2025</v>
      </c>
    </row>
    <row r="445" spans="1:5">
      <c r="A445">
        <v>544</v>
      </c>
      <c r="B445">
        <v>392</v>
      </c>
      <c r="C445" s="1">
        <v>45892</v>
      </c>
      <c r="D445" s="3" t="s">
        <v>928</v>
      </c>
      <c r="E445" t="str">
        <f>TEXT(Table3[[#This Row],[order_date]],"mmm-yyyy")</f>
        <v>Aug-2025</v>
      </c>
    </row>
    <row r="446" spans="1:5">
      <c r="A446">
        <v>545</v>
      </c>
      <c r="B446">
        <v>429</v>
      </c>
      <c r="C446" s="1">
        <v>45895</v>
      </c>
      <c r="D446" s="3" t="s">
        <v>929</v>
      </c>
      <c r="E446" t="str">
        <f>TEXT(Table3[[#This Row],[order_date]],"mmm-yyyy")</f>
        <v>Aug-2025</v>
      </c>
    </row>
    <row r="447" spans="1:5">
      <c r="A447">
        <v>546</v>
      </c>
      <c r="B447">
        <v>466</v>
      </c>
      <c r="C447" s="1">
        <v>45898</v>
      </c>
      <c r="D447" s="3" t="s">
        <v>928</v>
      </c>
      <c r="E447" t="str">
        <f>TEXT(Table3[[#This Row],[order_date]],"mmm-yyyy")</f>
        <v>Aug-2025</v>
      </c>
    </row>
    <row r="448" spans="1:5">
      <c r="A448">
        <v>547</v>
      </c>
      <c r="B448">
        <v>3</v>
      </c>
      <c r="C448" s="1">
        <v>45901</v>
      </c>
      <c r="D448" s="3" t="s">
        <v>929</v>
      </c>
      <c r="E448" t="str">
        <f>TEXT(Table3[[#This Row],[order_date]],"mmm-yyyy")</f>
        <v>Sep-2025</v>
      </c>
    </row>
    <row r="449" spans="1:5">
      <c r="A449">
        <v>548</v>
      </c>
      <c r="B449">
        <v>40</v>
      </c>
      <c r="C449" s="1">
        <v>45904</v>
      </c>
      <c r="D449" s="3" t="s">
        <v>928</v>
      </c>
      <c r="E449" t="str">
        <f>TEXT(Table3[[#This Row],[order_date]],"mmm-yyyy")</f>
        <v>Sep-2025</v>
      </c>
    </row>
    <row r="450" spans="1:5">
      <c r="A450">
        <v>549</v>
      </c>
      <c r="B450">
        <v>77</v>
      </c>
      <c r="C450" s="1">
        <v>45907</v>
      </c>
      <c r="D450" s="3" t="s">
        <v>928</v>
      </c>
      <c r="E450" t="str">
        <f>TEXT(Table3[[#This Row],[order_date]],"mmm-yyyy")</f>
        <v>Sep-2025</v>
      </c>
    </row>
    <row r="451" spans="1:5">
      <c r="A451">
        <v>550</v>
      </c>
      <c r="B451">
        <v>114</v>
      </c>
      <c r="C451" s="1">
        <v>45910</v>
      </c>
      <c r="D451" s="3" t="s">
        <v>928</v>
      </c>
      <c r="E451" t="str">
        <f>TEXT(Table3[[#This Row],[order_date]],"mmm-yyyy")</f>
        <v>Sep-2025</v>
      </c>
    </row>
    <row r="452" spans="1:5">
      <c r="A452">
        <v>551</v>
      </c>
      <c r="B452">
        <v>151</v>
      </c>
      <c r="C452" s="1">
        <v>45913</v>
      </c>
      <c r="D452" s="3" t="s">
        <v>929</v>
      </c>
      <c r="E452" t="str">
        <f>TEXT(Table3[[#This Row],[order_date]],"mmm-yyyy")</f>
        <v>Sep-2025</v>
      </c>
    </row>
    <row r="453" spans="1:5">
      <c r="A453">
        <v>552</v>
      </c>
      <c r="B453">
        <v>188</v>
      </c>
      <c r="C453" s="1">
        <v>45916</v>
      </c>
      <c r="D453" s="3" t="s">
        <v>928</v>
      </c>
      <c r="E453" t="str">
        <f>TEXT(Table3[[#This Row],[order_date]],"mmm-yyyy")</f>
        <v>Sep-2025</v>
      </c>
    </row>
    <row r="454" spans="1:5">
      <c r="A454">
        <v>553</v>
      </c>
      <c r="B454">
        <v>225</v>
      </c>
      <c r="C454" s="1">
        <v>45919</v>
      </c>
      <c r="D454" s="3" t="s">
        <v>928</v>
      </c>
      <c r="E454" t="str">
        <f>TEXT(Table3[[#This Row],[order_date]],"mmm-yyyy")</f>
        <v>Sep-2025</v>
      </c>
    </row>
    <row r="455" spans="1:5">
      <c r="A455">
        <v>554</v>
      </c>
      <c r="B455">
        <v>262</v>
      </c>
      <c r="C455" s="1">
        <v>45922</v>
      </c>
      <c r="D455" s="3" t="s">
        <v>928</v>
      </c>
      <c r="E455" t="str">
        <f>TEXT(Table3[[#This Row],[order_date]],"mmm-yyyy")</f>
        <v>Sep-2025</v>
      </c>
    </row>
    <row r="456" spans="1:5">
      <c r="A456">
        <v>555</v>
      </c>
      <c r="B456">
        <v>299</v>
      </c>
      <c r="C456" s="1">
        <v>45925</v>
      </c>
      <c r="D456" s="3" t="s">
        <v>928</v>
      </c>
      <c r="E456" t="str">
        <f>TEXT(Table3[[#This Row],[order_date]],"mmm-yyyy")</f>
        <v>Sep-2025</v>
      </c>
    </row>
    <row r="457" spans="1:5">
      <c r="A457">
        <v>556</v>
      </c>
      <c r="B457">
        <v>336</v>
      </c>
      <c r="C457" s="1">
        <v>45928</v>
      </c>
      <c r="D457" s="3" t="s">
        <v>929</v>
      </c>
      <c r="E457" t="str">
        <f>TEXT(Table3[[#This Row],[order_date]],"mmm-yyyy")</f>
        <v>Sep-2025</v>
      </c>
    </row>
    <row r="458" spans="1:5">
      <c r="A458">
        <v>557</v>
      </c>
      <c r="B458">
        <v>373</v>
      </c>
      <c r="C458" s="1">
        <v>45931</v>
      </c>
      <c r="D458" s="3" t="s">
        <v>930</v>
      </c>
      <c r="E458" t="str">
        <f>TEXT(Table3[[#This Row],[order_date]],"mmm-yyyy")</f>
        <v>Oct-2025</v>
      </c>
    </row>
    <row r="459" spans="1:5">
      <c r="A459">
        <v>558</v>
      </c>
      <c r="B459">
        <v>410</v>
      </c>
      <c r="C459" s="1">
        <v>45934</v>
      </c>
      <c r="D459" s="3" t="s">
        <v>929</v>
      </c>
      <c r="E459" t="str">
        <f>TEXT(Table3[[#This Row],[order_date]],"mmm-yyyy")</f>
        <v>Oct-2025</v>
      </c>
    </row>
    <row r="460" spans="1:5">
      <c r="A460">
        <v>559</v>
      </c>
      <c r="B460">
        <v>447</v>
      </c>
      <c r="C460" s="1">
        <v>45937</v>
      </c>
      <c r="D460" s="3" t="s">
        <v>928</v>
      </c>
      <c r="E460" t="str">
        <f>TEXT(Table3[[#This Row],[order_date]],"mmm-yyyy")</f>
        <v>Oct-2025</v>
      </c>
    </row>
    <row r="461" spans="1:5">
      <c r="A461">
        <v>560</v>
      </c>
      <c r="B461">
        <v>484</v>
      </c>
      <c r="C461" s="1">
        <v>45940</v>
      </c>
      <c r="D461" s="3" t="s">
        <v>928</v>
      </c>
      <c r="E461" t="str">
        <f>TEXT(Table3[[#This Row],[order_date]],"mmm-yyyy")</f>
        <v>Oct-2025</v>
      </c>
    </row>
    <row r="462" spans="1:5">
      <c r="A462">
        <v>561</v>
      </c>
      <c r="B462">
        <v>21</v>
      </c>
      <c r="C462" s="1">
        <v>45943</v>
      </c>
      <c r="D462" s="3" t="s">
        <v>928</v>
      </c>
      <c r="E462" t="str">
        <f>TEXT(Table3[[#This Row],[order_date]],"mmm-yyyy")</f>
        <v>Oct-2025</v>
      </c>
    </row>
    <row r="463" spans="1:5">
      <c r="A463">
        <v>562</v>
      </c>
      <c r="B463">
        <v>58</v>
      </c>
      <c r="C463" s="1">
        <v>45946</v>
      </c>
      <c r="D463" s="3" t="s">
        <v>928</v>
      </c>
      <c r="E463" t="str">
        <f>TEXT(Table3[[#This Row],[order_date]],"mmm-yyyy")</f>
        <v>Oct-2025</v>
      </c>
    </row>
    <row r="464" spans="1:5">
      <c r="A464">
        <v>563</v>
      </c>
      <c r="B464">
        <v>95</v>
      </c>
      <c r="C464" s="1">
        <v>45949</v>
      </c>
      <c r="D464" s="3" t="s">
        <v>930</v>
      </c>
      <c r="E464" t="str">
        <f>TEXT(Table3[[#This Row],[order_date]],"mmm-yyyy")</f>
        <v>Oct-2025</v>
      </c>
    </row>
    <row r="465" spans="1:5">
      <c r="A465">
        <v>564</v>
      </c>
      <c r="B465">
        <v>132</v>
      </c>
      <c r="C465" s="1">
        <v>45952</v>
      </c>
      <c r="D465" s="3" t="s">
        <v>928</v>
      </c>
      <c r="E465" t="str">
        <f>TEXT(Table3[[#This Row],[order_date]],"mmm-yyyy")</f>
        <v>Oct-2025</v>
      </c>
    </row>
    <row r="466" spans="1:5">
      <c r="A466">
        <v>565</v>
      </c>
      <c r="B466">
        <v>169</v>
      </c>
      <c r="C466" s="1">
        <v>45955</v>
      </c>
      <c r="D466" s="3" t="s">
        <v>928</v>
      </c>
      <c r="E466" t="str">
        <f>TEXT(Table3[[#This Row],[order_date]],"mmm-yyyy")</f>
        <v>Oct-2025</v>
      </c>
    </row>
    <row r="467" spans="1:5">
      <c r="A467">
        <v>566</v>
      </c>
      <c r="B467">
        <v>206</v>
      </c>
      <c r="C467" s="1">
        <v>45958</v>
      </c>
      <c r="D467" s="3" t="s">
        <v>928</v>
      </c>
      <c r="E467" t="str">
        <f>TEXT(Table3[[#This Row],[order_date]],"mmm-yyyy")</f>
        <v>Oct-2025</v>
      </c>
    </row>
    <row r="468" spans="1:5">
      <c r="A468">
        <v>567</v>
      </c>
      <c r="B468">
        <v>243</v>
      </c>
      <c r="C468" s="1">
        <v>45961</v>
      </c>
      <c r="D468" s="3" t="s">
        <v>928</v>
      </c>
      <c r="E468" t="str">
        <f>TEXT(Table3[[#This Row],[order_date]],"mmm-yyyy")</f>
        <v>Oct-2025</v>
      </c>
    </row>
    <row r="469" spans="1:5">
      <c r="A469">
        <v>568</v>
      </c>
      <c r="B469">
        <v>280</v>
      </c>
      <c r="C469" s="1">
        <v>45964</v>
      </c>
      <c r="D469" s="3" t="s">
        <v>931</v>
      </c>
      <c r="E469" t="str">
        <f>TEXT(Table3[[#This Row],[order_date]],"mmm-yyyy")</f>
        <v>Nov-2025</v>
      </c>
    </row>
    <row r="470" spans="1:5">
      <c r="A470">
        <v>569</v>
      </c>
      <c r="B470">
        <v>317</v>
      </c>
      <c r="C470" s="1">
        <v>45967</v>
      </c>
      <c r="D470" s="3" t="s">
        <v>928</v>
      </c>
      <c r="E470" t="str">
        <f>TEXT(Table3[[#This Row],[order_date]],"mmm-yyyy")</f>
        <v>Nov-2025</v>
      </c>
    </row>
    <row r="471" spans="1:5">
      <c r="A471">
        <v>570</v>
      </c>
      <c r="B471">
        <v>354</v>
      </c>
      <c r="C471" s="1">
        <v>45970</v>
      </c>
      <c r="D471" s="3" t="s">
        <v>929</v>
      </c>
      <c r="E471" t="str">
        <f>TEXT(Table3[[#This Row],[order_date]],"mmm-yyyy")</f>
        <v>Nov-2025</v>
      </c>
    </row>
    <row r="472" spans="1:5">
      <c r="A472">
        <v>571</v>
      </c>
      <c r="B472">
        <v>391</v>
      </c>
      <c r="C472" s="1">
        <v>45973</v>
      </c>
      <c r="D472" s="3" t="s">
        <v>928</v>
      </c>
      <c r="E472" t="str">
        <f>TEXT(Table3[[#This Row],[order_date]],"mmm-yyyy")</f>
        <v>Nov-2025</v>
      </c>
    </row>
    <row r="473" spans="1:5">
      <c r="A473">
        <v>572</v>
      </c>
      <c r="B473">
        <v>428</v>
      </c>
      <c r="C473" s="1">
        <v>45976</v>
      </c>
      <c r="D473" s="3" t="s">
        <v>928</v>
      </c>
      <c r="E473" t="str">
        <f>TEXT(Table3[[#This Row],[order_date]],"mmm-yyyy")</f>
        <v>Nov-2025</v>
      </c>
    </row>
    <row r="474" spans="1:5">
      <c r="A474">
        <v>573</v>
      </c>
      <c r="B474">
        <v>465</v>
      </c>
      <c r="C474" s="1">
        <v>45979</v>
      </c>
      <c r="D474" s="3" t="s">
        <v>928</v>
      </c>
      <c r="E474" t="str">
        <f>TEXT(Table3[[#This Row],[order_date]],"mmm-yyyy")</f>
        <v>Nov-2025</v>
      </c>
    </row>
    <row r="475" spans="1:5">
      <c r="A475">
        <v>574</v>
      </c>
      <c r="B475">
        <v>2</v>
      </c>
      <c r="C475" s="1">
        <v>45982</v>
      </c>
      <c r="D475" s="3" t="s">
        <v>928</v>
      </c>
      <c r="E475" t="str">
        <f>TEXT(Table3[[#This Row],[order_date]],"mmm-yyyy")</f>
        <v>Nov-2025</v>
      </c>
    </row>
    <row r="476" spans="1:5">
      <c r="A476">
        <v>575</v>
      </c>
      <c r="B476">
        <v>39</v>
      </c>
      <c r="C476" s="1">
        <v>45985</v>
      </c>
      <c r="D476" s="3" t="s">
        <v>931</v>
      </c>
      <c r="E476" t="str">
        <f>TEXT(Table3[[#This Row],[order_date]],"mmm-yyyy")</f>
        <v>Nov-2025</v>
      </c>
    </row>
    <row r="477" spans="1:5">
      <c r="A477">
        <v>576</v>
      </c>
      <c r="B477">
        <v>76</v>
      </c>
      <c r="C477" s="1">
        <v>45988</v>
      </c>
      <c r="D477" s="3" t="s">
        <v>928</v>
      </c>
      <c r="E477" t="str">
        <f>TEXT(Table3[[#This Row],[order_date]],"mmm-yyyy")</f>
        <v>Nov-2025</v>
      </c>
    </row>
    <row r="478" spans="1:5">
      <c r="A478">
        <v>577</v>
      </c>
      <c r="B478">
        <v>113</v>
      </c>
      <c r="C478" s="1">
        <v>45991</v>
      </c>
      <c r="D478" s="3" t="s">
        <v>928</v>
      </c>
      <c r="E478" t="str">
        <f>TEXT(Table3[[#This Row],[order_date]],"mmm-yyyy")</f>
        <v>Nov-2025</v>
      </c>
    </row>
    <row r="479" spans="1:5">
      <c r="A479">
        <v>578</v>
      </c>
      <c r="B479">
        <v>150</v>
      </c>
      <c r="C479" s="1">
        <v>45994</v>
      </c>
      <c r="D479" s="3" t="s">
        <v>928</v>
      </c>
      <c r="E479" t="str">
        <f>TEXT(Table3[[#This Row],[order_date]],"mmm-yyyy")</f>
        <v>Dec-2025</v>
      </c>
    </row>
    <row r="480" spans="1:5">
      <c r="A480">
        <v>579</v>
      </c>
      <c r="B480">
        <v>187</v>
      </c>
      <c r="C480" s="1">
        <v>45997</v>
      </c>
      <c r="D480" s="3" t="s">
        <v>930</v>
      </c>
      <c r="E480" t="str">
        <f>TEXT(Table3[[#This Row],[order_date]],"mmm-yyyy")</f>
        <v>Dec-2025</v>
      </c>
    </row>
    <row r="481" spans="1:5">
      <c r="A481">
        <v>580</v>
      </c>
      <c r="B481">
        <v>224</v>
      </c>
      <c r="C481" s="1">
        <v>46000</v>
      </c>
      <c r="D481" s="3" t="s">
        <v>928</v>
      </c>
      <c r="E481" t="str">
        <f>TEXT(Table3[[#This Row],[order_date]],"mmm-yyyy")</f>
        <v>Dec-2025</v>
      </c>
    </row>
    <row r="482" spans="1:5">
      <c r="A482">
        <v>581</v>
      </c>
      <c r="B482">
        <v>261</v>
      </c>
      <c r="C482" s="1">
        <v>46003</v>
      </c>
      <c r="D482" s="3" t="s">
        <v>928</v>
      </c>
      <c r="E482" t="str">
        <f>TEXT(Table3[[#This Row],[order_date]],"mmm-yyyy")</f>
        <v>Dec-2025</v>
      </c>
    </row>
    <row r="483" spans="1:5">
      <c r="A483">
        <v>582</v>
      </c>
      <c r="B483">
        <v>298</v>
      </c>
      <c r="C483" s="1">
        <v>46006</v>
      </c>
      <c r="D483" s="3" t="s">
        <v>928</v>
      </c>
      <c r="E483" t="str">
        <f>TEXT(Table3[[#This Row],[order_date]],"mmm-yyyy")</f>
        <v>Dec-2025</v>
      </c>
    </row>
    <row r="484" spans="1:5">
      <c r="A484">
        <v>583</v>
      </c>
      <c r="B484">
        <v>335</v>
      </c>
      <c r="C484" s="1">
        <v>46009</v>
      </c>
      <c r="D484" s="3" t="s">
        <v>928</v>
      </c>
      <c r="E484" t="str">
        <f>TEXT(Table3[[#This Row],[order_date]],"mmm-yyyy")</f>
        <v>Dec-2025</v>
      </c>
    </row>
    <row r="485" spans="1:5">
      <c r="A485">
        <v>584</v>
      </c>
      <c r="B485">
        <v>372</v>
      </c>
      <c r="C485" s="1">
        <v>46012</v>
      </c>
      <c r="D485" s="3" t="s">
        <v>928</v>
      </c>
      <c r="E485" t="str">
        <f>TEXT(Table3[[#This Row],[order_date]],"mmm-yyyy")</f>
        <v>Dec-2025</v>
      </c>
    </row>
    <row r="486" spans="1:5">
      <c r="A486">
        <v>585</v>
      </c>
      <c r="B486">
        <v>409</v>
      </c>
      <c r="C486" s="1">
        <v>46015</v>
      </c>
      <c r="D486" s="3" t="s">
        <v>928</v>
      </c>
      <c r="E486" t="str">
        <f>TEXT(Table3[[#This Row],[order_date]],"mmm-yyyy")</f>
        <v>Dec-2025</v>
      </c>
    </row>
    <row r="487" spans="1:5">
      <c r="A487">
        <v>586</v>
      </c>
      <c r="B487">
        <v>446</v>
      </c>
      <c r="C487" s="1">
        <v>46018</v>
      </c>
      <c r="D487" s="3" t="s">
        <v>928</v>
      </c>
      <c r="E487" t="str">
        <f>TEXT(Table3[[#This Row],[order_date]],"mmm-yyyy")</f>
        <v>Dec-2025</v>
      </c>
    </row>
    <row r="488" spans="1:5">
      <c r="A488">
        <v>587</v>
      </c>
      <c r="B488">
        <v>483</v>
      </c>
      <c r="C488" s="1">
        <v>46021</v>
      </c>
      <c r="D488" s="3" t="s">
        <v>931</v>
      </c>
      <c r="E488" t="str">
        <f>TEXT(Table3[[#This Row],[order_date]],"mmm-yyyy")</f>
        <v>Dec-2025</v>
      </c>
    </row>
    <row r="489" spans="1:5">
      <c r="A489">
        <v>588</v>
      </c>
      <c r="B489">
        <v>20</v>
      </c>
      <c r="C489" s="1">
        <v>45659</v>
      </c>
      <c r="D489" s="3" t="s">
        <v>928</v>
      </c>
      <c r="E489" t="str">
        <f>TEXT(Table3[[#This Row],[order_date]],"mmm-yyyy")</f>
        <v>Jan-2025</v>
      </c>
    </row>
    <row r="490" spans="1:5">
      <c r="A490">
        <v>589</v>
      </c>
      <c r="B490">
        <v>57</v>
      </c>
      <c r="C490" s="1">
        <v>45662</v>
      </c>
      <c r="D490" s="3" t="s">
        <v>928</v>
      </c>
      <c r="E490" t="str">
        <f>TEXT(Table3[[#This Row],[order_date]],"mmm-yyyy")</f>
        <v>Jan-2025</v>
      </c>
    </row>
    <row r="491" spans="1:5">
      <c r="A491">
        <v>590</v>
      </c>
      <c r="B491">
        <v>94</v>
      </c>
      <c r="C491" s="1">
        <v>45665</v>
      </c>
      <c r="D491" s="3" t="s">
        <v>931</v>
      </c>
      <c r="E491" t="str">
        <f>TEXT(Table3[[#This Row],[order_date]],"mmm-yyyy")</f>
        <v>Jan-2025</v>
      </c>
    </row>
    <row r="492" spans="1:5">
      <c r="A492">
        <v>591</v>
      </c>
      <c r="B492">
        <v>131</v>
      </c>
      <c r="C492" s="1">
        <v>45668</v>
      </c>
      <c r="D492" s="3" t="s">
        <v>928</v>
      </c>
      <c r="E492" t="str">
        <f>TEXT(Table3[[#This Row],[order_date]],"mmm-yyyy")</f>
        <v>Jan-2025</v>
      </c>
    </row>
    <row r="493" spans="1:5">
      <c r="A493">
        <v>592</v>
      </c>
      <c r="B493">
        <v>168</v>
      </c>
      <c r="C493" s="1">
        <v>45671</v>
      </c>
      <c r="D493" s="3" t="s">
        <v>931</v>
      </c>
      <c r="E493" t="str">
        <f>TEXT(Table3[[#This Row],[order_date]],"mmm-yyyy")</f>
        <v>Jan-2025</v>
      </c>
    </row>
    <row r="494" spans="1:5">
      <c r="A494">
        <v>593</v>
      </c>
      <c r="B494">
        <v>205</v>
      </c>
      <c r="C494" s="1">
        <v>45674</v>
      </c>
      <c r="D494" s="3" t="s">
        <v>928</v>
      </c>
      <c r="E494" t="str">
        <f>TEXT(Table3[[#This Row],[order_date]],"mmm-yyyy")</f>
        <v>Jan-2025</v>
      </c>
    </row>
    <row r="495" spans="1:5">
      <c r="A495">
        <v>594</v>
      </c>
      <c r="B495">
        <v>242</v>
      </c>
      <c r="C495" s="1">
        <v>45677</v>
      </c>
      <c r="D495" s="3" t="s">
        <v>928</v>
      </c>
      <c r="E495" t="str">
        <f>TEXT(Table3[[#This Row],[order_date]],"mmm-yyyy")</f>
        <v>Jan-2025</v>
      </c>
    </row>
    <row r="496" spans="1:5">
      <c r="A496">
        <v>595</v>
      </c>
      <c r="B496">
        <v>279</v>
      </c>
      <c r="C496" s="1">
        <v>45680</v>
      </c>
      <c r="D496" s="3" t="s">
        <v>928</v>
      </c>
      <c r="E496" t="str">
        <f>TEXT(Table3[[#This Row],[order_date]],"mmm-yyyy")</f>
        <v>Jan-2025</v>
      </c>
    </row>
    <row r="497" spans="1:5">
      <c r="A497">
        <v>596</v>
      </c>
      <c r="B497">
        <v>316</v>
      </c>
      <c r="C497" s="1">
        <v>45683</v>
      </c>
      <c r="D497" s="3" t="s">
        <v>928</v>
      </c>
      <c r="E497" t="str">
        <f>TEXT(Table3[[#This Row],[order_date]],"mmm-yyyy")</f>
        <v>Jan-2025</v>
      </c>
    </row>
    <row r="498" spans="1:5">
      <c r="A498">
        <v>597</v>
      </c>
      <c r="B498">
        <v>353</v>
      </c>
      <c r="C498" s="1">
        <v>45686</v>
      </c>
      <c r="D498" s="3" t="s">
        <v>928</v>
      </c>
      <c r="E498" t="str">
        <f>TEXT(Table3[[#This Row],[order_date]],"mmm-yyyy")</f>
        <v>Jan-2025</v>
      </c>
    </row>
    <row r="499" spans="1:5">
      <c r="A499">
        <v>598</v>
      </c>
      <c r="B499">
        <v>390</v>
      </c>
      <c r="C499" s="1">
        <v>45689</v>
      </c>
      <c r="D499" s="3" t="s">
        <v>928</v>
      </c>
      <c r="E499" t="str">
        <f>TEXT(Table3[[#This Row],[order_date]],"mmm-yyyy")</f>
        <v>Feb-2025</v>
      </c>
    </row>
    <row r="500" spans="1:5">
      <c r="A500">
        <v>599</v>
      </c>
      <c r="B500">
        <v>427</v>
      </c>
      <c r="C500" s="1">
        <v>45692</v>
      </c>
      <c r="D500" s="3" t="s">
        <v>928</v>
      </c>
      <c r="E500" t="str">
        <f>TEXT(Table3[[#This Row],[order_date]],"mmm-yyyy")</f>
        <v>Feb-2025</v>
      </c>
    </row>
    <row r="501" spans="1:5">
      <c r="A501">
        <v>600</v>
      </c>
      <c r="B501">
        <v>464</v>
      </c>
      <c r="C501" s="1">
        <v>45695</v>
      </c>
      <c r="D501" s="3" t="s">
        <v>928</v>
      </c>
      <c r="E501" t="str">
        <f>TEXT(Table3[[#This Row],[order_date]],"mmm-yyyy")</f>
        <v>Feb-2025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4593-E9C8-4C5C-966B-3EC3E7980876}">
  <dimension ref="A1:M1001"/>
  <sheetViews>
    <sheetView topLeftCell="E980" workbookViewId="0">
      <selection activeCell="K991" sqref="K991"/>
    </sheetView>
  </sheetViews>
  <sheetFormatPr defaultRowHeight="15"/>
  <cols>
    <col min="1" max="1" width="16.42578125" bestFit="1" customWidth="1"/>
    <col min="2" max="2" width="11.140625" bestFit="1" customWidth="1"/>
    <col min="3" max="3" width="13.28515625" customWidth="1"/>
    <col min="4" max="4" width="11" bestFit="1" customWidth="1"/>
    <col min="5" max="5" width="13.7109375" customWidth="1"/>
    <col min="6" max="6" width="12.140625" customWidth="1"/>
    <col min="7" max="7" width="12" customWidth="1"/>
    <col min="8" max="8" width="19.28515625" customWidth="1"/>
    <col min="9" max="9" width="17.42578125" customWidth="1"/>
    <col min="10" max="10" width="13" customWidth="1"/>
    <col min="11" max="11" width="15.140625" customWidth="1"/>
    <col min="12" max="12" width="13.5703125" customWidth="1"/>
    <col min="13" max="13" width="18.42578125" customWidth="1"/>
  </cols>
  <sheetData>
    <row r="1" spans="1:13">
      <c r="A1" t="s">
        <v>932</v>
      </c>
      <c r="B1" t="s">
        <v>924</v>
      </c>
      <c r="C1" t="s">
        <v>860</v>
      </c>
      <c r="D1" s="4" t="s">
        <v>933</v>
      </c>
      <c r="E1" t="s">
        <v>934</v>
      </c>
      <c r="F1" t="s">
        <v>935</v>
      </c>
      <c r="G1" t="s">
        <v>936</v>
      </c>
      <c r="H1" t="s">
        <v>862</v>
      </c>
      <c r="I1" t="s">
        <v>861</v>
      </c>
      <c r="J1" t="s">
        <v>925</v>
      </c>
      <c r="K1" t="s">
        <v>927</v>
      </c>
      <c r="L1" t="s">
        <v>0</v>
      </c>
      <c r="M1" t="s">
        <v>1</v>
      </c>
    </row>
    <row r="2" spans="1:13">
      <c r="A2">
        <v>1</v>
      </c>
      <c r="B2">
        <v>101</v>
      </c>
      <c r="C2">
        <v>8</v>
      </c>
      <c r="D2" s="4">
        <v>2</v>
      </c>
      <c r="E2">
        <f>_xlfn.XLOOKUP(C2,products!A:A,products!D:D)</f>
        <v>1596</v>
      </c>
      <c r="F2">
        <f>D2*E2</f>
        <v>3192</v>
      </c>
      <c r="G2">
        <f>D2*(E2-_xlfn.XLOOKUP(C2,products!A:A,products!E:E))</f>
        <v>1053.3600000000001</v>
      </c>
      <c r="H2" s="6" t="str">
        <f>_xlfn.XLOOKUP(C2,products!A:A,products!C:C)</f>
        <v>Electronics</v>
      </c>
      <c r="I2" s="6" t="str">
        <f>_xlfn.XLOOKUP(C2,products!A:A,products!B:B)</f>
        <v>Tablet</v>
      </c>
      <c r="J2" s="6">
        <f>_xlfn.XLOOKUP(B2,orders!A:A,orders!C:C)</f>
        <v>45658</v>
      </c>
      <c r="K2" s="6" t="str">
        <f t="shared" ref="K2:K65" si="0">TEXT(J2,"mmm-yyyy")</f>
        <v>Jan-2025</v>
      </c>
      <c r="L2" s="6">
        <f>_xlfn.XLOOKUP(B2,orders!A:A,orders!B:B)</f>
        <v>1</v>
      </c>
      <c r="M2" s="6" t="str">
        <f>_xlfn.XLOOKUP("C"&amp;TEXT(L2,"000"),customers!A:A,customers!B:B,"Not Found")</f>
        <v>Rahul X.</v>
      </c>
    </row>
    <row r="3" spans="1:13">
      <c r="A3">
        <v>2</v>
      </c>
      <c r="B3">
        <v>101</v>
      </c>
      <c r="C3">
        <v>21</v>
      </c>
      <c r="D3" s="4">
        <v>3</v>
      </c>
      <c r="E3">
        <f>_xlfn.XLOOKUP(C3,products!A:A,products!D:D)</f>
        <v>3377</v>
      </c>
      <c r="F3">
        <f t="shared" ref="F2:F65" si="1">D3*E3</f>
        <v>10131</v>
      </c>
      <c r="G3">
        <f>D3*(E3-_xlfn.XLOOKUP(C3,products!A:A,products!E:E))</f>
        <v>4406.97</v>
      </c>
      <c r="H3" s="6" t="str">
        <f>_xlfn.XLOOKUP(C3,products!A:A,products!C:C)</f>
        <v>Home Appliances</v>
      </c>
      <c r="I3" s="6" t="str">
        <f>_xlfn.XLOOKUP(C3,products!A:A,products!B:B)</f>
        <v>Mixer</v>
      </c>
      <c r="J3" s="6">
        <f>_xlfn.XLOOKUP(B3,orders!A:A,orders!C:C)</f>
        <v>45658</v>
      </c>
      <c r="K3" s="6" t="str">
        <f t="shared" si="0"/>
        <v>Jan-2025</v>
      </c>
      <c r="L3" s="6">
        <f>_xlfn.XLOOKUP(B3,orders!A:A,orders!B:B)</f>
        <v>1</v>
      </c>
      <c r="M3" s="6" t="str">
        <f>_xlfn.XLOOKUP("C"&amp;TEXT(L3,"000"),customers!A:A,customers!B:B,"Not Found")</f>
        <v>Rahul X.</v>
      </c>
    </row>
    <row r="4" spans="1:13">
      <c r="A4">
        <v>3</v>
      </c>
      <c r="B4">
        <v>102</v>
      </c>
      <c r="C4">
        <v>15</v>
      </c>
      <c r="D4" s="4">
        <v>3</v>
      </c>
      <c r="E4">
        <f>_xlfn.XLOOKUP(C4,products!A:A,products!D:D)</f>
        <v>2555</v>
      </c>
      <c r="F4">
        <f t="shared" si="1"/>
        <v>7665</v>
      </c>
      <c r="G4">
        <f>D4*(E4-_xlfn.XLOOKUP(C4,products!A:A,products!E:E))</f>
        <v>2874.3599999999997</v>
      </c>
      <c r="H4" s="6" t="str">
        <f>_xlfn.XLOOKUP(C4,products!A:A,products!C:C)</f>
        <v>Fashion</v>
      </c>
      <c r="I4" s="6" t="str">
        <f>_xlfn.XLOOKUP(C4,products!A:A,products!B:B)</f>
        <v>Shoes</v>
      </c>
      <c r="J4" s="6">
        <f>_xlfn.XLOOKUP(B4,orders!A:A,orders!C:C)</f>
        <v>45661</v>
      </c>
      <c r="K4" s="6" t="str">
        <f t="shared" si="0"/>
        <v>Jan-2025</v>
      </c>
      <c r="L4" s="6">
        <f>_xlfn.XLOOKUP(B4,orders!A:A,orders!B:B)</f>
        <v>38</v>
      </c>
      <c r="M4" s="6" t="str">
        <f>_xlfn.XLOOKUP("C"&amp;TEXT(L4,"000"),customers!A:A,customers!B:B,"Not Found")</f>
        <v>Neha O.</v>
      </c>
    </row>
    <row r="5" spans="1:13">
      <c r="A5">
        <v>4</v>
      </c>
      <c r="B5">
        <v>102</v>
      </c>
      <c r="C5">
        <v>28</v>
      </c>
      <c r="D5" s="4">
        <v>4</v>
      </c>
      <c r="E5">
        <f>_xlfn.XLOOKUP(C5,products!A:A,products!D:D)</f>
        <v>4336</v>
      </c>
      <c r="F5">
        <f t="shared" si="1"/>
        <v>17344</v>
      </c>
      <c r="G5">
        <f>D5*(E5-_xlfn.XLOOKUP(C5,products!A:A,products!E:E))</f>
        <v>5723.52</v>
      </c>
      <c r="H5" s="6" t="str">
        <f>_xlfn.XLOOKUP(C5,products!A:A,products!C:C)</f>
        <v>Home &amp; Kitchen</v>
      </c>
      <c r="I5" s="6" t="str">
        <f>_xlfn.XLOOKUP(C5,products!A:A,products!B:B)</f>
        <v>Bottle</v>
      </c>
      <c r="J5" s="6">
        <f>_xlfn.XLOOKUP(B5,orders!A:A,orders!C:C)</f>
        <v>45661</v>
      </c>
      <c r="K5" s="6" t="str">
        <f t="shared" si="0"/>
        <v>Jan-2025</v>
      </c>
      <c r="L5" s="6">
        <f>_xlfn.XLOOKUP(B5,orders!A:A,orders!B:B)</f>
        <v>38</v>
      </c>
      <c r="M5" s="6" t="str">
        <f>_xlfn.XLOOKUP("C"&amp;TEXT(L5,"000"),customers!A:A,customers!B:B,"Not Found")</f>
        <v>Neha O.</v>
      </c>
    </row>
    <row r="6" spans="1:13">
      <c r="A6">
        <v>5</v>
      </c>
      <c r="B6">
        <v>103</v>
      </c>
      <c r="C6">
        <v>22</v>
      </c>
      <c r="D6" s="4">
        <v>4</v>
      </c>
      <c r="E6">
        <f>_xlfn.XLOOKUP(C6,products!A:A,products!D:D)</f>
        <v>3514</v>
      </c>
      <c r="F6">
        <f t="shared" si="1"/>
        <v>14056</v>
      </c>
      <c r="G6">
        <f>D6*(E6-_xlfn.XLOOKUP(C6,products!A:A,products!E:E))</f>
        <v>5903.52</v>
      </c>
      <c r="H6" s="6" t="str">
        <f>_xlfn.XLOOKUP(C6,products!A:A,products!C:C)</f>
        <v>Home Appliances</v>
      </c>
      <c r="I6" s="6" t="str">
        <f>_xlfn.XLOOKUP(C6,products!A:A,products!B:B)</f>
        <v>Microwave</v>
      </c>
      <c r="J6" s="6">
        <f>_xlfn.XLOOKUP(B6,orders!A:A,orders!C:C)</f>
        <v>45664</v>
      </c>
      <c r="K6" s="6" t="str">
        <f t="shared" si="0"/>
        <v>Jan-2025</v>
      </c>
      <c r="L6" s="6">
        <f>_xlfn.XLOOKUP(B6,orders!A:A,orders!B:B)</f>
        <v>75</v>
      </c>
      <c r="M6" s="6" t="str">
        <f>_xlfn.XLOOKUP("C"&amp;TEXT(L6,"000"),customers!A:A,customers!B:B,"Not Found")</f>
        <v>Rahul K.</v>
      </c>
    </row>
    <row r="7" spans="1:13">
      <c r="A7">
        <v>6</v>
      </c>
      <c r="B7">
        <v>103</v>
      </c>
      <c r="C7">
        <v>35</v>
      </c>
      <c r="D7" s="4">
        <v>1</v>
      </c>
      <c r="E7">
        <f>_xlfn.XLOOKUP(C7,products!A:A,products!D:D)</f>
        <v>5295</v>
      </c>
      <c r="F7">
        <f t="shared" si="1"/>
        <v>5295</v>
      </c>
      <c r="G7">
        <f>D7*(E7-_xlfn.XLOOKUP(C7,products!A:A,products!E:E))</f>
        <v>1985.62</v>
      </c>
      <c r="H7" s="6" t="str">
        <f>_xlfn.XLOOKUP(C7,products!A:A,products!C:C)</f>
        <v>Books</v>
      </c>
      <c r="I7" s="6" t="str">
        <f>_xlfn.XLOOKUP(C7,products!A:A,products!B:B)</f>
        <v>Novel</v>
      </c>
      <c r="J7" s="6">
        <f>_xlfn.XLOOKUP(B7,orders!A:A,orders!C:C)</f>
        <v>45664</v>
      </c>
      <c r="K7" s="6" t="str">
        <f t="shared" si="0"/>
        <v>Jan-2025</v>
      </c>
      <c r="L7" s="6">
        <f>_xlfn.XLOOKUP(B7,orders!A:A,orders!B:B)</f>
        <v>75</v>
      </c>
      <c r="M7" s="6" t="str">
        <f>_xlfn.XLOOKUP("C"&amp;TEXT(L7,"000"),customers!A:A,customers!B:B,"Not Found")</f>
        <v>Rahul K.</v>
      </c>
    </row>
    <row r="8" spans="1:13">
      <c r="A8">
        <v>7</v>
      </c>
      <c r="B8">
        <v>104</v>
      </c>
      <c r="C8">
        <v>29</v>
      </c>
      <c r="D8" s="4">
        <v>1</v>
      </c>
      <c r="E8">
        <f>_xlfn.XLOOKUP(C8,products!A:A,products!D:D)</f>
        <v>4473</v>
      </c>
      <c r="F8">
        <f t="shared" si="1"/>
        <v>4473</v>
      </c>
      <c r="G8">
        <f>D8*(E8-_xlfn.XLOOKUP(C8,products!A:A,products!E:E))</f>
        <v>1408.9899999999998</v>
      </c>
      <c r="H8" s="6" t="str">
        <f>_xlfn.XLOOKUP(C8,products!A:A,products!C:C)</f>
        <v>Furniture</v>
      </c>
      <c r="I8" s="6" t="str">
        <f>_xlfn.XLOOKUP(C8,products!A:A,products!B:B)</f>
        <v>Chair</v>
      </c>
      <c r="J8" s="6">
        <f>_xlfn.XLOOKUP(B8,orders!A:A,orders!C:C)</f>
        <v>45667</v>
      </c>
      <c r="K8" s="6" t="str">
        <f t="shared" si="0"/>
        <v>Jan-2025</v>
      </c>
      <c r="L8" s="6">
        <f>_xlfn.XLOOKUP(B8,orders!A:A,orders!B:B)</f>
        <v>112</v>
      </c>
      <c r="M8" s="6" t="str">
        <f>_xlfn.XLOOKUP("C"&amp;TEXT(L8,"000"),customers!A:A,customers!B:B,"Not Found")</f>
        <v>Meena X.</v>
      </c>
    </row>
    <row r="9" spans="1:13">
      <c r="A9">
        <v>8</v>
      </c>
      <c r="B9">
        <v>104</v>
      </c>
      <c r="C9">
        <v>42</v>
      </c>
      <c r="D9" s="4">
        <v>2</v>
      </c>
      <c r="E9">
        <f>_xlfn.XLOOKUP(C9,products!A:A,products!D:D)</f>
        <v>6254</v>
      </c>
      <c r="F9">
        <f t="shared" si="1"/>
        <v>12508</v>
      </c>
      <c r="G9">
        <f>D9*(E9-_xlfn.XLOOKUP(C9,products!A:A,products!E:E))</f>
        <v>5253.36</v>
      </c>
      <c r="H9" s="6" t="str">
        <f>_xlfn.XLOOKUP(C9,products!A:A,products!C:C)</f>
        <v>Beauty</v>
      </c>
      <c r="I9" s="6" t="str">
        <f>_xlfn.XLOOKUP(C9,products!A:A,products!B:B)</f>
        <v>Shampoo</v>
      </c>
      <c r="J9" s="6">
        <f>_xlfn.XLOOKUP(B9,orders!A:A,orders!C:C)</f>
        <v>45667</v>
      </c>
      <c r="K9" s="6" t="str">
        <f t="shared" si="0"/>
        <v>Jan-2025</v>
      </c>
      <c r="L9" s="6">
        <f>_xlfn.XLOOKUP(B9,orders!A:A,orders!B:B)</f>
        <v>112</v>
      </c>
      <c r="M9" s="6" t="str">
        <f>_xlfn.XLOOKUP("C"&amp;TEXT(L9,"000"),customers!A:A,customers!B:B,"Not Found")</f>
        <v>Meena X.</v>
      </c>
    </row>
    <row r="10" spans="1:13">
      <c r="A10">
        <v>9</v>
      </c>
      <c r="B10">
        <v>105</v>
      </c>
      <c r="C10">
        <v>36</v>
      </c>
      <c r="D10" s="4">
        <v>2</v>
      </c>
      <c r="E10">
        <f>_xlfn.XLOOKUP(C10,products!A:A,products!D:D)</f>
        <v>5432</v>
      </c>
      <c r="F10">
        <f t="shared" si="1"/>
        <v>10864</v>
      </c>
      <c r="G10">
        <f>D10*(E10-_xlfn.XLOOKUP(C10,products!A:A,products!E:E))</f>
        <v>3911.04</v>
      </c>
      <c r="H10" s="6" t="str">
        <f>_xlfn.XLOOKUP(C10,products!A:A,products!C:C)</f>
        <v>Sports</v>
      </c>
      <c r="I10" s="6" t="str">
        <f>_xlfn.XLOOKUP(C10,products!A:A,products!B:B)</f>
        <v>Cricket Bat</v>
      </c>
      <c r="J10" s="6">
        <f>_xlfn.XLOOKUP(B10,orders!A:A,orders!C:C)</f>
        <v>45670</v>
      </c>
      <c r="K10" s="6" t="str">
        <f t="shared" si="0"/>
        <v>Jan-2025</v>
      </c>
      <c r="L10" s="6">
        <f>_xlfn.XLOOKUP(B10,orders!A:A,orders!B:B)</f>
        <v>149</v>
      </c>
      <c r="M10" s="6" t="str">
        <f>_xlfn.XLOOKUP("C"&amp;TEXT(L10,"000"),customers!A:A,customers!B:B,"Not Found")</f>
        <v>Ravi L.</v>
      </c>
    </row>
    <row r="11" spans="1:13">
      <c r="A11">
        <v>10</v>
      </c>
      <c r="B11">
        <v>105</v>
      </c>
      <c r="C11">
        <v>49</v>
      </c>
      <c r="D11" s="4">
        <v>3</v>
      </c>
      <c r="E11">
        <f>_xlfn.XLOOKUP(C11,products!A:A,products!D:D)</f>
        <v>7213</v>
      </c>
      <c r="F11">
        <f t="shared" si="1"/>
        <v>21639</v>
      </c>
      <c r="G11">
        <f>D11*(E11-_xlfn.XLOOKUP(C11,products!A:A,products!E:E))</f>
        <v>6816.27</v>
      </c>
      <c r="H11" s="6" t="str">
        <f>_xlfn.XLOOKUP(C11,products!A:A,products!C:C)</f>
        <v>Toys</v>
      </c>
      <c r="I11" s="6" t="str">
        <f>_xlfn.XLOOKUP(C11,products!A:A,products!B:B)</f>
        <v>Remote Car</v>
      </c>
      <c r="J11" s="6">
        <f>_xlfn.XLOOKUP(B11,orders!A:A,orders!C:C)</f>
        <v>45670</v>
      </c>
      <c r="K11" s="6" t="str">
        <f t="shared" si="0"/>
        <v>Jan-2025</v>
      </c>
      <c r="L11" s="6">
        <f>_xlfn.XLOOKUP(B11,orders!A:A,orders!B:B)</f>
        <v>149</v>
      </c>
      <c r="M11" s="6" t="str">
        <f>_xlfn.XLOOKUP("C"&amp;TEXT(L11,"000"),customers!A:A,customers!B:B,"Not Found")</f>
        <v>Ravi L.</v>
      </c>
    </row>
    <row r="12" spans="1:13">
      <c r="A12">
        <v>11</v>
      </c>
      <c r="B12">
        <v>106</v>
      </c>
      <c r="C12">
        <v>43</v>
      </c>
      <c r="D12" s="4">
        <v>3</v>
      </c>
      <c r="E12">
        <f>_xlfn.XLOOKUP(C12,products!A:A,products!D:D)</f>
        <v>6391</v>
      </c>
      <c r="F12">
        <f t="shared" si="1"/>
        <v>19173</v>
      </c>
      <c r="G12">
        <f>D12*(E12-_xlfn.XLOOKUP(C12,products!A:A,products!E:E))</f>
        <v>7765.0499999999993</v>
      </c>
      <c r="H12" s="6" t="str">
        <f>_xlfn.XLOOKUP(C12,products!A:A,products!C:C)</f>
        <v>Beauty</v>
      </c>
      <c r="I12" s="6" t="str">
        <f>_xlfn.XLOOKUP(C12,products!A:A,products!B:B)</f>
        <v>Perfume</v>
      </c>
      <c r="J12" s="6">
        <f>_xlfn.XLOOKUP(B12,orders!A:A,orders!C:C)</f>
        <v>45673</v>
      </c>
      <c r="K12" s="6" t="str">
        <f t="shared" si="0"/>
        <v>Jan-2025</v>
      </c>
      <c r="L12" s="6">
        <f>_xlfn.XLOOKUP(B12,orders!A:A,orders!B:B)</f>
        <v>186</v>
      </c>
      <c r="M12" s="6" t="str">
        <f>_xlfn.XLOOKUP("C"&amp;TEXT(L12,"000"),customers!A:A,customers!B:B,"Not Found")</f>
        <v>Nikhil A.</v>
      </c>
    </row>
    <row r="13" spans="1:13">
      <c r="A13">
        <v>12</v>
      </c>
      <c r="B13">
        <v>106</v>
      </c>
      <c r="C13">
        <v>6</v>
      </c>
      <c r="D13" s="4">
        <v>4</v>
      </c>
      <c r="E13">
        <f>_xlfn.XLOOKUP(C13,products!A:A,products!D:D)</f>
        <v>1322</v>
      </c>
      <c r="F13">
        <f t="shared" si="1"/>
        <v>5288</v>
      </c>
      <c r="G13">
        <f>D13*(E13-_xlfn.XLOOKUP(C13,products!A:A,products!E:E))</f>
        <v>1903.6799999999998</v>
      </c>
      <c r="H13" s="6" t="str">
        <f>_xlfn.XLOOKUP(C13,products!A:A,products!C:C)</f>
        <v>Electronics</v>
      </c>
      <c r="I13" s="6" t="str">
        <f>_xlfn.XLOOKUP(C13,products!A:A,products!B:B)</f>
        <v>Mouse</v>
      </c>
      <c r="J13" s="6">
        <f>_xlfn.XLOOKUP(B13,orders!A:A,orders!C:C)</f>
        <v>45673</v>
      </c>
      <c r="K13" s="6" t="str">
        <f t="shared" si="0"/>
        <v>Jan-2025</v>
      </c>
      <c r="L13" s="6">
        <f>_xlfn.XLOOKUP(B13,orders!A:A,orders!B:B)</f>
        <v>186</v>
      </c>
      <c r="M13" s="6" t="str">
        <f>_xlfn.XLOOKUP("C"&amp;TEXT(L13,"000"),customers!A:A,customers!B:B,"Not Found")</f>
        <v>Nikhil A.</v>
      </c>
    </row>
    <row r="14" spans="1:13">
      <c r="A14">
        <v>13</v>
      </c>
      <c r="B14">
        <v>107</v>
      </c>
      <c r="C14">
        <v>50</v>
      </c>
      <c r="D14" s="4">
        <v>4</v>
      </c>
      <c r="E14">
        <f>_xlfn.XLOOKUP(C14,products!A:A,products!D:D)</f>
        <v>7350</v>
      </c>
      <c r="F14">
        <f t="shared" si="1"/>
        <v>29400</v>
      </c>
      <c r="G14">
        <f>D14*(E14-_xlfn.XLOOKUP(C14,products!A:A,products!E:E))</f>
        <v>13230</v>
      </c>
      <c r="H14" s="6" t="str">
        <f>_xlfn.XLOOKUP(C14,products!A:A,products!C:C)</f>
        <v>Toys</v>
      </c>
      <c r="I14" s="6" t="str">
        <f>_xlfn.XLOOKUP(C14,products!A:A,products!B:B)</f>
        <v>Building Blocks</v>
      </c>
      <c r="J14" s="6">
        <f>_xlfn.XLOOKUP(B14,orders!A:A,orders!C:C)</f>
        <v>45676</v>
      </c>
      <c r="K14" s="6" t="str">
        <f t="shared" si="0"/>
        <v>Jan-2025</v>
      </c>
      <c r="L14" s="6">
        <f>_xlfn.XLOOKUP(B14,orders!A:A,orders!B:B)</f>
        <v>223</v>
      </c>
      <c r="M14" s="6" t="str">
        <f>_xlfn.XLOOKUP("C"&amp;TEXT(L14,"000"),customers!A:A,customers!B:B,"Not Found")</f>
        <v>Nikhil E.</v>
      </c>
    </row>
    <row r="15" spans="1:13">
      <c r="A15">
        <v>14</v>
      </c>
      <c r="B15">
        <v>107</v>
      </c>
      <c r="C15">
        <v>13</v>
      </c>
      <c r="D15" s="4">
        <v>1</v>
      </c>
      <c r="E15">
        <f>_xlfn.XLOOKUP(C15,products!A:A,products!D:D)</f>
        <v>2281</v>
      </c>
      <c r="F15">
        <f t="shared" si="1"/>
        <v>2281</v>
      </c>
      <c r="G15">
        <f>D15*(E15-_xlfn.XLOOKUP(C15,products!A:A,products!E:E))</f>
        <v>923.8</v>
      </c>
      <c r="H15" s="6" t="str">
        <f>_xlfn.XLOOKUP(C15,products!A:A,products!C:C)</f>
        <v>Fashion</v>
      </c>
      <c r="I15" s="6" t="str">
        <f>_xlfn.XLOOKUP(C15,products!A:A,products!B:B)</f>
        <v>Shirt</v>
      </c>
      <c r="J15" s="6">
        <f>_xlfn.XLOOKUP(B15,orders!A:A,orders!C:C)</f>
        <v>45676</v>
      </c>
      <c r="K15" s="6" t="str">
        <f t="shared" si="0"/>
        <v>Jan-2025</v>
      </c>
      <c r="L15" s="6">
        <f>_xlfn.XLOOKUP(B15,orders!A:A,orders!B:B)</f>
        <v>223</v>
      </c>
      <c r="M15" s="6" t="str">
        <f>_xlfn.XLOOKUP("C"&amp;TEXT(L15,"000"),customers!A:A,customers!B:B,"Not Found")</f>
        <v>Nikhil E.</v>
      </c>
    </row>
    <row r="16" spans="1:13">
      <c r="A16">
        <v>15</v>
      </c>
      <c r="B16">
        <v>108</v>
      </c>
      <c r="C16">
        <v>7</v>
      </c>
      <c r="D16" s="4">
        <v>1</v>
      </c>
      <c r="E16">
        <f>_xlfn.XLOOKUP(C16,products!A:A,products!D:D)</f>
        <v>1459</v>
      </c>
      <c r="F16">
        <f t="shared" si="1"/>
        <v>1459</v>
      </c>
      <c r="G16">
        <f>D16*(E16-_xlfn.XLOOKUP(C16,products!A:A,products!E:E))</f>
        <v>503.35</v>
      </c>
      <c r="H16" s="6" t="str">
        <f>_xlfn.XLOOKUP(C16,products!A:A,products!C:C)</f>
        <v>Electronics</v>
      </c>
      <c r="I16" s="6" t="str">
        <f>_xlfn.XLOOKUP(C16,products!A:A,products!B:B)</f>
        <v>Monitor</v>
      </c>
      <c r="J16" s="6">
        <f>_xlfn.XLOOKUP(B16,orders!A:A,orders!C:C)</f>
        <v>45679</v>
      </c>
      <c r="K16" s="6" t="str">
        <f t="shared" si="0"/>
        <v>Jan-2025</v>
      </c>
      <c r="L16" s="6">
        <f>_xlfn.XLOOKUP(B16,orders!A:A,orders!B:B)</f>
        <v>260</v>
      </c>
      <c r="M16" s="6" t="str">
        <f>_xlfn.XLOOKUP("C"&amp;TEXT(L16,"000"),customers!A:A,customers!B:B,"Not Found")</f>
        <v>Neha Z.</v>
      </c>
    </row>
    <row r="17" spans="1:13">
      <c r="A17">
        <v>16</v>
      </c>
      <c r="B17">
        <v>108</v>
      </c>
      <c r="C17">
        <v>20</v>
      </c>
      <c r="D17" s="4">
        <v>2</v>
      </c>
      <c r="E17">
        <f>_xlfn.XLOOKUP(C17,products!A:A,products!D:D)</f>
        <v>3240</v>
      </c>
      <c r="F17">
        <f t="shared" si="1"/>
        <v>6480</v>
      </c>
      <c r="G17">
        <f>D17*(E17-_xlfn.XLOOKUP(C17,products!A:A,products!E:E))</f>
        <v>2916</v>
      </c>
      <c r="H17" s="6" t="str">
        <f>_xlfn.XLOOKUP(C17,products!A:A,products!C:C)</f>
        <v>Fashion</v>
      </c>
      <c r="I17" s="6" t="str">
        <f>_xlfn.XLOOKUP(C17,products!A:A,products!B:B)</f>
        <v>Belt</v>
      </c>
      <c r="J17" s="6">
        <f>_xlfn.XLOOKUP(B17,orders!A:A,orders!C:C)</f>
        <v>45679</v>
      </c>
      <c r="K17" s="6" t="str">
        <f t="shared" si="0"/>
        <v>Jan-2025</v>
      </c>
      <c r="L17" s="6">
        <f>_xlfn.XLOOKUP(B17,orders!A:A,orders!B:B)</f>
        <v>260</v>
      </c>
      <c r="M17" s="6" t="str">
        <f>_xlfn.XLOOKUP("C"&amp;TEXT(L17,"000"),customers!A:A,customers!B:B,"Not Found")</f>
        <v>Neha Z.</v>
      </c>
    </row>
    <row r="18" spans="1:13">
      <c r="A18">
        <v>17</v>
      </c>
      <c r="B18">
        <v>109</v>
      </c>
      <c r="C18">
        <v>14</v>
      </c>
      <c r="D18" s="4">
        <v>2</v>
      </c>
      <c r="E18">
        <f>_xlfn.XLOOKUP(C18,products!A:A,products!D:D)</f>
        <v>2418</v>
      </c>
      <c r="F18">
        <f t="shared" si="1"/>
        <v>4836</v>
      </c>
      <c r="G18">
        <f>D18*(E18-_xlfn.XLOOKUP(C18,products!A:A,products!E:E))</f>
        <v>1886.04</v>
      </c>
      <c r="H18" s="6" t="str">
        <f>_xlfn.XLOOKUP(C18,products!A:A,products!C:C)</f>
        <v>Fashion</v>
      </c>
      <c r="I18" s="6" t="str">
        <f>_xlfn.XLOOKUP(C18,products!A:A,products!B:B)</f>
        <v>Jacket</v>
      </c>
      <c r="J18" s="6">
        <f>_xlfn.XLOOKUP(B18,orders!A:A,orders!C:C)</f>
        <v>45682</v>
      </c>
      <c r="K18" s="6" t="str">
        <f t="shared" si="0"/>
        <v>Jan-2025</v>
      </c>
      <c r="L18" s="6">
        <f>_xlfn.XLOOKUP(B18,orders!A:A,orders!B:B)</f>
        <v>297</v>
      </c>
      <c r="M18" s="6" t="str">
        <f>_xlfn.XLOOKUP("C"&amp;TEXT(L18,"000"),customers!A:A,customers!B:B,"Not Found")</f>
        <v>Arjun Y.</v>
      </c>
    </row>
    <row r="19" spans="1:13">
      <c r="A19">
        <v>18</v>
      </c>
      <c r="B19">
        <v>109</v>
      </c>
      <c r="C19">
        <v>27</v>
      </c>
      <c r="D19" s="4">
        <v>3</v>
      </c>
      <c r="E19">
        <f>_xlfn.XLOOKUP(C19,products!A:A,products!D:D)</f>
        <v>4199</v>
      </c>
      <c r="F19">
        <f t="shared" si="1"/>
        <v>12597</v>
      </c>
      <c r="G19">
        <f>D19*(E19-_xlfn.XLOOKUP(C19,products!A:A,products!E:E))</f>
        <v>4345.9500000000007</v>
      </c>
      <c r="H19" s="6" t="str">
        <f>_xlfn.XLOOKUP(C19,products!A:A,products!C:C)</f>
        <v>Home &amp; Kitchen</v>
      </c>
      <c r="I19" s="6" t="str">
        <f>_xlfn.XLOOKUP(C19,products!A:A,products!B:B)</f>
        <v>Cookware Set</v>
      </c>
      <c r="J19" s="6">
        <f>_xlfn.XLOOKUP(B19,orders!A:A,orders!C:C)</f>
        <v>45682</v>
      </c>
      <c r="K19" s="6" t="str">
        <f t="shared" si="0"/>
        <v>Jan-2025</v>
      </c>
      <c r="L19" s="6">
        <f>_xlfn.XLOOKUP(B19,orders!A:A,orders!B:B)</f>
        <v>297</v>
      </c>
      <c r="M19" s="6" t="str">
        <f>_xlfn.XLOOKUP("C"&amp;TEXT(L19,"000"),customers!A:A,customers!B:B,"Not Found")</f>
        <v>Arjun Y.</v>
      </c>
    </row>
    <row r="20" spans="1:13">
      <c r="A20">
        <v>19</v>
      </c>
      <c r="B20">
        <v>110</v>
      </c>
      <c r="C20">
        <v>21</v>
      </c>
      <c r="D20" s="4">
        <v>3</v>
      </c>
      <c r="E20">
        <f>_xlfn.XLOOKUP(C20,products!A:A,products!D:D)</f>
        <v>3377</v>
      </c>
      <c r="F20">
        <f t="shared" si="1"/>
        <v>10131</v>
      </c>
      <c r="G20">
        <f>D20*(E20-_xlfn.XLOOKUP(C20,products!A:A,products!E:E))</f>
        <v>4406.97</v>
      </c>
      <c r="H20" s="6" t="str">
        <f>_xlfn.XLOOKUP(C20,products!A:A,products!C:C)</f>
        <v>Home Appliances</v>
      </c>
      <c r="I20" s="6" t="str">
        <f>_xlfn.XLOOKUP(C20,products!A:A,products!B:B)</f>
        <v>Mixer</v>
      </c>
      <c r="J20" s="6">
        <f>_xlfn.XLOOKUP(B20,orders!A:A,orders!C:C)</f>
        <v>45685</v>
      </c>
      <c r="K20" s="6" t="str">
        <f t="shared" si="0"/>
        <v>Jan-2025</v>
      </c>
      <c r="L20" s="6">
        <f>_xlfn.XLOOKUP(B20,orders!A:A,orders!B:B)</f>
        <v>334</v>
      </c>
      <c r="M20" s="6" t="str">
        <f>_xlfn.XLOOKUP("C"&amp;TEXT(L20,"000"),customers!A:A,customers!B:B,"Not Found")</f>
        <v>Neha A.</v>
      </c>
    </row>
    <row r="21" spans="1:13">
      <c r="A21">
        <v>20</v>
      </c>
      <c r="B21">
        <v>110</v>
      </c>
      <c r="C21">
        <v>34</v>
      </c>
      <c r="D21" s="4">
        <v>4</v>
      </c>
      <c r="E21">
        <f>_xlfn.XLOOKUP(C21,products!A:A,products!D:D)</f>
        <v>5158</v>
      </c>
      <c r="F21">
        <f t="shared" si="1"/>
        <v>20632</v>
      </c>
      <c r="G21">
        <f>D21*(E21-_xlfn.XLOOKUP(C21,products!A:A,products!E:E))</f>
        <v>8046.48</v>
      </c>
      <c r="H21" s="6" t="str">
        <f>_xlfn.XLOOKUP(C21,products!A:A,products!C:C)</f>
        <v>Books</v>
      </c>
      <c r="I21" s="6" t="str">
        <f>_xlfn.XLOOKUP(C21,products!A:A,products!B:B)</f>
        <v>Cookbook</v>
      </c>
      <c r="J21" s="6">
        <f>_xlfn.XLOOKUP(B21,orders!A:A,orders!C:C)</f>
        <v>45685</v>
      </c>
      <c r="K21" s="6" t="str">
        <f t="shared" si="0"/>
        <v>Jan-2025</v>
      </c>
      <c r="L21" s="6">
        <f>_xlfn.XLOOKUP(B21,orders!A:A,orders!B:B)</f>
        <v>334</v>
      </c>
      <c r="M21" s="6" t="str">
        <f>_xlfn.XLOOKUP("C"&amp;TEXT(L21,"000"),customers!A:A,customers!B:B,"Not Found")</f>
        <v>Neha A.</v>
      </c>
    </row>
    <row r="22" spans="1:13">
      <c r="A22">
        <v>21</v>
      </c>
      <c r="B22">
        <v>111</v>
      </c>
      <c r="C22">
        <v>28</v>
      </c>
      <c r="D22" s="4">
        <v>4</v>
      </c>
      <c r="E22">
        <f>_xlfn.XLOOKUP(C22,products!A:A,products!D:D)</f>
        <v>4336</v>
      </c>
      <c r="F22">
        <f t="shared" si="1"/>
        <v>17344</v>
      </c>
      <c r="G22">
        <f>D22*(E22-_xlfn.XLOOKUP(C22,products!A:A,products!E:E))</f>
        <v>5723.52</v>
      </c>
      <c r="H22" s="6" t="str">
        <f>_xlfn.XLOOKUP(C22,products!A:A,products!C:C)</f>
        <v>Home &amp; Kitchen</v>
      </c>
      <c r="I22" s="6" t="str">
        <f>_xlfn.XLOOKUP(C22,products!A:A,products!B:B)</f>
        <v>Bottle</v>
      </c>
      <c r="J22" s="6">
        <f>_xlfn.XLOOKUP(B22,orders!A:A,orders!C:C)</f>
        <v>45688</v>
      </c>
      <c r="K22" s="6" t="str">
        <f t="shared" si="0"/>
        <v>Jan-2025</v>
      </c>
      <c r="L22" s="6">
        <f>_xlfn.XLOOKUP(B22,orders!A:A,orders!B:B)</f>
        <v>371</v>
      </c>
      <c r="M22" s="6" t="str">
        <f>_xlfn.XLOOKUP("C"&amp;TEXT(L22,"000"),customers!A:A,customers!B:B,"Not Found")</f>
        <v>Priya K.</v>
      </c>
    </row>
    <row r="23" spans="1:13">
      <c r="A23">
        <v>22</v>
      </c>
      <c r="B23">
        <v>111</v>
      </c>
      <c r="C23">
        <v>41</v>
      </c>
      <c r="D23" s="4">
        <v>1</v>
      </c>
      <c r="E23">
        <f>_xlfn.XLOOKUP(C23,products!A:A,products!D:D)</f>
        <v>6117</v>
      </c>
      <c r="F23">
        <f t="shared" si="1"/>
        <v>6117</v>
      </c>
      <c r="G23">
        <f>D23*(E23-_xlfn.XLOOKUP(C23,products!A:A,products!E:E))</f>
        <v>2660.89</v>
      </c>
      <c r="H23" s="6" t="str">
        <f>_xlfn.XLOOKUP(C23,products!A:A,products!C:C)</f>
        <v>Beauty</v>
      </c>
      <c r="I23" s="6" t="str">
        <f>_xlfn.XLOOKUP(C23,products!A:A,products!B:B)</f>
        <v>Face Wash</v>
      </c>
      <c r="J23" s="6">
        <f>_xlfn.XLOOKUP(B23,orders!A:A,orders!C:C)</f>
        <v>45688</v>
      </c>
      <c r="K23" s="6" t="str">
        <f t="shared" si="0"/>
        <v>Jan-2025</v>
      </c>
      <c r="L23" s="6">
        <f>_xlfn.XLOOKUP(B23,orders!A:A,orders!B:B)</f>
        <v>371</v>
      </c>
      <c r="M23" s="6" t="str">
        <f>_xlfn.XLOOKUP("C"&amp;TEXT(L23,"000"),customers!A:A,customers!B:B,"Not Found")</f>
        <v>Priya K.</v>
      </c>
    </row>
    <row r="24" spans="1:13">
      <c r="A24">
        <v>23</v>
      </c>
      <c r="B24">
        <v>112</v>
      </c>
      <c r="C24">
        <v>35</v>
      </c>
      <c r="D24" s="4">
        <v>1</v>
      </c>
      <c r="E24">
        <f>_xlfn.XLOOKUP(C24,products!A:A,products!D:D)</f>
        <v>5295</v>
      </c>
      <c r="F24">
        <f t="shared" si="1"/>
        <v>5295</v>
      </c>
      <c r="G24">
        <f>D24*(E24-_xlfn.XLOOKUP(C24,products!A:A,products!E:E))</f>
        <v>1985.62</v>
      </c>
      <c r="H24" s="6" t="str">
        <f>_xlfn.XLOOKUP(C24,products!A:A,products!C:C)</f>
        <v>Books</v>
      </c>
      <c r="I24" s="6" t="str">
        <f>_xlfn.XLOOKUP(C24,products!A:A,products!B:B)</f>
        <v>Novel</v>
      </c>
      <c r="J24" s="6">
        <f>_xlfn.XLOOKUP(B24,orders!A:A,orders!C:C)</f>
        <v>45691</v>
      </c>
      <c r="K24" s="6" t="str">
        <f t="shared" si="0"/>
        <v>Feb-2025</v>
      </c>
      <c r="L24" s="6">
        <f>_xlfn.XLOOKUP(B24,orders!A:A,orders!B:B)</f>
        <v>408</v>
      </c>
      <c r="M24" s="6" t="str">
        <f>_xlfn.XLOOKUP("C"&amp;TEXT(L24,"000"),customers!A:A,customers!B:B,"Not Found")</f>
        <v>Sneha S.</v>
      </c>
    </row>
    <row r="25" spans="1:13">
      <c r="A25">
        <v>24</v>
      </c>
      <c r="B25">
        <v>112</v>
      </c>
      <c r="C25">
        <v>48</v>
      </c>
      <c r="D25" s="4">
        <v>2</v>
      </c>
      <c r="E25">
        <f>_xlfn.XLOOKUP(C25,products!A:A,products!D:D)</f>
        <v>7076</v>
      </c>
      <c r="F25">
        <f t="shared" si="1"/>
        <v>14152</v>
      </c>
      <c r="G25">
        <f>D25*(E25-_xlfn.XLOOKUP(C25,products!A:A,products!E:E))</f>
        <v>4670.16</v>
      </c>
      <c r="H25" s="6" t="str">
        <f>_xlfn.XLOOKUP(C25,products!A:A,products!C:C)</f>
        <v>Toys</v>
      </c>
      <c r="I25" s="6" t="str">
        <f>_xlfn.XLOOKUP(C25,products!A:A,products!B:B)</f>
        <v>Board Game</v>
      </c>
      <c r="J25" s="6">
        <f>_xlfn.XLOOKUP(B25,orders!A:A,orders!C:C)</f>
        <v>45691</v>
      </c>
      <c r="K25" s="6" t="str">
        <f t="shared" si="0"/>
        <v>Feb-2025</v>
      </c>
      <c r="L25" s="6">
        <f>_xlfn.XLOOKUP(B25,orders!A:A,orders!B:B)</f>
        <v>408</v>
      </c>
      <c r="M25" s="6" t="str">
        <f>_xlfn.XLOOKUP("C"&amp;TEXT(L25,"000"),customers!A:A,customers!B:B,"Not Found")</f>
        <v>Sneha S.</v>
      </c>
    </row>
    <row r="26" spans="1:13">
      <c r="A26">
        <v>25</v>
      </c>
      <c r="B26">
        <v>113</v>
      </c>
      <c r="C26">
        <v>42</v>
      </c>
      <c r="D26" s="4">
        <v>2</v>
      </c>
      <c r="E26">
        <f>_xlfn.XLOOKUP(C26,products!A:A,products!D:D)</f>
        <v>6254</v>
      </c>
      <c r="F26">
        <f t="shared" si="1"/>
        <v>12508</v>
      </c>
      <c r="G26">
        <f>D26*(E26-_xlfn.XLOOKUP(C26,products!A:A,products!E:E))</f>
        <v>5253.36</v>
      </c>
      <c r="H26" s="6" t="str">
        <f>_xlfn.XLOOKUP(C26,products!A:A,products!C:C)</f>
        <v>Beauty</v>
      </c>
      <c r="I26" s="6" t="str">
        <f>_xlfn.XLOOKUP(C26,products!A:A,products!B:B)</f>
        <v>Shampoo</v>
      </c>
      <c r="J26" s="6">
        <f>_xlfn.XLOOKUP(B26,orders!A:A,orders!C:C)</f>
        <v>45694</v>
      </c>
      <c r="K26" s="6" t="str">
        <f t="shared" si="0"/>
        <v>Feb-2025</v>
      </c>
      <c r="L26" s="6">
        <f>_xlfn.XLOOKUP(B26,orders!A:A,orders!B:B)</f>
        <v>445</v>
      </c>
      <c r="M26" s="6" t="str">
        <f>_xlfn.XLOOKUP("C"&amp;TEXT(L26,"000"),customers!A:A,customers!B:B,"Not Found")</f>
        <v>Kavya W.</v>
      </c>
    </row>
    <row r="27" spans="1:13">
      <c r="A27">
        <v>26</v>
      </c>
      <c r="B27">
        <v>113</v>
      </c>
      <c r="C27">
        <v>5</v>
      </c>
      <c r="D27" s="4">
        <v>3</v>
      </c>
      <c r="E27">
        <f>_xlfn.XLOOKUP(C27,products!A:A,products!D:D)</f>
        <v>1185</v>
      </c>
      <c r="F27">
        <f t="shared" si="1"/>
        <v>3555</v>
      </c>
      <c r="G27">
        <f>D27*(E27-_xlfn.XLOOKUP(C27,products!A:A,products!E:E))</f>
        <v>1333.1399999999999</v>
      </c>
      <c r="H27" s="6" t="str">
        <f>_xlfn.XLOOKUP(C27,products!A:A,products!C:C)</f>
        <v>Electronics</v>
      </c>
      <c r="I27" s="6" t="str">
        <f>_xlfn.XLOOKUP(C27,products!A:A,products!B:B)</f>
        <v>Keyboard</v>
      </c>
      <c r="J27" s="6">
        <f>_xlfn.XLOOKUP(B27,orders!A:A,orders!C:C)</f>
        <v>45694</v>
      </c>
      <c r="K27" s="6" t="str">
        <f t="shared" si="0"/>
        <v>Feb-2025</v>
      </c>
      <c r="L27" s="6">
        <f>_xlfn.XLOOKUP(B27,orders!A:A,orders!B:B)</f>
        <v>445</v>
      </c>
      <c r="M27" s="6" t="str">
        <f>_xlfn.XLOOKUP("C"&amp;TEXT(L27,"000"),customers!A:A,customers!B:B,"Not Found")</f>
        <v>Kavya W.</v>
      </c>
    </row>
    <row r="28" spans="1:13">
      <c r="A28">
        <v>27</v>
      </c>
      <c r="B28">
        <v>114</v>
      </c>
      <c r="C28">
        <v>49</v>
      </c>
      <c r="D28" s="4">
        <v>3</v>
      </c>
      <c r="E28">
        <f>_xlfn.XLOOKUP(C28,products!A:A,products!D:D)</f>
        <v>7213</v>
      </c>
      <c r="F28">
        <f t="shared" si="1"/>
        <v>21639</v>
      </c>
      <c r="G28">
        <f>D28*(E28-_xlfn.XLOOKUP(C28,products!A:A,products!E:E))</f>
        <v>6816.27</v>
      </c>
      <c r="H28" s="6" t="str">
        <f>_xlfn.XLOOKUP(C28,products!A:A,products!C:C)</f>
        <v>Toys</v>
      </c>
      <c r="I28" s="6" t="str">
        <f>_xlfn.XLOOKUP(C28,products!A:A,products!B:B)</f>
        <v>Remote Car</v>
      </c>
      <c r="J28" s="6">
        <f>_xlfn.XLOOKUP(B28,orders!A:A,orders!C:C)</f>
        <v>45697</v>
      </c>
      <c r="K28" s="6" t="str">
        <f t="shared" si="0"/>
        <v>Feb-2025</v>
      </c>
      <c r="L28" s="6">
        <f>_xlfn.XLOOKUP(B28,orders!A:A,orders!B:B)</f>
        <v>482</v>
      </c>
      <c r="M28" s="6" t="str">
        <f>_xlfn.XLOOKUP("C"&amp;TEXT(L28,"000"),customers!A:A,customers!B:B,"Not Found")</f>
        <v>Lakshmi P.</v>
      </c>
    </row>
    <row r="29" spans="1:13">
      <c r="A29">
        <v>28</v>
      </c>
      <c r="B29">
        <v>114</v>
      </c>
      <c r="C29">
        <v>12</v>
      </c>
      <c r="D29" s="4">
        <v>4</v>
      </c>
      <c r="E29">
        <f>_xlfn.XLOOKUP(C29,products!A:A,products!D:D)</f>
        <v>2144</v>
      </c>
      <c r="F29">
        <f t="shared" si="1"/>
        <v>8576</v>
      </c>
      <c r="G29">
        <f>D29*(E29-_xlfn.XLOOKUP(C29,products!A:A,products!E:E))</f>
        <v>3601.92</v>
      </c>
      <c r="H29" s="6" t="str">
        <f>_xlfn.XLOOKUP(C29,products!A:A,products!C:C)</f>
        <v>Fashion</v>
      </c>
      <c r="I29" s="6" t="str">
        <f>_xlfn.XLOOKUP(C29,products!A:A,products!B:B)</f>
        <v>Jeans</v>
      </c>
      <c r="J29" s="6">
        <f>_xlfn.XLOOKUP(B29,orders!A:A,orders!C:C)</f>
        <v>45697</v>
      </c>
      <c r="K29" s="6" t="str">
        <f t="shared" si="0"/>
        <v>Feb-2025</v>
      </c>
      <c r="L29" s="6">
        <f>_xlfn.XLOOKUP(B29,orders!A:A,orders!B:B)</f>
        <v>482</v>
      </c>
      <c r="M29" s="6" t="str">
        <f>_xlfn.XLOOKUP("C"&amp;TEXT(L29,"000"),customers!A:A,customers!B:B,"Not Found")</f>
        <v>Lakshmi P.</v>
      </c>
    </row>
    <row r="30" spans="1:13">
      <c r="A30">
        <v>29</v>
      </c>
      <c r="B30">
        <v>115</v>
      </c>
      <c r="C30">
        <v>6</v>
      </c>
      <c r="D30" s="4">
        <v>4</v>
      </c>
      <c r="E30">
        <f>_xlfn.XLOOKUP(C30,products!A:A,products!D:D)</f>
        <v>1322</v>
      </c>
      <c r="F30">
        <f t="shared" si="1"/>
        <v>5288</v>
      </c>
      <c r="G30">
        <f>D30*(E30-_xlfn.XLOOKUP(C30,products!A:A,products!E:E))</f>
        <v>1903.6799999999998</v>
      </c>
      <c r="H30" s="6" t="str">
        <f>_xlfn.XLOOKUP(C30,products!A:A,products!C:C)</f>
        <v>Electronics</v>
      </c>
      <c r="I30" s="6" t="str">
        <f>_xlfn.XLOOKUP(C30,products!A:A,products!B:B)</f>
        <v>Mouse</v>
      </c>
      <c r="J30" s="6">
        <f>_xlfn.XLOOKUP(B30,orders!A:A,orders!C:C)</f>
        <v>45700</v>
      </c>
      <c r="K30" s="6" t="str">
        <f t="shared" si="0"/>
        <v>Feb-2025</v>
      </c>
      <c r="L30" s="6">
        <f>_xlfn.XLOOKUP(B30,orders!A:A,orders!B:B)</f>
        <v>19</v>
      </c>
      <c r="M30" s="6" t="str">
        <f>_xlfn.XLOOKUP("C"&amp;TEXT(L30,"000"),customers!A:A,customers!B:B,"Not Found")</f>
        <v>Vikram C.</v>
      </c>
    </row>
    <row r="31" spans="1:13">
      <c r="A31">
        <v>30</v>
      </c>
      <c r="B31">
        <v>115</v>
      </c>
      <c r="C31">
        <v>19</v>
      </c>
      <c r="D31" s="4">
        <v>1</v>
      </c>
      <c r="E31">
        <f>_xlfn.XLOOKUP(C31,products!A:A,products!D:D)</f>
        <v>3103</v>
      </c>
      <c r="F31">
        <f t="shared" si="1"/>
        <v>3103</v>
      </c>
      <c r="G31">
        <f>D31*(E31-_xlfn.XLOOKUP(C31,products!A:A,products!E:E))</f>
        <v>977.44</v>
      </c>
      <c r="H31" s="6" t="str">
        <f>_xlfn.XLOOKUP(C31,products!A:A,products!C:C)</f>
        <v>Fashion</v>
      </c>
      <c r="I31" s="6" t="str">
        <f>_xlfn.XLOOKUP(C31,products!A:A,products!B:B)</f>
        <v>Wallet</v>
      </c>
      <c r="J31" s="6">
        <f>_xlfn.XLOOKUP(B31,orders!A:A,orders!C:C)</f>
        <v>45700</v>
      </c>
      <c r="K31" s="6" t="str">
        <f t="shared" si="0"/>
        <v>Feb-2025</v>
      </c>
      <c r="L31" s="6">
        <f>_xlfn.XLOOKUP(B31,orders!A:A,orders!B:B)</f>
        <v>19</v>
      </c>
      <c r="M31" s="6" t="str">
        <f>_xlfn.XLOOKUP("C"&amp;TEXT(L31,"000"),customers!A:A,customers!B:B,"Not Found")</f>
        <v>Vikram C.</v>
      </c>
    </row>
    <row r="32" spans="1:13">
      <c r="A32">
        <v>31</v>
      </c>
      <c r="B32">
        <v>116</v>
      </c>
      <c r="C32">
        <v>13</v>
      </c>
      <c r="D32" s="4">
        <v>1</v>
      </c>
      <c r="E32">
        <f>_xlfn.XLOOKUP(C32,products!A:A,products!D:D)</f>
        <v>2281</v>
      </c>
      <c r="F32">
        <f t="shared" si="1"/>
        <v>2281</v>
      </c>
      <c r="G32">
        <f>D32*(E32-_xlfn.XLOOKUP(C32,products!A:A,products!E:E))</f>
        <v>923.8</v>
      </c>
      <c r="H32" s="6" t="str">
        <f>_xlfn.XLOOKUP(C32,products!A:A,products!C:C)</f>
        <v>Fashion</v>
      </c>
      <c r="I32" s="6" t="str">
        <f>_xlfn.XLOOKUP(C32,products!A:A,products!B:B)</f>
        <v>Shirt</v>
      </c>
      <c r="J32" s="6">
        <f>_xlfn.XLOOKUP(B32,orders!A:A,orders!C:C)</f>
        <v>45703</v>
      </c>
      <c r="K32" s="6" t="str">
        <f t="shared" si="0"/>
        <v>Feb-2025</v>
      </c>
      <c r="L32" s="6">
        <f>_xlfn.XLOOKUP(B32,orders!A:A,orders!B:B)</f>
        <v>56</v>
      </c>
      <c r="M32" s="6" t="str">
        <f>_xlfn.XLOOKUP("C"&amp;TEXT(L32,"000"),customers!A:A,customers!B:B,"Not Found")</f>
        <v>Lakshmi V.</v>
      </c>
    </row>
    <row r="33" spans="1:13">
      <c r="A33">
        <v>32</v>
      </c>
      <c r="B33">
        <v>116</v>
      </c>
      <c r="C33">
        <v>26</v>
      </c>
      <c r="D33" s="4">
        <v>2</v>
      </c>
      <c r="E33">
        <f>_xlfn.XLOOKUP(C33,products!A:A,products!D:D)</f>
        <v>4062</v>
      </c>
      <c r="F33">
        <f t="shared" si="1"/>
        <v>8124</v>
      </c>
      <c r="G33">
        <f>D33*(E33-_xlfn.XLOOKUP(C33,products!A:A,products!E:E))</f>
        <v>2924.6400000000003</v>
      </c>
      <c r="H33" s="6" t="str">
        <f>_xlfn.XLOOKUP(C33,products!A:A,products!C:C)</f>
        <v>Home &amp; Kitchen</v>
      </c>
      <c r="I33" s="6" t="str">
        <f>_xlfn.XLOOKUP(C33,products!A:A,products!B:B)</f>
        <v>Bedsheet</v>
      </c>
      <c r="J33" s="6">
        <f>_xlfn.XLOOKUP(B33,orders!A:A,orders!C:C)</f>
        <v>45703</v>
      </c>
      <c r="K33" s="6" t="str">
        <f t="shared" si="0"/>
        <v>Feb-2025</v>
      </c>
      <c r="L33" s="6">
        <f>_xlfn.XLOOKUP(B33,orders!A:A,orders!B:B)</f>
        <v>56</v>
      </c>
      <c r="M33" s="6" t="str">
        <f>_xlfn.XLOOKUP("C"&amp;TEXT(L33,"000"),customers!A:A,customers!B:B,"Not Found")</f>
        <v>Lakshmi V.</v>
      </c>
    </row>
    <row r="34" spans="1:13">
      <c r="A34">
        <v>33</v>
      </c>
      <c r="B34">
        <v>117</v>
      </c>
      <c r="C34">
        <v>20</v>
      </c>
      <c r="D34" s="4">
        <v>2</v>
      </c>
      <c r="E34">
        <f>_xlfn.XLOOKUP(C34,products!A:A,products!D:D)</f>
        <v>3240</v>
      </c>
      <c r="F34">
        <f t="shared" si="1"/>
        <v>6480</v>
      </c>
      <c r="G34">
        <f>D34*(E34-_xlfn.XLOOKUP(C34,products!A:A,products!E:E))</f>
        <v>2916</v>
      </c>
      <c r="H34" s="6" t="str">
        <f>_xlfn.XLOOKUP(C34,products!A:A,products!C:C)</f>
        <v>Fashion</v>
      </c>
      <c r="I34" s="6" t="str">
        <f>_xlfn.XLOOKUP(C34,products!A:A,products!B:B)</f>
        <v>Belt</v>
      </c>
      <c r="J34" s="6">
        <f>_xlfn.XLOOKUP(B34,orders!A:A,orders!C:C)</f>
        <v>45706</v>
      </c>
      <c r="K34" s="6" t="str">
        <f t="shared" si="0"/>
        <v>Feb-2025</v>
      </c>
      <c r="L34" s="6">
        <f>_xlfn.XLOOKUP(B34,orders!A:A,orders!B:B)</f>
        <v>93</v>
      </c>
      <c r="M34" s="6" t="str">
        <f>_xlfn.XLOOKUP("C"&amp;TEXT(L34,"000"),customers!A:A,customers!B:B,"Not Found")</f>
        <v>Priya W.</v>
      </c>
    </row>
    <row r="35" spans="1:13">
      <c r="A35">
        <v>34</v>
      </c>
      <c r="B35">
        <v>117</v>
      </c>
      <c r="C35">
        <v>33</v>
      </c>
      <c r="D35" s="4">
        <v>3</v>
      </c>
      <c r="E35">
        <f>_xlfn.XLOOKUP(C35,products!A:A,products!D:D)</f>
        <v>5021</v>
      </c>
      <c r="F35">
        <f t="shared" si="1"/>
        <v>15063</v>
      </c>
      <c r="G35">
        <f>D35*(E35-_xlfn.XLOOKUP(C35,products!A:A,products!E:E))</f>
        <v>6100.5</v>
      </c>
      <c r="H35" s="6" t="str">
        <f>_xlfn.XLOOKUP(C35,products!A:A,products!C:C)</f>
        <v>Books</v>
      </c>
      <c r="I35" s="6" t="str">
        <f>_xlfn.XLOOKUP(C35,products!A:A,products!B:B)</f>
        <v>Pen Set</v>
      </c>
      <c r="J35" s="6">
        <f>_xlfn.XLOOKUP(B35,orders!A:A,orders!C:C)</f>
        <v>45706</v>
      </c>
      <c r="K35" s="6" t="str">
        <f t="shared" si="0"/>
        <v>Feb-2025</v>
      </c>
      <c r="L35" s="6">
        <f>_xlfn.XLOOKUP(B35,orders!A:A,orders!B:B)</f>
        <v>93</v>
      </c>
      <c r="M35" s="6" t="str">
        <f>_xlfn.XLOOKUP("C"&amp;TEXT(L35,"000"),customers!A:A,customers!B:B,"Not Found")</f>
        <v>Priya W.</v>
      </c>
    </row>
    <row r="36" spans="1:13">
      <c r="A36">
        <v>35</v>
      </c>
      <c r="B36">
        <v>118</v>
      </c>
      <c r="C36">
        <v>27</v>
      </c>
      <c r="D36" s="4">
        <v>3</v>
      </c>
      <c r="E36">
        <f>_xlfn.XLOOKUP(C36,products!A:A,products!D:D)</f>
        <v>4199</v>
      </c>
      <c r="F36">
        <f t="shared" si="1"/>
        <v>12597</v>
      </c>
      <c r="G36">
        <f>D36*(E36-_xlfn.XLOOKUP(C36,products!A:A,products!E:E))</f>
        <v>4345.9500000000007</v>
      </c>
      <c r="H36" s="6" t="str">
        <f>_xlfn.XLOOKUP(C36,products!A:A,products!C:C)</f>
        <v>Home &amp; Kitchen</v>
      </c>
      <c r="I36" s="6" t="str">
        <f>_xlfn.XLOOKUP(C36,products!A:A,products!B:B)</f>
        <v>Cookware Set</v>
      </c>
      <c r="J36" s="6">
        <f>_xlfn.XLOOKUP(B36,orders!A:A,orders!C:C)</f>
        <v>45709</v>
      </c>
      <c r="K36" s="6" t="str">
        <f t="shared" si="0"/>
        <v>Feb-2025</v>
      </c>
      <c r="L36" s="6">
        <f>_xlfn.XLOOKUP(B36,orders!A:A,orders!B:B)</f>
        <v>130</v>
      </c>
      <c r="M36" s="6" t="str">
        <f>_xlfn.XLOOKUP("C"&amp;TEXT(L36,"000"),customers!A:A,customers!B:B,"Not Found")</f>
        <v>Vikram C.</v>
      </c>
    </row>
    <row r="37" spans="1:13">
      <c r="A37">
        <v>36</v>
      </c>
      <c r="B37">
        <v>118</v>
      </c>
      <c r="C37">
        <v>40</v>
      </c>
      <c r="D37" s="4">
        <v>4</v>
      </c>
      <c r="E37">
        <f>_xlfn.XLOOKUP(C37,products!A:A,products!D:D)</f>
        <v>5980</v>
      </c>
      <c r="F37">
        <f t="shared" si="1"/>
        <v>23920</v>
      </c>
      <c r="G37">
        <f>D37*(E37-_xlfn.XLOOKUP(C37,products!A:A,products!E:E))</f>
        <v>10764</v>
      </c>
      <c r="H37" s="6" t="str">
        <f>_xlfn.XLOOKUP(C37,products!A:A,products!C:C)</f>
        <v>Sports</v>
      </c>
      <c r="I37" s="6" t="str">
        <f>_xlfn.XLOOKUP(C37,products!A:A,products!B:B)</f>
        <v>Dumbbells</v>
      </c>
      <c r="J37" s="6">
        <f>_xlfn.XLOOKUP(B37,orders!A:A,orders!C:C)</f>
        <v>45709</v>
      </c>
      <c r="K37" s="6" t="str">
        <f t="shared" si="0"/>
        <v>Feb-2025</v>
      </c>
      <c r="L37" s="6">
        <f>_xlfn.XLOOKUP(B37,orders!A:A,orders!B:B)</f>
        <v>130</v>
      </c>
      <c r="M37" s="6" t="str">
        <f>_xlfn.XLOOKUP("C"&amp;TEXT(L37,"000"),customers!A:A,customers!B:B,"Not Found")</f>
        <v>Vikram C.</v>
      </c>
    </row>
    <row r="38" spans="1:13">
      <c r="A38">
        <v>37</v>
      </c>
      <c r="B38">
        <v>119</v>
      </c>
      <c r="C38">
        <v>34</v>
      </c>
      <c r="D38" s="4">
        <v>4</v>
      </c>
      <c r="E38">
        <f>_xlfn.XLOOKUP(C38,products!A:A,products!D:D)</f>
        <v>5158</v>
      </c>
      <c r="F38">
        <f t="shared" si="1"/>
        <v>20632</v>
      </c>
      <c r="G38">
        <f>D38*(E38-_xlfn.XLOOKUP(C38,products!A:A,products!E:E))</f>
        <v>8046.48</v>
      </c>
      <c r="H38" s="6" t="str">
        <f>_xlfn.XLOOKUP(C38,products!A:A,products!C:C)</f>
        <v>Books</v>
      </c>
      <c r="I38" s="6" t="str">
        <f>_xlfn.XLOOKUP(C38,products!A:A,products!B:B)</f>
        <v>Cookbook</v>
      </c>
      <c r="J38" s="6">
        <f>_xlfn.XLOOKUP(B38,orders!A:A,orders!C:C)</f>
        <v>45712</v>
      </c>
      <c r="K38" s="6" t="str">
        <f t="shared" si="0"/>
        <v>Feb-2025</v>
      </c>
      <c r="L38" s="6">
        <f>_xlfn.XLOOKUP(B38,orders!A:A,orders!B:B)</f>
        <v>167</v>
      </c>
      <c r="M38" s="6" t="str">
        <f>_xlfn.XLOOKUP("C"&amp;TEXT(L38,"000"),customers!A:A,customers!B:B,"Not Found")</f>
        <v>Swathi C.</v>
      </c>
    </row>
    <row r="39" spans="1:13">
      <c r="A39">
        <v>38</v>
      </c>
      <c r="B39">
        <v>119</v>
      </c>
      <c r="C39">
        <v>47</v>
      </c>
      <c r="D39" s="4">
        <v>1</v>
      </c>
      <c r="E39">
        <f>_xlfn.XLOOKUP(C39,products!A:A,products!D:D)</f>
        <v>6939</v>
      </c>
      <c r="F39">
        <f t="shared" si="1"/>
        <v>6939</v>
      </c>
      <c r="G39">
        <f>D39*(E39-_xlfn.XLOOKUP(C39,products!A:A,products!E:E))</f>
        <v>2393.9499999999998</v>
      </c>
      <c r="H39" s="6" t="str">
        <f>_xlfn.XLOOKUP(C39,products!A:A,products!C:C)</f>
        <v>Toys</v>
      </c>
      <c r="I39" s="6" t="str">
        <f>_xlfn.XLOOKUP(C39,products!A:A,products!B:B)</f>
        <v>Puzzle</v>
      </c>
      <c r="J39" s="6">
        <f>_xlfn.XLOOKUP(B39,orders!A:A,orders!C:C)</f>
        <v>45712</v>
      </c>
      <c r="K39" s="6" t="str">
        <f t="shared" si="0"/>
        <v>Feb-2025</v>
      </c>
      <c r="L39" s="6">
        <f>_xlfn.XLOOKUP(B39,orders!A:A,orders!B:B)</f>
        <v>167</v>
      </c>
      <c r="M39" s="6" t="str">
        <f>_xlfn.XLOOKUP("C"&amp;TEXT(L39,"000"),customers!A:A,customers!B:B,"Not Found")</f>
        <v>Swathi C.</v>
      </c>
    </row>
    <row r="40" spans="1:13">
      <c r="A40">
        <v>39</v>
      </c>
      <c r="B40">
        <v>120</v>
      </c>
      <c r="C40">
        <v>41</v>
      </c>
      <c r="D40" s="4">
        <v>1</v>
      </c>
      <c r="E40">
        <f>_xlfn.XLOOKUP(C40,products!A:A,products!D:D)</f>
        <v>6117</v>
      </c>
      <c r="F40">
        <f t="shared" si="1"/>
        <v>6117</v>
      </c>
      <c r="G40">
        <f>D40*(E40-_xlfn.XLOOKUP(C40,products!A:A,products!E:E))</f>
        <v>2660.89</v>
      </c>
      <c r="H40" s="6" t="str">
        <f>_xlfn.XLOOKUP(C40,products!A:A,products!C:C)</f>
        <v>Beauty</v>
      </c>
      <c r="I40" s="6" t="str">
        <f>_xlfn.XLOOKUP(C40,products!A:A,products!B:B)</f>
        <v>Face Wash</v>
      </c>
      <c r="J40" s="6">
        <f>_xlfn.XLOOKUP(B40,orders!A:A,orders!C:C)</f>
        <v>45715</v>
      </c>
      <c r="K40" s="6" t="str">
        <f t="shared" si="0"/>
        <v>Feb-2025</v>
      </c>
      <c r="L40" s="6">
        <f>_xlfn.XLOOKUP(B40,orders!A:A,orders!B:B)</f>
        <v>204</v>
      </c>
      <c r="M40" s="6" t="str">
        <f>_xlfn.XLOOKUP("C"&amp;TEXT(L40,"000"),customers!A:A,customers!B:B,"Not Found")</f>
        <v>Vikram A.</v>
      </c>
    </row>
    <row r="41" spans="1:13">
      <c r="A41">
        <v>40</v>
      </c>
      <c r="B41">
        <v>120</v>
      </c>
      <c r="C41">
        <v>4</v>
      </c>
      <c r="D41" s="4">
        <v>2</v>
      </c>
      <c r="E41">
        <f>_xlfn.XLOOKUP(C41,products!A:A,products!D:D)</f>
        <v>1048</v>
      </c>
      <c r="F41">
        <f t="shared" si="1"/>
        <v>2096</v>
      </c>
      <c r="G41">
        <f>D41*(E41-_xlfn.XLOOKUP(C41,products!A:A,products!E:E))</f>
        <v>817.44</v>
      </c>
      <c r="H41" s="6" t="str">
        <f>_xlfn.XLOOKUP(C41,products!A:A,products!C:C)</f>
        <v>Electronics</v>
      </c>
      <c r="I41" s="6" t="str">
        <f>_xlfn.XLOOKUP(C41,products!A:A,products!B:B)</f>
        <v>Smart Watch</v>
      </c>
      <c r="J41" s="6">
        <f>_xlfn.XLOOKUP(B41,orders!A:A,orders!C:C)</f>
        <v>45715</v>
      </c>
      <c r="K41" s="6" t="str">
        <f t="shared" si="0"/>
        <v>Feb-2025</v>
      </c>
      <c r="L41" s="6">
        <f>_xlfn.XLOOKUP(B41,orders!A:A,orders!B:B)</f>
        <v>204</v>
      </c>
      <c r="M41" s="6" t="str">
        <f>_xlfn.XLOOKUP("C"&amp;TEXT(L41,"000"),customers!A:A,customers!B:B,"Not Found")</f>
        <v>Vikram A.</v>
      </c>
    </row>
    <row r="42" spans="1:13">
      <c r="A42">
        <v>41</v>
      </c>
      <c r="B42">
        <v>121</v>
      </c>
      <c r="C42">
        <v>48</v>
      </c>
      <c r="D42" s="4">
        <v>2</v>
      </c>
      <c r="E42">
        <f>_xlfn.XLOOKUP(C42,products!A:A,products!D:D)</f>
        <v>7076</v>
      </c>
      <c r="F42">
        <f t="shared" si="1"/>
        <v>14152</v>
      </c>
      <c r="G42">
        <f>D42*(E42-_xlfn.XLOOKUP(C42,products!A:A,products!E:E))</f>
        <v>4670.16</v>
      </c>
      <c r="H42" s="6" t="str">
        <f>_xlfn.XLOOKUP(C42,products!A:A,products!C:C)</f>
        <v>Toys</v>
      </c>
      <c r="I42" s="6" t="str">
        <f>_xlfn.XLOOKUP(C42,products!A:A,products!B:B)</f>
        <v>Board Game</v>
      </c>
      <c r="J42" s="6">
        <f>_xlfn.XLOOKUP(B42,orders!A:A,orders!C:C)</f>
        <v>45718</v>
      </c>
      <c r="K42" s="6" t="str">
        <f t="shared" si="0"/>
        <v>Mar-2025</v>
      </c>
      <c r="L42" s="6">
        <f>_xlfn.XLOOKUP(B42,orders!A:A,orders!B:B)</f>
        <v>241</v>
      </c>
      <c r="M42" s="6" t="str">
        <f>_xlfn.XLOOKUP("C"&amp;TEXT(L42,"000"),customers!A:A,customers!B:B,"Not Found")</f>
        <v>Lakshmi D.</v>
      </c>
    </row>
    <row r="43" spans="1:13">
      <c r="A43">
        <v>42</v>
      </c>
      <c r="B43">
        <v>121</v>
      </c>
      <c r="C43">
        <v>11</v>
      </c>
      <c r="D43" s="4">
        <v>3</v>
      </c>
      <c r="E43">
        <f>_xlfn.XLOOKUP(C43,products!A:A,products!D:D)</f>
        <v>2007</v>
      </c>
      <c r="F43">
        <f t="shared" si="1"/>
        <v>6021</v>
      </c>
      <c r="G43">
        <f>D43*(E43-_xlfn.XLOOKUP(C43,products!A:A,products!E:E))</f>
        <v>2619.12</v>
      </c>
      <c r="H43" s="6" t="str">
        <f>_xlfn.XLOOKUP(C43,products!A:A,products!C:C)</f>
        <v>Fashion</v>
      </c>
      <c r="I43" s="6" t="str">
        <f>_xlfn.XLOOKUP(C43,products!A:A,products!B:B)</f>
        <v>T-Shirt</v>
      </c>
      <c r="J43" s="6">
        <f>_xlfn.XLOOKUP(B43,orders!A:A,orders!C:C)</f>
        <v>45718</v>
      </c>
      <c r="K43" s="6" t="str">
        <f t="shared" si="0"/>
        <v>Mar-2025</v>
      </c>
      <c r="L43" s="6">
        <f>_xlfn.XLOOKUP(B43,orders!A:A,orders!B:B)</f>
        <v>241</v>
      </c>
      <c r="M43" s="6" t="str">
        <f>_xlfn.XLOOKUP("C"&amp;TEXT(L43,"000"),customers!A:A,customers!B:B,"Not Found")</f>
        <v>Lakshmi D.</v>
      </c>
    </row>
    <row r="44" spans="1:13">
      <c r="A44">
        <v>43</v>
      </c>
      <c r="B44">
        <v>122</v>
      </c>
      <c r="C44">
        <v>5</v>
      </c>
      <c r="D44" s="4">
        <v>3</v>
      </c>
      <c r="E44">
        <f>_xlfn.XLOOKUP(C44,products!A:A,products!D:D)</f>
        <v>1185</v>
      </c>
      <c r="F44">
        <f t="shared" si="1"/>
        <v>3555</v>
      </c>
      <c r="G44">
        <f>D44*(E44-_xlfn.XLOOKUP(C44,products!A:A,products!E:E))</f>
        <v>1333.1399999999999</v>
      </c>
      <c r="H44" s="6" t="str">
        <f>_xlfn.XLOOKUP(C44,products!A:A,products!C:C)</f>
        <v>Electronics</v>
      </c>
      <c r="I44" s="6" t="str">
        <f>_xlfn.XLOOKUP(C44,products!A:A,products!B:B)</f>
        <v>Keyboard</v>
      </c>
      <c r="J44" s="6">
        <f>_xlfn.XLOOKUP(B44,orders!A:A,orders!C:C)</f>
        <v>45721</v>
      </c>
      <c r="K44" s="6" t="str">
        <f t="shared" si="0"/>
        <v>Mar-2025</v>
      </c>
      <c r="L44" s="6">
        <f>_xlfn.XLOOKUP(B44,orders!A:A,orders!B:B)</f>
        <v>278</v>
      </c>
      <c r="M44" s="6" t="str">
        <f>_xlfn.XLOOKUP("C"&amp;TEXT(L44,"000"),customers!A:A,customers!B:B,"Not Found")</f>
        <v>Kavya L.</v>
      </c>
    </row>
    <row r="45" spans="1:13">
      <c r="A45">
        <v>44</v>
      </c>
      <c r="B45">
        <v>122</v>
      </c>
      <c r="C45">
        <v>18</v>
      </c>
      <c r="D45" s="4">
        <v>4</v>
      </c>
      <c r="E45">
        <f>_xlfn.XLOOKUP(C45,products!A:A,products!D:D)</f>
        <v>2966</v>
      </c>
      <c r="F45">
        <f t="shared" si="1"/>
        <v>11864</v>
      </c>
      <c r="G45">
        <f>D45*(E45-_xlfn.XLOOKUP(C45,products!A:A,products!E:E))</f>
        <v>3915.12</v>
      </c>
      <c r="H45" s="6" t="str">
        <f>_xlfn.XLOOKUP(C45,products!A:A,products!C:C)</f>
        <v>Fashion</v>
      </c>
      <c r="I45" s="6" t="str">
        <f>_xlfn.XLOOKUP(C45,products!A:A,products!B:B)</f>
        <v>Backpack</v>
      </c>
      <c r="J45" s="6">
        <f>_xlfn.XLOOKUP(B45,orders!A:A,orders!C:C)</f>
        <v>45721</v>
      </c>
      <c r="K45" s="6" t="str">
        <f t="shared" si="0"/>
        <v>Mar-2025</v>
      </c>
      <c r="L45" s="6">
        <f>_xlfn.XLOOKUP(B45,orders!A:A,orders!B:B)</f>
        <v>278</v>
      </c>
      <c r="M45" s="6" t="str">
        <f>_xlfn.XLOOKUP("C"&amp;TEXT(L45,"000"),customers!A:A,customers!B:B,"Not Found")</f>
        <v>Kavya L.</v>
      </c>
    </row>
    <row r="46" spans="1:13">
      <c r="A46">
        <v>45</v>
      </c>
      <c r="B46">
        <v>123</v>
      </c>
      <c r="C46">
        <v>12</v>
      </c>
      <c r="D46" s="4">
        <v>4</v>
      </c>
      <c r="E46">
        <f>_xlfn.XLOOKUP(C46,products!A:A,products!D:D)</f>
        <v>2144</v>
      </c>
      <c r="F46">
        <f t="shared" si="1"/>
        <v>8576</v>
      </c>
      <c r="G46">
        <f>D46*(E46-_xlfn.XLOOKUP(C46,products!A:A,products!E:E))</f>
        <v>3601.92</v>
      </c>
      <c r="H46" s="6" t="str">
        <f>_xlfn.XLOOKUP(C46,products!A:A,products!C:C)</f>
        <v>Fashion</v>
      </c>
      <c r="I46" s="6" t="str">
        <f>_xlfn.XLOOKUP(C46,products!A:A,products!B:B)</f>
        <v>Jeans</v>
      </c>
      <c r="J46" s="6">
        <f>_xlfn.XLOOKUP(B46,orders!A:A,orders!C:C)</f>
        <v>45724</v>
      </c>
      <c r="K46" s="6" t="str">
        <f t="shared" si="0"/>
        <v>Mar-2025</v>
      </c>
      <c r="L46" s="6">
        <f>_xlfn.XLOOKUP(B46,orders!A:A,orders!B:B)</f>
        <v>315</v>
      </c>
      <c r="M46" s="6" t="str">
        <f>_xlfn.XLOOKUP("C"&amp;TEXT(L46,"000"),customers!A:A,customers!B:B,"Not Found")</f>
        <v>Vikram S.</v>
      </c>
    </row>
    <row r="47" spans="1:13">
      <c r="A47">
        <v>46</v>
      </c>
      <c r="B47">
        <v>123</v>
      </c>
      <c r="C47">
        <v>25</v>
      </c>
      <c r="D47" s="4">
        <v>1</v>
      </c>
      <c r="E47">
        <f>_xlfn.XLOOKUP(C47,products!A:A,products!D:D)</f>
        <v>3925</v>
      </c>
      <c r="F47">
        <f t="shared" si="1"/>
        <v>3925</v>
      </c>
      <c r="G47">
        <f>D47*(E47-_xlfn.XLOOKUP(C47,products!A:A,products!E:E))</f>
        <v>1471.88</v>
      </c>
      <c r="H47" s="6" t="str">
        <f>_xlfn.XLOOKUP(C47,products!A:A,products!C:C)</f>
        <v>Home Appliances</v>
      </c>
      <c r="I47" s="6" t="str">
        <f>_xlfn.XLOOKUP(C47,products!A:A,products!B:B)</f>
        <v>Vacuum Cleaner</v>
      </c>
      <c r="J47" s="6">
        <f>_xlfn.XLOOKUP(B47,orders!A:A,orders!C:C)</f>
        <v>45724</v>
      </c>
      <c r="K47" s="6" t="str">
        <f t="shared" si="0"/>
        <v>Mar-2025</v>
      </c>
      <c r="L47" s="6">
        <f>_xlfn.XLOOKUP(B47,orders!A:A,orders!B:B)</f>
        <v>315</v>
      </c>
      <c r="M47" s="6" t="str">
        <f>_xlfn.XLOOKUP("C"&amp;TEXT(L47,"000"),customers!A:A,customers!B:B,"Not Found")</f>
        <v>Vikram S.</v>
      </c>
    </row>
    <row r="48" spans="1:13">
      <c r="A48">
        <v>47</v>
      </c>
      <c r="B48">
        <v>124</v>
      </c>
      <c r="C48">
        <v>19</v>
      </c>
      <c r="D48" s="4">
        <v>1</v>
      </c>
      <c r="E48">
        <f>_xlfn.XLOOKUP(C48,products!A:A,products!D:D)</f>
        <v>3103</v>
      </c>
      <c r="F48">
        <f t="shared" si="1"/>
        <v>3103</v>
      </c>
      <c r="G48">
        <f>D48*(E48-_xlfn.XLOOKUP(C48,products!A:A,products!E:E))</f>
        <v>977.44</v>
      </c>
      <c r="H48" s="6" t="str">
        <f>_xlfn.XLOOKUP(C48,products!A:A,products!C:C)</f>
        <v>Fashion</v>
      </c>
      <c r="I48" s="6" t="str">
        <f>_xlfn.XLOOKUP(C48,products!A:A,products!B:B)</f>
        <v>Wallet</v>
      </c>
      <c r="J48" s="6">
        <f>_xlfn.XLOOKUP(B48,orders!A:A,orders!C:C)</f>
        <v>45727</v>
      </c>
      <c r="K48" s="6" t="str">
        <f t="shared" si="0"/>
        <v>Mar-2025</v>
      </c>
      <c r="L48" s="6">
        <f>_xlfn.XLOOKUP(B48,orders!A:A,orders!B:B)</f>
        <v>352</v>
      </c>
      <c r="M48" s="6" t="str">
        <f>_xlfn.XLOOKUP("C"&amp;TEXT(L48,"000"),customers!A:A,customers!B:B,"Not Found")</f>
        <v>Anjali W.</v>
      </c>
    </row>
    <row r="49" spans="1:13">
      <c r="A49">
        <v>48</v>
      </c>
      <c r="B49">
        <v>124</v>
      </c>
      <c r="C49">
        <v>32</v>
      </c>
      <c r="D49" s="4">
        <v>2</v>
      </c>
      <c r="E49">
        <f>_xlfn.XLOOKUP(C49,products!A:A,products!D:D)</f>
        <v>4884</v>
      </c>
      <c r="F49">
        <f t="shared" si="1"/>
        <v>9768</v>
      </c>
      <c r="G49">
        <f>D49*(E49-_xlfn.XLOOKUP(C49,products!A:A,products!E:E))</f>
        <v>4102.5600000000004</v>
      </c>
      <c r="H49" s="6" t="str">
        <f>_xlfn.XLOOKUP(C49,products!A:A,products!C:C)</f>
        <v>Books</v>
      </c>
      <c r="I49" s="6" t="str">
        <f>_xlfn.XLOOKUP(C49,products!A:A,products!B:B)</f>
        <v>Notebook</v>
      </c>
      <c r="J49" s="6">
        <f>_xlfn.XLOOKUP(B49,orders!A:A,orders!C:C)</f>
        <v>45727</v>
      </c>
      <c r="K49" s="6" t="str">
        <f t="shared" si="0"/>
        <v>Mar-2025</v>
      </c>
      <c r="L49" s="6">
        <f>_xlfn.XLOOKUP(B49,orders!A:A,orders!B:B)</f>
        <v>352</v>
      </c>
      <c r="M49" s="6" t="str">
        <f>_xlfn.XLOOKUP("C"&amp;TEXT(L49,"000"),customers!A:A,customers!B:B,"Not Found")</f>
        <v>Anjali W.</v>
      </c>
    </row>
    <row r="50" spans="1:13">
      <c r="A50">
        <v>49</v>
      </c>
      <c r="B50">
        <v>125</v>
      </c>
      <c r="C50">
        <v>26</v>
      </c>
      <c r="D50" s="4">
        <v>2</v>
      </c>
      <c r="E50">
        <f>_xlfn.XLOOKUP(C50,products!A:A,products!D:D)</f>
        <v>4062</v>
      </c>
      <c r="F50">
        <f t="shared" si="1"/>
        <v>8124</v>
      </c>
      <c r="G50">
        <f>D50*(E50-_xlfn.XLOOKUP(C50,products!A:A,products!E:E))</f>
        <v>2924.6400000000003</v>
      </c>
      <c r="H50" s="6" t="str">
        <f>_xlfn.XLOOKUP(C50,products!A:A,products!C:C)</f>
        <v>Home &amp; Kitchen</v>
      </c>
      <c r="I50" s="6" t="str">
        <f>_xlfn.XLOOKUP(C50,products!A:A,products!B:B)</f>
        <v>Bedsheet</v>
      </c>
      <c r="J50" s="6">
        <f>_xlfn.XLOOKUP(B50,orders!A:A,orders!C:C)</f>
        <v>45730</v>
      </c>
      <c r="K50" s="6" t="str">
        <f t="shared" si="0"/>
        <v>Mar-2025</v>
      </c>
      <c r="L50" s="6">
        <f>_xlfn.XLOOKUP(B50,orders!A:A,orders!B:B)</f>
        <v>389</v>
      </c>
      <c r="M50" s="6" t="str">
        <f>_xlfn.XLOOKUP("C"&amp;TEXT(L50,"000"),customers!A:A,customers!B:B,"Not Found")</f>
        <v>Swathi Q.</v>
      </c>
    </row>
    <row r="51" spans="1:13">
      <c r="A51">
        <v>50</v>
      </c>
      <c r="B51">
        <v>125</v>
      </c>
      <c r="C51">
        <v>39</v>
      </c>
      <c r="D51" s="4">
        <v>3</v>
      </c>
      <c r="E51">
        <f>_xlfn.XLOOKUP(C51,products!A:A,products!D:D)</f>
        <v>5843</v>
      </c>
      <c r="F51">
        <f t="shared" si="1"/>
        <v>17529</v>
      </c>
      <c r="G51">
        <f>D51*(E51-_xlfn.XLOOKUP(C51,products!A:A,products!E:E))</f>
        <v>5521.62</v>
      </c>
      <c r="H51" s="6" t="str">
        <f>_xlfn.XLOOKUP(C51,products!A:A,products!C:C)</f>
        <v>Sports</v>
      </c>
      <c r="I51" s="6" t="str">
        <f>_xlfn.XLOOKUP(C51,products!A:A,products!B:B)</f>
        <v>Yoga Mat</v>
      </c>
      <c r="J51" s="6">
        <f>_xlfn.XLOOKUP(B51,orders!A:A,orders!C:C)</f>
        <v>45730</v>
      </c>
      <c r="K51" s="6" t="str">
        <f t="shared" si="0"/>
        <v>Mar-2025</v>
      </c>
      <c r="L51" s="6">
        <f>_xlfn.XLOOKUP(B51,orders!A:A,orders!B:B)</f>
        <v>389</v>
      </c>
      <c r="M51" s="6" t="str">
        <f>_xlfn.XLOOKUP("C"&amp;TEXT(L51,"000"),customers!A:A,customers!B:B,"Not Found")</f>
        <v>Swathi Q.</v>
      </c>
    </row>
    <row r="52" spans="1:13">
      <c r="A52">
        <v>51</v>
      </c>
      <c r="B52">
        <v>126</v>
      </c>
      <c r="C52">
        <v>33</v>
      </c>
      <c r="D52" s="4">
        <v>3</v>
      </c>
      <c r="E52">
        <f>_xlfn.XLOOKUP(C52,products!A:A,products!D:D)</f>
        <v>5021</v>
      </c>
      <c r="F52">
        <f t="shared" si="1"/>
        <v>15063</v>
      </c>
      <c r="G52">
        <f>D52*(E52-_xlfn.XLOOKUP(C52,products!A:A,products!E:E))</f>
        <v>6100.5</v>
      </c>
      <c r="H52" s="6" t="str">
        <f>_xlfn.XLOOKUP(C52,products!A:A,products!C:C)</f>
        <v>Books</v>
      </c>
      <c r="I52" s="6" t="str">
        <f>_xlfn.XLOOKUP(C52,products!A:A,products!B:B)</f>
        <v>Pen Set</v>
      </c>
      <c r="J52" s="6">
        <f>_xlfn.XLOOKUP(B52,orders!A:A,orders!C:C)</f>
        <v>45733</v>
      </c>
      <c r="K52" s="6" t="str">
        <f t="shared" si="0"/>
        <v>Mar-2025</v>
      </c>
      <c r="L52" s="6">
        <f>_xlfn.XLOOKUP(B52,orders!A:A,orders!B:B)</f>
        <v>426</v>
      </c>
      <c r="M52" s="6" t="str">
        <f>_xlfn.XLOOKUP("C"&amp;TEXT(L52,"000"),customers!A:A,customers!B:B,"Not Found")</f>
        <v>Lakshmi A.</v>
      </c>
    </row>
    <row r="53" spans="1:13">
      <c r="A53">
        <v>52</v>
      </c>
      <c r="B53">
        <v>126</v>
      </c>
      <c r="C53">
        <v>46</v>
      </c>
      <c r="D53" s="4">
        <v>4</v>
      </c>
      <c r="E53">
        <f>_xlfn.XLOOKUP(C53,products!A:A,products!D:D)</f>
        <v>6802</v>
      </c>
      <c r="F53">
        <f t="shared" si="1"/>
        <v>27208</v>
      </c>
      <c r="G53">
        <f>D53*(E53-_xlfn.XLOOKUP(C53,products!A:A,products!E:E))</f>
        <v>9794.880000000001</v>
      </c>
      <c r="H53" s="6" t="str">
        <f>_xlfn.XLOOKUP(C53,products!A:A,products!C:C)</f>
        <v>Toys</v>
      </c>
      <c r="I53" s="6" t="str">
        <f>_xlfn.XLOOKUP(C53,products!A:A,products!B:B)</f>
        <v>Toys Car</v>
      </c>
      <c r="J53" s="6">
        <f>_xlfn.XLOOKUP(B53,orders!A:A,orders!C:C)</f>
        <v>45733</v>
      </c>
      <c r="K53" s="6" t="str">
        <f t="shared" si="0"/>
        <v>Mar-2025</v>
      </c>
      <c r="L53" s="6">
        <f>_xlfn.XLOOKUP(B53,orders!A:A,orders!B:B)</f>
        <v>426</v>
      </c>
      <c r="M53" s="6" t="str">
        <f>_xlfn.XLOOKUP("C"&amp;TEXT(L53,"000"),customers!A:A,customers!B:B,"Not Found")</f>
        <v>Lakshmi A.</v>
      </c>
    </row>
    <row r="54" spans="1:13">
      <c r="A54">
        <v>53</v>
      </c>
      <c r="B54">
        <v>127</v>
      </c>
      <c r="C54">
        <v>40</v>
      </c>
      <c r="D54" s="4">
        <v>4</v>
      </c>
      <c r="E54">
        <f>_xlfn.XLOOKUP(C54,products!A:A,products!D:D)</f>
        <v>5980</v>
      </c>
      <c r="F54">
        <f t="shared" si="1"/>
        <v>23920</v>
      </c>
      <c r="G54">
        <f>D54*(E54-_xlfn.XLOOKUP(C54,products!A:A,products!E:E))</f>
        <v>10764</v>
      </c>
      <c r="H54" s="6" t="str">
        <f>_xlfn.XLOOKUP(C54,products!A:A,products!C:C)</f>
        <v>Sports</v>
      </c>
      <c r="I54" s="6" t="str">
        <f>_xlfn.XLOOKUP(C54,products!A:A,products!B:B)</f>
        <v>Dumbbells</v>
      </c>
      <c r="J54" s="6">
        <f>_xlfn.XLOOKUP(B54,orders!A:A,orders!C:C)</f>
        <v>45736</v>
      </c>
      <c r="K54" s="6" t="str">
        <f t="shared" si="0"/>
        <v>Mar-2025</v>
      </c>
      <c r="L54" s="6">
        <f>_xlfn.XLOOKUP(B54,orders!A:A,orders!B:B)</f>
        <v>463</v>
      </c>
      <c r="M54" s="6" t="str">
        <f>_xlfn.XLOOKUP("C"&amp;TEXT(L54,"000"),customers!A:A,customers!B:B,"Not Found")</f>
        <v>Ravi Y.</v>
      </c>
    </row>
    <row r="55" spans="1:13">
      <c r="A55">
        <v>54</v>
      </c>
      <c r="B55">
        <v>127</v>
      </c>
      <c r="C55">
        <v>3</v>
      </c>
      <c r="D55" s="4">
        <v>1</v>
      </c>
      <c r="E55">
        <f>_xlfn.XLOOKUP(C55,products!A:A,products!D:D)</f>
        <v>911</v>
      </c>
      <c r="F55">
        <f t="shared" si="1"/>
        <v>911</v>
      </c>
      <c r="G55">
        <f>D55*(E55-_xlfn.XLOOKUP(C55,products!A:A,products!E:E))</f>
        <v>368.95000000000005</v>
      </c>
      <c r="H55" s="6" t="str">
        <f>_xlfn.XLOOKUP(C55,products!A:A,products!C:C)</f>
        <v>Electronics</v>
      </c>
      <c r="I55" s="6" t="str">
        <f>_xlfn.XLOOKUP(C55,products!A:A,products!B:B)</f>
        <v>Headphones</v>
      </c>
      <c r="J55" s="6">
        <f>_xlfn.XLOOKUP(B55,orders!A:A,orders!C:C)</f>
        <v>45736</v>
      </c>
      <c r="K55" s="6" t="str">
        <f t="shared" si="0"/>
        <v>Mar-2025</v>
      </c>
      <c r="L55" s="6">
        <f>_xlfn.XLOOKUP(B55,orders!A:A,orders!B:B)</f>
        <v>463</v>
      </c>
      <c r="M55" s="6" t="str">
        <f>_xlfn.XLOOKUP("C"&amp;TEXT(L55,"000"),customers!A:A,customers!B:B,"Not Found")</f>
        <v>Ravi Y.</v>
      </c>
    </row>
    <row r="56" spans="1:13">
      <c r="A56">
        <v>55</v>
      </c>
      <c r="B56">
        <v>128</v>
      </c>
      <c r="C56">
        <v>47</v>
      </c>
      <c r="D56" s="4">
        <v>1</v>
      </c>
      <c r="E56">
        <f>_xlfn.XLOOKUP(C56,products!A:A,products!D:D)</f>
        <v>6939</v>
      </c>
      <c r="F56">
        <f t="shared" si="1"/>
        <v>6939</v>
      </c>
      <c r="G56">
        <f>D56*(E56-_xlfn.XLOOKUP(C56,products!A:A,products!E:E))</f>
        <v>2393.9499999999998</v>
      </c>
      <c r="H56" s="6" t="str">
        <f>_xlfn.XLOOKUP(C56,products!A:A,products!C:C)</f>
        <v>Toys</v>
      </c>
      <c r="I56" s="6" t="str">
        <f>_xlfn.XLOOKUP(C56,products!A:A,products!B:B)</f>
        <v>Puzzle</v>
      </c>
      <c r="J56" s="6">
        <f>_xlfn.XLOOKUP(B56,orders!A:A,orders!C:C)</f>
        <v>45739</v>
      </c>
      <c r="K56" s="6" t="str">
        <f t="shared" si="0"/>
        <v>Mar-2025</v>
      </c>
      <c r="L56" s="6">
        <f>_xlfn.XLOOKUP(B56,orders!A:A,orders!B:B)</f>
        <v>500</v>
      </c>
      <c r="M56" s="6" t="str">
        <f>_xlfn.XLOOKUP("C"&amp;TEXT(L56,"000"),customers!A:A,customers!B:B,"Not Found")</f>
        <v>Arjun I.</v>
      </c>
    </row>
    <row r="57" spans="1:13">
      <c r="A57">
        <v>56</v>
      </c>
      <c r="B57">
        <v>128</v>
      </c>
      <c r="C57">
        <v>10</v>
      </c>
      <c r="D57" s="4">
        <v>2</v>
      </c>
      <c r="E57">
        <f>_xlfn.XLOOKUP(C57,products!A:A,products!D:D)</f>
        <v>1870</v>
      </c>
      <c r="F57">
        <f t="shared" si="1"/>
        <v>3740</v>
      </c>
      <c r="G57">
        <f>D57*(E57-_xlfn.XLOOKUP(C57,products!A:A,products!E:E))</f>
        <v>1683</v>
      </c>
      <c r="H57" s="6" t="str">
        <f>_xlfn.XLOOKUP(C57,products!A:A,products!C:C)</f>
        <v>Electronics</v>
      </c>
      <c r="I57" s="6" t="str">
        <f>_xlfn.XLOOKUP(C57,products!A:A,products!B:B)</f>
        <v>Earbuds</v>
      </c>
      <c r="J57" s="6">
        <f>_xlfn.XLOOKUP(B57,orders!A:A,orders!C:C)</f>
        <v>45739</v>
      </c>
      <c r="K57" s="6" t="str">
        <f t="shared" si="0"/>
        <v>Mar-2025</v>
      </c>
      <c r="L57" s="6">
        <f>_xlfn.XLOOKUP(B57,orders!A:A,orders!B:B)</f>
        <v>500</v>
      </c>
      <c r="M57" s="6" t="str">
        <f>_xlfn.XLOOKUP("C"&amp;TEXT(L57,"000"),customers!A:A,customers!B:B,"Not Found")</f>
        <v>Arjun I.</v>
      </c>
    </row>
    <row r="58" spans="1:13">
      <c r="A58">
        <v>57</v>
      </c>
      <c r="B58">
        <v>129</v>
      </c>
      <c r="C58">
        <v>4</v>
      </c>
      <c r="D58" s="4">
        <v>2</v>
      </c>
      <c r="E58">
        <f>_xlfn.XLOOKUP(C58,products!A:A,products!D:D)</f>
        <v>1048</v>
      </c>
      <c r="F58">
        <f t="shared" si="1"/>
        <v>2096</v>
      </c>
      <c r="G58">
        <f>D58*(E58-_xlfn.XLOOKUP(C58,products!A:A,products!E:E))</f>
        <v>817.44</v>
      </c>
      <c r="H58" s="6" t="str">
        <f>_xlfn.XLOOKUP(C58,products!A:A,products!C:C)</f>
        <v>Electronics</v>
      </c>
      <c r="I58" s="6" t="str">
        <f>_xlfn.XLOOKUP(C58,products!A:A,products!B:B)</f>
        <v>Smart Watch</v>
      </c>
      <c r="J58" s="6">
        <f>_xlfn.XLOOKUP(B58,orders!A:A,orders!C:C)</f>
        <v>45742</v>
      </c>
      <c r="K58" s="6" t="str">
        <f t="shared" si="0"/>
        <v>Mar-2025</v>
      </c>
      <c r="L58" s="6">
        <f>_xlfn.XLOOKUP(B58,orders!A:A,orders!B:B)</f>
        <v>37</v>
      </c>
      <c r="M58" s="6" t="str">
        <f>_xlfn.XLOOKUP("C"&amp;TEXT(L58,"000"),customers!A:A,customers!B:B,"Not Found")</f>
        <v>Lakshmi Y.</v>
      </c>
    </row>
    <row r="59" spans="1:13">
      <c r="A59">
        <v>58</v>
      </c>
      <c r="B59">
        <v>129</v>
      </c>
      <c r="C59">
        <v>17</v>
      </c>
      <c r="D59" s="4">
        <v>3</v>
      </c>
      <c r="E59">
        <f>_xlfn.XLOOKUP(C59,products!A:A,products!D:D)</f>
        <v>2829</v>
      </c>
      <c r="F59">
        <f t="shared" si="1"/>
        <v>8487</v>
      </c>
      <c r="G59">
        <f>D59*(E59-_xlfn.XLOOKUP(C59,products!A:A,products!E:E))</f>
        <v>2928</v>
      </c>
      <c r="H59" s="6" t="str">
        <f>_xlfn.XLOOKUP(C59,products!A:A,products!C:C)</f>
        <v>Fashion</v>
      </c>
      <c r="I59" s="6" t="str">
        <f>_xlfn.XLOOKUP(C59,products!A:A,products!B:B)</f>
        <v>Dress</v>
      </c>
      <c r="J59" s="6">
        <f>_xlfn.XLOOKUP(B59,orders!A:A,orders!C:C)</f>
        <v>45742</v>
      </c>
      <c r="K59" s="6" t="str">
        <f t="shared" si="0"/>
        <v>Mar-2025</v>
      </c>
      <c r="L59" s="6">
        <f>_xlfn.XLOOKUP(B59,orders!A:A,orders!B:B)</f>
        <v>37</v>
      </c>
      <c r="M59" s="6" t="str">
        <f>_xlfn.XLOOKUP("C"&amp;TEXT(L59,"000"),customers!A:A,customers!B:B,"Not Found")</f>
        <v>Lakshmi Y.</v>
      </c>
    </row>
    <row r="60" spans="1:13">
      <c r="A60">
        <v>59</v>
      </c>
      <c r="B60">
        <v>130</v>
      </c>
      <c r="C60">
        <v>11</v>
      </c>
      <c r="D60" s="4">
        <v>3</v>
      </c>
      <c r="E60">
        <f>_xlfn.XLOOKUP(C60,products!A:A,products!D:D)</f>
        <v>2007</v>
      </c>
      <c r="F60">
        <f t="shared" si="1"/>
        <v>6021</v>
      </c>
      <c r="G60">
        <f>D60*(E60-_xlfn.XLOOKUP(C60,products!A:A,products!E:E))</f>
        <v>2619.12</v>
      </c>
      <c r="H60" s="6" t="str">
        <f>_xlfn.XLOOKUP(C60,products!A:A,products!C:C)</f>
        <v>Fashion</v>
      </c>
      <c r="I60" s="6" t="str">
        <f>_xlfn.XLOOKUP(C60,products!A:A,products!B:B)</f>
        <v>T-Shirt</v>
      </c>
      <c r="J60" s="6">
        <f>_xlfn.XLOOKUP(B60,orders!A:A,orders!C:C)</f>
        <v>45745</v>
      </c>
      <c r="K60" s="6" t="str">
        <f t="shared" si="0"/>
        <v>Mar-2025</v>
      </c>
      <c r="L60" s="6">
        <f>_xlfn.XLOOKUP(B60,orders!A:A,orders!B:B)</f>
        <v>74</v>
      </c>
      <c r="M60" s="6" t="str">
        <f>_xlfn.XLOOKUP("C"&amp;TEXT(L60,"000"),customers!A:A,customers!B:B,"Not Found")</f>
        <v>Kiran U.</v>
      </c>
    </row>
    <row r="61" spans="1:13">
      <c r="A61">
        <v>60</v>
      </c>
      <c r="B61">
        <v>130</v>
      </c>
      <c r="C61">
        <v>24</v>
      </c>
      <c r="D61" s="4">
        <v>4</v>
      </c>
      <c r="E61">
        <f>_xlfn.XLOOKUP(C61,products!A:A,products!D:D)</f>
        <v>3788</v>
      </c>
      <c r="F61">
        <f t="shared" si="1"/>
        <v>15152</v>
      </c>
      <c r="G61">
        <f>D61*(E61-_xlfn.XLOOKUP(C61,products!A:A,products!E:E))</f>
        <v>5909.2800000000007</v>
      </c>
      <c r="H61" s="6" t="str">
        <f>_xlfn.XLOOKUP(C61,products!A:A,products!C:C)</f>
        <v>Home Appliances</v>
      </c>
      <c r="I61" s="6" t="str">
        <f>_xlfn.XLOOKUP(C61,products!A:A,products!B:B)</f>
        <v>Iron</v>
      </c>
      <c r="J61" s="6">
        <f>_xlfn.XLOOKUP(B61,orders!A:A,orders!C:C)</f>
        <v>45745</v>
      </c>
      <c r="K61" s="6" t="str">
        <f t="shared" si="0"/>
        <v>Mar-2025</v>
      </c>
      <c r="L61" s="6">
        <f>_xlfn.XLOOKUP(B61,orders!A:A,orders!B:B)</f>
        <v>74</v>
      </c>
      <c r="M61" s="6" t="str">
        <f>_xlfn.XLOOKUP("C"&amp;TEXT(L61,"000"),customers!A:A,customers!B:B,"Not Found")</f>
        <v>Kiran U.</v>
      </c>
    </row>
    <row r="62" spans="1:13">
      <c r="A62">
        <v>61</v>
      </c>
      <c r="B62">
        <v>131</v>
      </c>
      <c r="C62">
        <v>18</v>
      </c>
      <c r="D62" s="4">
        <v>4</v>
      </c>
      <c r="E62">
        <f>_xlfn.XLOOKUP(C62,products!A:A,products!D:D)</f>
        <v>2966</v>
      </c>
      <c r="F62">
        <f t="shared" si="1"/>
        <v>11864</v>
      </c>
      <c r="G62">
        <f>D62*(E62-_xlfn.XLOOKUP(C62,products!A:A,products!E:E))</f>
        <v>3915.12</v>
      </c>
      <c r="H62" s="6" t="str">
        <f>_xlfn.XLOOKUP(C62,products!A:A,products!C:C)</f>
        <v>Fashion</v>
      </c>
      <c r="I62" s="6" t="str">
        <f>_xlfn.XLOOKUP(C62,products!A:A,products!B:B)</f>
        <v>Backpack</v>
      </c>
      <c r="J62" s="6">
        <f>_xlfn.XLOOKUP(B62,orders!A:A,orders!C:C)</f>
        <v>45748</v>
      </c>
      <c r="K62" s="6" t="str">
        <f t="shared" si="0"/>
        <v>Apr-2025</v>
      </c>
      <c r="L62" s="6">
        <f>_xlfn.XLOOKUP(B62,orders!A:A,orders!B:B)</f>
        <v>111</v>
      </c>
      <c r="M62" s="6" t="str">
        <f>_xlfn.XLOOKUP("C"&amp;TEXT(L62,"000"),customers!A:A,customers!B:B,"Not Found")</f>
        <v>Rohit V.</v>
      </c>
    </row>
    <row r="63" spans="1:13">
      <c r="A63">
        <v>62</v>
      </c>
      <c r="B63">
        <v>131</v>
      </c>
      <c r="C63">
        <v>31</v>
      </c>
      <c r="D63" s="4">
        <v>1</v>
      </c>
      <c r="E63">
        <f>_xlfn.XLOOKUP(C63,products!A:A,products!D:D)</f>
        <v>4747</v>
      </c>
      <c r="F63">
        <f t="shared" si="1"/>
        <v>4747</v>
      </c>
      <c r="G63">
        <f>D63*(E63-_xlfn.XLOOKUP(C63,products!A:A,products!E:E))</f>
        <v>2064.94</v>
      </c>
      <c r="H63" s="6" t="str">
        <f>_xlfn.XLOOKUP(C63,products!A:A,products!C:C)</f>
        <v>Books</v>
      </c>
      <c r="I63" s="6" t="str">
        <f>_xlfn.XLOOKUP(C63,products!A:A,products!B:B)</f>
        <v>Book</v>
      </c>
      <c r="J63" s="6">
        <f>_xlfn.XLOOKUP(B63,orders!A:A,orders!C:C)</f>
        <v>45748</v>
      </c>
      <c r="K63" s="6" t="str">
        <f t="shared" si="0"/>
        <v>Apr-2025</v>
      </c>
      <c r="L63" s="6">
        <f>_xlfn.XLOOKUP(B63,orders!A:A,orders!B:B)</f>
        <v>111</v>
      </c>
      <c r="M63" s="6" t="str">
        <f>_xlfn.XLOOKUP("C"&amp;TEXT(L63,"000"),customers!A:A,customers!B:B,"Not Found")</f>
        <v>Rohit V.</v>
      </c>
    </row>
    <row r="64" spans="1:13">
      <c r="A64">
        <v>63</v>
      </c>
      <c r="B64">
        <v>132</v>
      </c>
      <c r="C64">
        <v>25</v>
      </c>
      <c r="D64" s="4">
        <v>1</v>
      </c>
      <c r="E64">
        <f>_xlfn.XLOOKUP(C64,products!A:A,products!D:D)</f>
        <v>3925</v>
      </c>
      <c r="F64">
        <f t="shared" si="1"/>
        <v>3925</v>
      </c>
      <c r="G64">
        <f>D64*(E64-_xlfn.XLOOKUP(C64,products!A:A,products!E:E))</f>
        <v>1471.88</v>
      </c>
      <c r="H64" s="6" t="str">
        <f>_xlfn.XLOOKUP(C64,products!A:A,products!C:C)</f>
        <v>Home Appliances</v>
      </c>
      <c r="I64" s="6" t="str">
        <f>_xlfn.XLOOKUP(C64,products!A:A,products!B:B)</f>
        <v>Vacuum Cleaner</v>
      </c>
      <c r="J64" s="6">
        <f>_xlfn.XLOOKUP(B64,orders!A:A,orders!C:C)</f>
        <v>45751</v>
      </c>
      <c r="K64" s="6" t="str">
        <f t="shared" si="0"/>
        <v>Apr-2025</v>
      </c>
      <c r="L64" s="6">
        <f>_xlfn.XLOOKUP(B64,orders!A:A,orders!B:B)</f>
        <v>148</v>
      </c>
      <c r="M64" s="6" t="str">
        <f>_xlfn.XLOOKUP("C"&amp;TEXT(L64,"000"),customers!A:A,customers!B:B,"Not Found")</f>
        <v>Rahul P.</v>
      </c>
    </row>
    <row r="65" spans="1:13">
      <c r="A65">
        <v>64</v>
      </c>
      <c r="B65">
        <v>132</v>
      </c>
      <c r="C65">
        <v>38</v>
      </c>
      <c r="D65" s="4">
        <v>2</v>
      </c>
      <c r="E65">
        <f>_xlfn.XLOOKUP(C65,products!A:A,products!D:D)</f>
        <v>5706</v>
      </c>
      <c r="F65">
        <f t="shared" si="1"/>
        <v>11412</v>
      </c>
      <c r="G65">
        <f>D65*(E65-_xlfn.XLOOKUP(C65,products!A:A,products!E:E))</f>
        <v>3765.96</v>
      </c>
      <c r="H65" s="6" t="str">
        <f>_xlfn.XLOOKUP(C65,products!A:A,products!C:C)</f>
        <v>Sports</v>
      </c>
      <c r="I65" s="6" t="str">
        <f>_xlfn.XLOOKUP(C65,products!A:A,products!B:B)</f>
        <v>Badminton Racket</v>
      </c>
      <c r="J65" s="6">
        <f>_xlfn.XLOOKUP(B65,orders!A:A,orders!C:C)</f>
        <v>45751</v>
      </c>
      <c r="K65" s="6" t="str">
        <f t="shared" si="0"/>
        <v>Apr-2025</v>
      </c>
      <c r="L65" s="6">
        <f>_xlfn.XLOOKUP(B65,orders!A:A,orders!B:B)</f>
        <v>148</v>
      </c>
      <c r="M65" s="6" t="str">
        <f>_xlfn.XLOOKUP("C"&amp;TEXT(L65,"000"),customers!A:A,customers!B:B,"Not Found")</f>
        <v>Rahul P.</v>
      </c>
    </row>
    <row r="66" spans="1:13">
      <c r="A66">
        <v>65</v>
      </c>
      <c r="B66">
        <v>133</v>
      </c>
      <c r="C66">
        <v>32</v>
      </c>
      <c r="D66" s="4">
        <v>2</v>
      </c>
      <c r="E66">
        <f>_xlfn.XLOOKUP(C66,products!A:A,products!D:D)</f>
        <v>4884</v>
      </c>
      <c r="F66">
        <f t="shared" ref="F66:F129" si="2">D66*E66</f>
        <v>9768</v>
      </c>
      <c r="G66">
        <f>D66*(E66-_xlfn.XLOOKUP(C66,products!A:A,products!E:E))</f>
        <v>4102.5600000000004</v>
      </c>
      <c r="H66" s="6" t="str">
        <f>_xlfn.XLOOKUP(C66,products!A:A,products!C:C)</f>
        <v>Books</v>
      </c>
      <c r="I66" s="6" t="str">
        <f>_xlfn.XLOOKUP(C66,products!A:A,products!B:B)</f>
        <v>Notebook</v>
      </c>
      <c r="J66" s="6">
        <f>_xlfn.XLOOKUP(B66,orders!A:A,orders!C:C)</f>
        <v>45754</v>
      </c>
      <c r="K66" s="6" t="str">
        <f t="shared" ref="K66:K129" si="3">TEXT(J66,"mmm-yyyy")</f>
        <v>Apr-2025</v>
      </c>
      <c r="L66" s="6">
        <f>_xlfn.XLOOKUP(B66,orders!A:A,orders!B:B)</f>
        <v>185</v>
      </c>
      <c r="M66" s="6" t="str">
        <f>_xlfn.XLOOKUP("C"&amp;TEXT(L66,"000"),customers!A:A,customers!B:B,"Not Found")</f>
        <v>Vikram A.</v>
      </c>
    </row>
    <row r="67" spans="1:13">
      <c r="A67">
        <v>66</v>
      </c>
      <c r="B67">
        <v>133</v>
      </c>
      <c r="C67">
        <v>45</v>
      </c>
      <c r="D67" s="4">
        <v>3</v>
      </c>
      <c r="E67">
        <f>_xlfn.XLOOKUP(C67,products!A:A,products!D:D)</f>
        <v>6665</v>
      </c>
      <c r="F67">
        <f t="shared" si="2"/>
        <v>19995</v>
      </c>
      <c r="G67">
        <f>D67*(E67-_xlfn.XLOOKUP(C67,products!A:A,products!E:E))</f>
        <v>7498.14</v>
      </c>
      <c r="H67" s="6" t="str">
        <f>_xlfn.XLOOKUP(C67,products!A:A,products!C:C)</f>
        <v>Beauty</v>
      </c>
      <c r="I67" s="6" t="str">
        <f>_xlfn.XLOOKUP(C67,products!A:A,products!B:B)</f>
        <v>Sunscreen</v>
      </c>
      <c r="J67" s="6">
        <f>_xlfn.XLOOKUP(B67,orders!A:A,orders!C:C)</f>
        <v>45754</v>
      </c>
      <c r="K67" s="6" t="str">
        <f t="shared" si="3"/>
        <v>Apr-2025</v>
      </c>
      <c r="L67" s="6">
        <f>_xlfn.XLOOKUP(B67,orders!A:A,orders!B:B)</f>
        <v>185</v>
      </c>
      <c r="M67" s="6" t="str">
        <f>_xlfn.XLOOKUP("C"&amp;TEXT(L67,"000"),customers!A:A,customers!B:B,"Not Found")</f>
        <v>Vikram A.</v>
      </c>
    </row>
    <row r="68" spans="1:13">
      <c r="A68">
        <v>67</v>
      </c>
      <c r="B68">
        <v>134</v>
      </c>
      <c r="C68">
        <v>39</v>
      </c>
      <c r="D68" s="4">
        <v>3</v>
      </c>
      <c r="E68">
        <f>_xlfn.XLOOKUP(C68,products!A:A,products!D:D)</f>
        <v>5843</v>
      </c>
      <c r="F68">
        <f t="shared" si="2"/>
        <v>17529</v>
      </c>
      <c r="G68">
        <f>D68*(E68-_xlfn.XLOOKUP(C68,products!A:A,products!E:E))</f>
        <v>5521.62</v>
      </c>
      <c r="H68" s="6" t="str">
        <f>_xlfn.XLOOKUP(C68,products!A:A,products!C:C)</f>
        <v>Sports</v>
      </c>
      <c r="I68" s="6" t="str">
        <f>_xlfn.XLOOKUP(C68,products!A:A,products!B:B)</f>
        <v>Yoga Mat</v>
      </c>
      <c r="J68" s="6">
        <f>_xlfn.XLOOKUP(B68,orders!A:A,orders!C:C)</f>
        <v>45757</v>
      </c>
      <c r="K68" s="6" t="str">
        <f t="shared" si="3"/>
        <v>Apr-2025</v>
      </c>
      <c r="L68" s="6">
        <f>_xlfn.XLOOKUP(B68,orders!A:A,orders!B:B)</f>
        <v>222</v>
      </c>
      <c r="M68" s="6" t="str">
        <f>_xlfn.XLOOKUP("C"&amp;TEXT(L68,"000"),customers!A:A,customers!B:B,"Not Found")</f>
        <v>Kiran T.</v>
      </c>
    </row>
    <row r="69" spans="1:13">
      <c r="A69">
        <v>68</v>
      </c>
      <c r="B69">
        <v>134</v>
      </c>
      <c r="C69">
        <v>2</v>
      </c>
      <c r="D69" s="4">
        <v>4</v>
      </c>
      <c r="E69">
        <f>_xlfn.XLOOKUP(C69,products!A:A,products!D:D)</f>
        <v>774</v>
      </c>
      <c r="F69">
        <f t="shared" si="2"/>
        <v>3096</v>
      </c>
      <c r="G69">
        <f>D69*(E69-_xlfn.XLOOKUP(C69,products!A:A,products!E:E))</f>
        <v>1300.32</v>
      </c>
      <c r="H69" s="6" t="str">
        <f>_xlfn.XLOOKUP(C69,products!A:A,products!C:C)</f>
        <v>Electronics</v>
      </c>
      <c r="I69" s="6" t="str">
        <f>_xlfn.XLOOKUP(C69,products!A:A,products!B:B)</f>
        <v>Mobile</v>
      </c>
      <c r="J69" s="6">
        <f>_xlfn.XLOOKUP(B69,orders!A:A,orders!C:C)</f>
        <v>45757</v>
      </c>
      <c r="K69" s="6" t="str">
        <f t="shared" si="3"/>
        <v>Apr-2025</v>
      </c>
      <c r="L69" s="6">
        <f>_xlfn.XLOOKUP(B69,orders!A:A,orders!B:B)</f>
        <v>222</v>
      </c>
      <c r="M69" s="6" t="str">
        <f>_xlfn.XLOOKUP("C"&amp;TEXT(L69,"000"),customers!A:A,customers!B:B,"Not Found")</f>
        <v>Kiran T.</v>
      </c>
    </row>
    <row r="70" spans="1:13">
      <c r="A70">
        <v>69</v>
      </c>
      <c r="B70">
        <v>135</v>
      </c>
      <c r="C70">
        <v>46</v>
      </c>
      <c r="D70" s="4">
        <v>4</v>
      </c>
      <c r="E70">
        <f>_xlfn.XLOOKUP(C70,products!A:A,products!D:D)</f>
        <v>6802</v>
      </c>
      <c r="F70">
        <f t="shared" si="2"/>
        <v>27208</v>
      </c>
      <c r="G70">
        <f>D70*(E70-_xlfn.XLOOKUP(C70,products!A:A,products!E:E))</f>
        <v>9794.880000000001</v>
      </c>
      <c r="H70" s="6" t="str">
        <f>_xlfn.XLOOKUP(C70,products!A:A,products!C:C)</f>
        <v>Toys</v>
      </c>
      <c r="I70" s="6" t="str">
        <f>_xlfn.XLOOKUP(C70,products!A:A,products!B:B)</f>
        <v>Toys Car</v>
      </c>
      <c r="J70" s="6">
        <f>_xlfn.XLOOKUP(B70,orders!A:A,orders!C:C)</f>
        <v>45760</v>
      </c>
      <c r="K70" s="6" t="str">
        <f t="shared" si="3"/>
        <v>Apr-2025</v>
      </c>
      <c r="L70" s="6">
        <f>_xlfn.XLOOKUP(B70,orders!A:A,orders!B:B)</f>
        <v>259</v>
      </c>
      <c r="M70" s="6" t="str">
        <f>_xlfn.XLOOKUP("C"&amp;TEXT(L70,"000"),customers!A:A,customers!B:B,"Not Found")</f>
        <v>Anjali V.</v>
      </c>
    </row>
    <row r="71" spans="1:13">
      <c r="A71">
        <v>70</v>
      </c>
      <c r="B71">
        <v>135</v>
      </c>
      <c r="C71">
        <v>9</v>
      </c>
      <c r="D71" s="4">
        <v>1</v>
      </c>
      <c r="E71">
        <f>_xlfn.XLOOKUP(C71,products!A:A,products!D:D)</f>
        <v>1733</v>
      </c>
      <c r="F71">
        <f t="shared" si="2"/>
        <v>1733</v>
      </c>
      <c r="G71">
        <f>D71*(E71-_xlfn.XLOOKUP(C71,products!A:A,products!E:E))</f>
        <v>545.8900000000001</v>
      </c>
      <c r="H71" s="6" t="str">
        <f>_xlfn.XLOOKUP(C71,products!A:A,products!C:C)</f>
        <v>Electronics</v>
      </c>
      <c r="I71" s="6" t="str">
        <f>_xlfn.XLOOKUP(C71,products!A:A,products!B:B)</f>
        <v>Power Bank</v>
      </c>
      <c r="J71" s="6">
        <f>_xlfn.XLOOKUP(B71,orders!A:A,orders!C:C)</f>
        <v>45760</v>
      </c>
      <c r="K71" s="6" t="str">
        <f t="shared" si="3"/>
        <v>Apr-2025</v>
      </c>
      <c r="L71" s="6">
        <f>_xlfn.XLOOKUP(B71,orders!A:A,orders!B:B)</f>
        <v>259</v>
      </c>
      <c r="M71" s="6" t="str">
        <f>_xlfn.XLOOKUP("C"&amp;TEXT(L71,"000"),customers!A:A,customers!B:B,"Not Found")</f>
        <v>Anjali V.</v>
      </c>
    </row>
    <row r="72" spans="1:13">
      <c r="A72">
        <v>71</v>
      </c>
      <c r="B72">
        <v>136</v>
      </c>
      <c r="C72">
        <v>3</v>
      </c>
      <c r="D72" s="4">
        <v>1</v>
      </c>
      <c r="E72">
        <f>_xlfn.XLOOKUP(C72,products!A:A,products!D:D)</f>
        <v>911</v>
      </c>
      <c r="F72">
        <f t="shared" si="2"/>
        <v>911</v>
      </c>
      <c r="G72">
        <f>D72*(E72-_xlfn.XLOOKUP(C72,products!A:A,products!E:E))</f>
        <v>368.95000000000005</v>
      </c>
      <c r="H72" s="6" t="str">
        <f>_xlfn.XLOOKUP(C72,products!A:A,products!C:C)</f>
        <v>Electronics</v>
      </c>
      <c r="I72" s="6" t="str">
        <f>_xlfn.XLOOKUP(C72,products!A:A,products!B:B)</f>
        <v>Headphones</v>
      </c>
      <c r="J72" s="6">
        <f>_xlfn.XLOOKUP(B72,orders!A:A,orders!C:C)</f>
        <v>45763</v>
      </c>
      <c r="K72" s="6" t="str">
        <f t="shared" si="3"/>
        <v>Apr-2025</v>
      </c>
      <c r="L72" s="6">
        <f>_xlfn.XLOOKUP(B72,orders!A:A,orders!B:B)</f>
        <v>296</v>
      </c>
      <c r="M72" s="6" t="str">
        <f>_xlfn.XLOOKUP("C"&amp;TEXT(L72,"000"),customers!A:A,customers!B:B,"Not Found")</f>
        <v>Priya A.</v>
      </c>
    </row>
    <row r="73" spans="1:13">
      <c r="A73">
        <v>72</v>
      </c>
      <c r="B73">
        <v>136</v>
      </c>
      <c r="C73">
        <v>16</v>
      </c>
      <c r="D73" s="4">
        <v>2</v>
      </c>
      <c r="E73">
        <f>_xlfn.XLOOKUP(C73,products!A:A,products!D:D)</f>
        <v>2692</v>
      </c>
      <c r="F73">
        <f t="shared" si="2"/>
        <v>5384</v>
      </c>
      <c r="G73">
        <f>D73*(E73-_xlfn.XLOOKUP(C73,products!A:A,products!E:E))</f>
        <v>1938.2399999999998</v>
      </c>
      <c r="H73" s="6" t="str">
        <f>_xlfn.XLOOKUP(C73,products!A:A,products!C:C)</f>
        <v>Fashion</v>
      </c>
      <c r="I73" s="6" t="str">
        <f>_xlfn.XLOOKUP(C73,products!A:A,products!B:B)</f>
        <v>Saree</v>
      </c>
      <c r="J73" s="6">
        <f>_xlfn.XLOOKUP(B73,orders!A:A,orders!C:C)</f>
        <v>45763</v>
      </c>
      <c r="K73" s="6" t="str">
        <f t="shared" si="3"/>
        <v>Apr-2025</v>
      </c>
      <c r="L73" s="6">
        <f>_xlfn.XLOOKUP(B73,orders!A:A,orders!B:B)</f>
        <v>296</v>
      </c>
      <c r="M73" s="6" t="str">
        <f>_xlfn.XLOOKUP("C"&amp;TEXT(L73,"000"),customers!A:A,customers!B:B,"Not Found")</f>
        <v>Priya A.</v>
      </c>
    </row>
    <row r="74" spans="1:13">
      <c r="A74">
        <v>73</v>
      </c>
      <c r="B74">
        <v>137</v>
      </c>
      <c r="C74">
        <v>10</v>
      </c>
      <c r="D74" s="4">
        <v>2</v>
      </c>
      <c r="E74">
        <f>_xlfn.XLOOKUP(C74,products!A:A,products!D:D)</f>
        <v>1870</v>
      </c>
      <c r="F74">
        <f t="shared" si="2"/>
        <v>3740</v>
      </c>
      <c r="G74">
        <f>D74*(E74-_xlfn.XLOOKUP(C74,products!A:A,products!E:E))</f>
        <v>1683</v>
      </c>
      <c r="H74" s="6" t="str">
        <f>_xlfn.XLOOKUP(C74,products!A:A,products!C:C)</f>
        <v>Electronics</v>
      </c>
      <c r="I74" s="6" t="str">
        <f>_xlfn.XLOOKUP(C74,products!A:A,products!B:B)</f>
        <v>Earbuds</v>
      </c>
      <c r="J74" s="6">
        <f>_xlfn.XLOOKUP(B74,orders!A:A,orders!C:C)</f>
        <v>45766</v>
      </c>
      <c r="K74" s="6" t="str">
        <f t="shared" si="3"/>
        <v>Apr-2025</v>
      </c>
      <c r="L74" s="6">
        <f>_xlfn.XLOOKUP(B74,orders!A:A,orders!B:B)</f>
        <v>333</v>
      </c>
      <c r="M74" s="6" t="str">
        <f>_xlfn.XLOOKUP("C"&amp;TEXT(L74,"000"),customers!A:A,customers!B:B,"Not Found")</f>
        <v>Kiran U.</v>
      </c>
    </row>
    <row r="75" spans="1:13">
      <c r="A75">
        <v>74</v>
      </c>
      <c r="B75">
        <v>137</v>
      </c>
      <c r="C75">
        <v>23</v>
      </c>
      <c r="D75" s="4">
        <v>3</v>
      </c>
      <c r="E75">
        <f>_xlfn.XLOOKUP(C75,products!A:A,products!D:D)</f>
        <v>3651</v>
      </c>
      <c r="F75">
        <f t="shared" si="2"/>
        <v>10953</v>
      </c>
      <c r="G75">
        <f>D75*(E75-_xlfn.XLOOKUP(C75,products!A:A,products!E:E))</f>
        <v>4435.9500000000007</v>
      </c>
      <c r="H75" s="6" t="str">
        <f>_xlfn.XLOOKUP(C75,products!A:A,products!C:C)</f>
        <v>Home Appliances</v>
      </c>
      <c r="I75" s="6" t="str">
        <f>_xlfn.XLOOKUP(C75,products!A:A,products!B:B)</f>
        <v>Fan</v>
      </c>
      <c r="J75" s="6">
        <f>_xlfn.XLOOKUP(B75,orders!A:A,orders!C:C)</f>
        <v>45766</v>
      </c>
      <c r="K75" s="6" t="str">
        <f t="shared" si="3"/>
        <v>Apr-2025</v>
      </c>
      <c r="L75" s="6">
        <f>_xlfn.XLOOKUP(B75,orders!A:A,orders!B:B)</f>
        <v>333</v>
      </c>
      <c r="M75" s="6" t="str">
        <f>_xlfn.XLOOKUP("C"&amp;TEXT(L75,"000"),customers!A:A,customers!B:B,"Not Found")</f>
        <v>Kiran U.</v>
      </c>
    </row>
    <row r="76" spans="1:13">
      <c r="A76">
        <v>75</v>
      </c>
      <c r="B76">
        <v>138</v>
      </c>
      <c r="C76">
        <v>17</v>
      </c>
      <c r="D76" s="4">
        <v>3</v>
      </c>
      <c r="E76">
        <f>_xlfn.XLOOKUP(C76,products!A:A,products!D:D)</f>
        <v>2829</v>
      </c>
      <c r="F76">
        <f t="shared" si="2"/>
        <v>8487</v>
      </c>
      <c r="G76">
        <f>D76*(E76-_xlfn.XLOOKUP(C76,products!A:A,products!E:E))</f>
        <v>2928</v>
      </c>
      <c r="H76" s="6" t="str">
        <f>_xlfn.XLOOKUP(C76,products!A:A,products!C:C)</f>
        <v>Fashion</v>
      </c>
      <c r="I76" s="6" t="str">
        <f>_xlfn.XLOOKUP(C76,products!A:A,products!B:B)</f>
        <v>Dress</v>
      </c>
      <c r="J76" s="6">
        <f>_xlfn.XLOOKUP(B76,orders!A:A,orders!C:C)</f>
        <v>45769</v>
      </c>
      <c r="K76" s="6" t="str">
        <f t="shared" si="3"/>
        <v>Apr-2025</v>
      </c>
      <c r="L76" s="6">
        <f>_xlfn.XLOOKUP(B76,orders!A:A,orders!B:B)</f>
        <v>370</v>
      </c>
      <c r="M76" s="6" t="str">
        <f>_xlfn.XLOOKUP("C"&amp;TEXT(L76,"000"),customers!A:A,customers!B:B,"Not Found")</f>
        <v>Priya J.</v>
      </c>
    </row>
    <row r="77" spans="1:13">
      <c r="A77">
        <v>76</v>
      </c>
      <c r="B77">
        <v>138</v>
      </c>
      <c r="C77">
        <v>30</v>
      </c>
      <c r="D77" s="4">
        <v>4</v>
      </c>
      <c r="E77">
        <f>_xlfn.XLOOKUP(C77,products!A:A,products!D:D)</f>
        <v>4610</v>
      </c>
      <c r="F77">
        <f t="shared" si="2"/>
        <v>18440</v>
      </c>
      <c r="G77">
        <f>D77*(E77-_xlfn.XLOOKUP(C77,products!A:A,products!E:E))</f>
        <v>8298</v>
      </c>
      <c r="H77" s="6" t="str">
        <f>_xlfn.XLOOKUP(C77,products!A:A,products!C:C)</f>
        <v>Furniture</v>
      </c>
      <c r="I77" s="6" t="str">
        <f>_xlfn.XLOOKUP(C77,products!A:A,products!B:B)</f>
        <v>Table</v>
      </c>
      <c r="J77" s="6">
        <f>_xlfn.XLOOKUP(B77,orders!A:A,orders!C:C)</f>
        <v>45769</v>
      </c>
      <c r="K77" s="6" t="str">
        <f t="shared" si="3"/>
        <v>Apr-2025</v>
      </c>
      <c r="L77" s="6">
        <f>_xlfn.XLOOKUP(B77,orders!A:A,orders!B:B)</f>
        <v>370</v>
      </c>
      <c r="M77" s="6" t="str">
        <f>_xlfn.XLOOKUP("C"&amp;TEXT(L77,"000"),customers!A:A,customers!B:B,"Not Found")</f>
        <v>Priya J.</v>
      </c>
    </row>
    <row r="78" spans="1:13">
      <c r="A78">
        <v>77</v>
      </c>
      <c r="B78">
        <v>139</v>
      </c>
      <c r="C78">
        <v>24</v>
      </c>
      <c r="D78" s="4">
        <v>4</v>
      </c>
      <c r="E78">
        <f>_xlfn.XLOOKUP(C78,products!A:A,products!D:D)</f>
        <v>3788</v>
      </c>
      <c r="F78">
        <f t="shared" si="2"/>
        <v>15152</v>
      </c>
      <c r="G78">
        <f>D78*(E78-_xlfn.XLOOKUP(C78,products!A:A,products!E:E))</f>
        <v>5909.2800000000007</v>
      </c>
      <c r="H78" s="6" t="str">
        <f>_xlfn.XLOOKUP(C78,products!A:A,products!C:C)</f>
        <v>Home Appliances</v>
      </c>
      <c r="I78" s="6" t="str">
        <f>_xlfn.XLOOKUP(C78,products!A:A,products!B:B)</f>
        <v>Iron</v>
      </c>
      <c r="J78" s="6">
        <f>_xlfn.XLOOKUP(B78,orders!A:A,orders!C:C)</f>
        <v>45772</v>
      </c>
      <c r="K78" s="6" t="str">
        <f t="shared" si="3"/>
        <v>Apr-2025</v>
      </c>
      <c r="L78" s="6">
        <f>_xlfn.XLOOKUP(B78,orders!A:A,orders!B:B)</f>
        <v>407</v>
      </c>
      <c r="M78" s="6" t="str">
        <f>_xlfn.XLOOKUP("C"&amp;TEXT(L78,"000"),customers!A:A,customers!B:B,"Not Found")</f>
        <v>Divya T.</v>
      </c>
    </row>
    <row r="79" spans="1:13">
      <c r="A79">
        <v>78</v>
      </c>
      <c r="B79">
        <v>139</v>
      </c>
      <c r="C79">
        <v>37</v>
      </c>
      <c r="D79" s="4">
        <v>1</v>
      </c>
      <c r="E79">
        <f>_xlfn.XLOOKUP(C79,products!A:A,products!D:D)</f>
        <v>5569</v>
      </c>
      <c r="F79">
        <f t="shared" si="2"/>
        <v>5569</v>
      </c>
      <c r="G79">
        <f>D79*(E79-_xlfn.XLOOKUP(C79,products!A:A,products!E:E))</f>
        <v>1921.3000000000002</v>
      </c>
      <c r="H79" s="6" t="str">
        <f>_xlfn.XLOOKUP(C79,products!A:A,products!C:C)</f>
        <v>Sports</v>
      </c>
      <c r="I79" s="6" t="str">
        <f>_xlfn.XLOOKUP(C79,products!A:A,products!B:B)</f>
        <v>Football</v>
      </c>
      <c r="J79" s="6">
        <f>_xlfn.XLOOKUP(B79,orders!A:A,orders!C:C)</f>
        <v>45772</v>
      </c>
      <c r="K79" s="6" t="str">
        <f t="shared" si="3"/>
        <v>Apr-2025</v>
      </c>
      <c r="L79" s="6">
        <f>_xlfn.XLOOKUP(B79,orders!A:A,orders!B:B)</f>
        <v>407</v>
      </c>
      <c r="M79" s="6" t="str">
        <f>_xlfn.XLOOKUP("C"&amp;TEXT(L79,"000"),customers!A:A,customers!B:B,"Not Found")</f>
        <v>Divya T.</v>
      </c>
    </row>
    <row r="80" spans="1:13">
      <c r="A80">
        <v>79</v>
      </c>
      <c r="B80">
        <v>140</v>
      </c>
      <c r="C80">
        <v>31</v>
      </c>
      <c r="D80" s="4">
        <v>1</v>
      </c>
      <c r="E80">
        <f>_xlfn.XLOOKUP(C80,products!A:A,products!D:D)</f>
        <v>4747</v>
      </c>
      <c r="F80">
        <f t="shared" si="2"/>
        <v>4747</v>
      </c>
      <c r="G80">
        <f>D80*(E80-_xlfn.XLOOKUP(C80,products!A:A,products!E:E))</f>
        <v>2064.94</v>
      </c>
      <c r="H80" s="6" t="str">
        <f>_xlfn.XLOOKUP(C80,products!A:A,products!C:C)</f>
        <v>Books</v>
      </c>
      <c r="I80" s="6" t="str">
        <f>_xlfn.XLOOKUP(C80,products!A:A,products!B:B)</f>
        <v>Book</v>
      </c>
      <c r="J80" s="6">
        <f>_xlfn.XLOOKUP(B80,orders!A:A,orders!C:C)</f>
        <v>45775</v>
      </c>
      <c r="K80" s="6" t="str">
        <f t="shared" si="3"/>
        <v>Apr-2025</v>
      </c>
      <c r="L80" s="6">
        <f>_xlfn.XLOOKUP(B80,orders!A:A,orders!B:B)</f>
        <v>444</v>
      </c>
      <c r="M80" s="6" t="str">
        <f>_xlfn.XLOOKUP("C"&amp;TEXT(L80,"000"),customers!A:A,customers!B:B,"Not Found")</f>
        <v>Rahul O.</v>
      </c>
    </row>
    <row r="81" spans="1:13">
      <c r="A81">
        <v>80</v>
      </c>
      <c r="B81">
        <v>140</v>
      </c>
      <c r="C81">
        <v>44</v>
      </c>
      <c r="D81" s="4">
        <v>2</v>
      </c>
      <c r="E81">
        <f>_xlfn.XLOOKUP(C81,products!A:A,products!D:D)</f>
        <v>6528</v>
      </c>
      <c r="F81">
        <f t="shared" si="2"/>
        <v>13056</v>
      </c>
      <c r="G81">
        <f>D81*(E81-_xlfn.XLOOKUP(C81,products!A:A,products!E:E))</f>
        <v>5091.84</v>
      </c>
      <c r="H81" s="6" t="str">
        <f>_xlfn.XLOOKUP(C81,products!A:A,products!C:C)</f>
        <v>Beauty</v>
      </c>
      <c r="I81" s="6" t="str">
        <f>_xlfn.XLOOKUP(C81,products!A:A,products!B:B)</f>
        <v>Moisturizer</v>
      </c>
      <c r="J81" s="6">
        <f>_xlfn.XLOOKUP(B81,orders!A:A,orders!C:C)</f>
        <v>45775</v>
      </c>
      <c r="K81" s="6" t="str">
        <f t="shared" si="3"/>
        <v>Apr-2025</v>
      </c>
      <c r="L81" s="6">
        <f>_xlfn.XLOOKUP(B81,orders!A:A,orders!B:B)</f>
        <v>444</v>
      </c>
      <c r="M81" s="6" t="str">
        <f>_xlfn.XLOOKUP("C"&amp;TEXT(L81,"000"),customers!A:A,customers!B:B,"Not Found")</f>
        <v>Rahul O.</v>
      </c>
    </row>
    <row r="82" spans="1:13">
      <c r="A82">
        <v>81</v>
      </c>
      <c r="B82">
        <v>141</v>
      </c>
      <c r="C82">
        <v>38</v>
      </c>
      <c r="D82" s="4">
        <v>2</v>
      </c>
      <c r="E82">
        <f>_xlfn.XLOOKUP(C82,products!A:A,products!D:D)</f>
        <v>5706</v>
      </c>
      <c r="F82">
        <f t="shared" si="2"/>
        <v>11412</v>
      </c>
      <c r="G82">
        <f>D82*(E82-_xlfn.XLOOKUP(C82,products!A:A,products!E:E))</f>
        <v>3765.96</v>
      </c>
      <c r="H82" s="6" t="str">
        <f>_xlfn.XLOOKUP(C82,products!A:A,products!C:C)</f>
        <v>Sports</v>
      </c>
      <c r="I82" s="6" t="str">
        <f>_xlfn.XLOOKUP(C82,products!A:A,products!B:B)</f>
        <v>Badminton Racket</v>
      </c>
      <c r="J82" s="6">
        <f>_xlfn.XLOOKUP(B82,orders!A:A,orders!C:C)</f>
        <v>45778</v>
      </c>
      <c r="K82" s="6" t="str">
        <f t="shared" si="3"/>
        <v>May-2025</v>
      </c>
      <c r="L82" s="6">
        <f>_xlfn.XLOOKUP(B82,orders!A:A,orders!B:B)</f>
        <v>481</v>
      </c>
      <c r="M82" s="6" t="str">
        <f>_xlfn.XLOOKUP("C"&amp;TEXT(L82,"000"),customers!A:A,customers!B:B,"Not Found")</f>
        <v>Arjun O.</v>
      </c>
    </row>
    <row r="83" spans="1:13">
      <c r="A83">
        <v>82</v>
      </c>
      <c r="B83">
        <v>141</v>
      </c>
      <c r="C83">
        <v>1</v>
      </c>
      <c r="D83" s="4">
        <v>3</v>
      </c>
      <c r="E83">
        <f>_xlfn.XLOOKUP(C83,products!A:A,products!D:D)</f>
        <v>637</v>
      </c>
      <c r="F83">
        <f t="shared" si="2"/>
        <v>1911</v>
      </c>
      <c r="G83">
        <f>D83*(E83-_xlfn.XLOOKUP(C83,products!A:A,products!E:E))</f>
        <v>831.27</v>
      </c>
      <c r="H83" s="6" t="str">
        <f>_xlfn.XLOOKUP(C83,products!A:A,products!C:C)</f>
        <v>Electronics</v>
      </c>
      <c r="I83" s="6" t="str">
        <f>_xlfn.XLOOKUP(C83,products!A:A,products!B:B)</f>
        <v>Laptop</v>
      </c>
      <c r="J83" s="6">
        <f>_xlfn.XLOOKUP(B83,orders!A:A,orders!C:C)</f>
        <v>45778</v>
      </c>
      <c r="K83" s="6" t="str">
        <f t="shared" si="3"/>
        <v>May-2025</v>
      </c>
      <c r="L83" s="6">
        <f>_xlfn.XLOOKUP(B83,orders!A:A,orders!B:B)</f>
        <v>481</v>
      </c>
      <c r="M83" s="6" t="str">
        <f>_xlfn.XLOOKUP("C"&amp;TEXT(L83,"000"),customers!A:A,customers!B:B,"Not Found")</f>
        <v>Arjun O.</v>
      </c>
    </row>
    <row r="84" spans="1:13">
      <c r="A84">
        <v>83</v>
      </c>
      <c r="B84">
        <v>142</v>
      </c>
      <c r="C84">
        <v>45</v>
      </c>
      <c r="D84" s="4">
        <v>3</v>
      </c>
      <c r="E84">
        <f>_xlfn.XLOOKUP(C84,products!A:A,products!D:D)</f>
        <v>6665</v>
      </c>
      <c r="F84">
        <f t="shared" si="2"/>
        <v>19995</v>
      </c>
      <c r="G84">
        <f>D84*(E84-_xlfn.XLOOKUP(C84,products!A:A,products!E:E))</f>
        <v>7498.14</v>
      </c>
      <c r="H84" s="6" t="str">
        <f>_xlfn.XLOOKUP(C84,products!A:A,products!C:C)</f>
        <v>Beauty</v>
      </c>
      <c r="I84" s="6" t="str">
        <f>_xlfn.XLOOKUP(C84,products!A:A,products!B:B)</f>
        <v>Sunscreen</v>
      </c>
      <c r="J84" s="6">
        <f>_xlfn.XLOOKUP(B84,orders!A:A,orders!C:C)</f>
        <v>45781</v>
      </c>
      <c r="K84" s="6" t="str">
        <f t="shared" si="3"/>
        <v>May-2025</v>
      </c>
      <c r="L84" s="6">
        <f>_xlfn.XLOOKUP(B84,orders!A:A,orders!B:B)</f>
        <v>18</v>
      </c>
      <c r="M84" s="6" t="str">
        <f>_xlfn.XLOOKUP("C"&amp;TEXT(L84,"000"),customers!A:A,customers!B:B,"Not Found")</f>
        <v>Priya H.</v>
      </c>
    </row>
    <row r="85" spans="1:13">
      <c r="A85">
        <v>84</v>
      </c>
      <c r="B85">
        <v>142</v>
      </c>
      <c r="C85">
        <v>8</v>
      </c>
      <c r="D85" s="4">
        <v>4</v>
      </c>
      <c r="E85">
        <f>_xlfn.XLOOKUP(C85,products!A:A,products!D:D)</f>
        <v>1596</v>
      </c>
      <c r="F85">
        <f t="shared" si="2"/>
        <v>6384</v>
      </c>
      <c r="G85">
        <f>D85*(E85-_xlfn.XLOOKUP(C85,products!A:A,products!E:E))</f>
        <v>2106.7200000000003</v>
      </c>
      <c r="H85" s="6" t="str">
        <f>_xlfn.XLOOKUP(C85,products!A:A,products!C:C)</f>
        <v>Electronics</v>
      </c>
      <c r="I85" s="6" t="str">
        <f>_xlfn.XLOOKUP(C85,products!A:A,products!B:B)</f>
        <v>Tablet</v>
      </c>
      <c r="J85" s="6">
        <f>_xlfn.XLOOKUP(B85,orders!A:A,orders!C:C)</f>
        <v>45781</v>
      </c>
      <c r="K85" s="6" t="str">
        <f t="shared" si="3"/>
        <v>May-2025</v>
      </c>
      <c r="L85" s="6">
        <f>_xlfn.XLOOKUP(B85,orders!A:A,orders!B:B)</f>
        <v>18</v>
      </c>
      <c r="M85" s="6" t="str">
        <f>_xlfn.XLOOKUP("C"&amp;TEXT(L85,"000"),customers!A:A,customers!B:B,"Not Found")</f>
        <v>Priya H.</v>
      </c>
    </row>
    <row r="86" spans="1:13">
      <c r="A86">
        <v>85</v>
      </c>
      <c r="B86">
        <v>143</v>
      </c>
      <c r="C86">
        <v>2</v>
      </c>
      <c r="D86" s="4">
        <v>4</v>
      </c>
      <c r="E86">
        <f>_xlfn.XLOOKUP(C86,products!A:A,products!D:D)</f>
        <v>774</v>
      </c>
      <c r="F86">
        <f t="shared" si="2"/>
        <v>3096</v>
      </c>
      <c r="G86">
        <f>D86*(E86-_xlfn.XLOOKUP(C86,products!A:A,products!E:E))</f>
        <v>1300.32</v>
      </c>
      <c r="H86" s="6" t="str">
        <f>_xlfn.XLOOKUP(C86,products!A:A,products!C:C)</f>
        <v>Electronics</v>
      </c>
      <c r="I86" s="6" t="str">
        <f>_xlfn.XLOOKUP(C86,products!A:A,products!B:B)</f>
        <v>Mobile</v>
      </c>
      <c r="J86" s="6">
        <f>_xlfn.XLOOKUP(B86,orders!A:A,orders!C:C)</f>
        <v>45784</v>
      </c>
      <c r="K86" s="6" t="str">
        <f t="shared" si="3"/>
        <v>May-2025</v>
      </c>
      <c r="L86" s="6">
        <f>_xlfn.XLOOKUP(B86,orders!A:A,orders!B:B)</f>
        <v>55</v>
      </c>
      <c r="M86" s="6" t="str">
        <f>_xlfn.XLOOKUP("C"&amp;TEXT(L86,"000"),customers!A:A,customers!B:B,"Not Found")</f>
        <v>Vikram Z.</v>
      </c>
    </row>
    <row r="87" spans="1:13">
      <c r="A87">
        <v>86</v>
      </c>
      <c r="B87">
        <v>143</v>
      </c>
      <c r="C87">
        <v>15</v>
      </c>
      <c r="D87" s="4">
        <v>1</v>
      </c>
      <c r="E87">
        <f>_xlfn.XLOOKUP(C87,products!A:A,products!D:D)</f>
        <v>2555</v>
      </c>
      <c r="F87">
        <f t="shared" si="2"/>
        <v>2555</v>
      </c>
      <c r="G87">
        <f>D87*(E87-_xlfn.XLOOKUP(C87,products!A:A,products!E:E))</f>
        <v>958.11999999999989</v>
      </c>
      <c r="H87" s="6" t="str">
        <f>_xlfn.XLOOKUP(C87,products!A:A,products!C:C)</f>
        <v>Fashion</v>
      </c>
      <c r="I87" s="6" t="str">
        <f>_xlfn.XLOOKUP(C87,products!A:A,products!B:B)</f>
        <v>Shoes</v>
      </c>
      <c r="J87" s="6">
        <f>_xlfn.XLOOKUP(B87,orders!A:A,orders!C:C)</f>
        <v>45784</v>
      </c>
      <c r="K87" s="6" t="str">
        <f t="shared" si="3"/>
        <v>May-2025</v>
      </c>
      <c r="L87" s="6">
        <f>_xlfn.XLOOKUP(B87,orders!A:A,orders!B:B)</f>
        <v>55</v>
      </c>
      <c r="M87" s="6" t="str">
        <f>_xlfn.XLOOKUP("C"&amp;TEXT(L87,"000"),customers!A:A,customers!B:B,"Not Found")</f>
        <v>Vikram Z.</v>
      </c>
    </row>
    <row r="88" spans="1:13">
      <c r="A88">
        <v>87</v>
      </c>
      <c r="B88">
        <v>144</v>
      </c>
      <c r="C88">
        <v>9</v>
      </c>
      <c r="D88" s="4">
        <v>1</v>
      </c>
      <c r="E88">
        <f>_xlfn.XLOOKUP(C88,products!A:A,products!D:D)</f>
        <v>1733</v>
      </c>
      <c r="F88">
        <f t="shared" si="2"/>
        <v>1733</v>
      </c>
      <c r="G88">
        <f>D88*(E88-_xlfn.XLOOKUP(C88,products!A:A,products!E:E))</f>
        <v>545.8900000000001</v>
      </c>
      <c r="H88" s="6" t="str">
        <f>_xlfn.XLOOKUP(C88,products!A:A,products!C:C)</f>
        <v>Electronics</v>
      </c>
      <c r="I88" s="6" t="str">
        <f>_xlfn.XLOOKUP(C88,products!A:A,products!B:B)</f>
        <v>Power Bank</v>
      </c>
      <c r="J88" s="6">
        <f>_xlfn.XLOOKUP(B88,orders!A:A,orders!C:C)</f>
        <v>45787</v>
      </c>
      <c r="K88" s="6" t="str">
        <f t="shared" si="3"/>
        <v>May-2025</v>
      </c>
      <c r="L88" s="6">
        <f>_xlfn.XLOOKUP(B88,orders!A:A,orders!B:B)</f>
        <v>92</v>
      </c>
      <c r="M88" s="6" t="str">
        <f>_xlfn.XLOOKUP("C"&amp;TEXT(L88,"000"),customers!A:A,customers!B:B,"Not Found")</f>
        <v>Manoj D.</v>
      </c>
    </row>
    <row r="89" spans="1:13">
      <c r="A89">
        <v>88</v>
      </c>
      <c r="B89">
        <v>144</v>
      </c>
      <c r="C89">
        <v>22</v>
      </c>
      <c r="D89" s="4">
        <v>2</v>
      </c>
      <c r="E89">
        <f>_xlfn.XLOOKUP(C89,products!A:A,products!D:D)</f>
        <v>3514</v>
      </c>
      <c r="F89">
        <f t="shared" si="2"/>
        <v>7028</v>
      </c>
      <c r="G89">
        <f>D89*(E89-_xlfn.XLOOKUP(C89,products!A:A,products!E:E))</f>
        <v>2951.76</v>
      </c>
      <c r="H89" s="6" t="str">
        <f>_xlfn.XLOOKUP(C89,products!A:A,products!C:C)</f>
        <v>Home Appliances</v>
      </c>
      <c r="I89" s="6" t="str">
        <f>_xlfn.XLOOKUP(C89,products!A:A,products!B:B)</f>
        <v>Microwave</v>
      </c>
      <c r="J89" s="6">
        <f>_xlfn.XLOOKUP(B89,orders!A:A,orders!C:C)</f>
        <v>45787</v>
      </c>
      <c r="K89" s="6" t="str">
        <f t="shared" si="3"/>
        <v>May-2025</v>
      </c>
      <c r="L89" s="6">
        <f>_xlfn.XLOOKUP(B89,orders!A:A,orders!B:B)</f>
        <v>92</v>
      </c>
      <c r="M89" s="6" t="str">
        <f>_xlfn.XLOOKUP("C"&amp;TEXT(L89,"000"),customers!A:A,customers!B:B,"Not Found")</f>
        <v>Manoj D.</v>
      </c>
    </row>
    <row r="90" spans="1:13">
      <c r="A90">
        <v>89</v>
      </c>
      <c r="B90">
        <v>145</v>
      </c>
      <c r="C90">
        <v>16</v>
      </c>
      <c r="D90" s="4">
        <v>2</v>
      </c>
      <c r="E90">
        <f>_xlfn.XLOOKUP(C90,products!A:A,products!D:D)</f>
        <v>2692</v>
      </c>
      <c r="F90">
        <f t="shared" si="2"/>
        <v>5384</v>
      </c>
      <c r="G90">
        <f>D90*(E90-_xlfn.XLOOKUP(C90,products!A:A,products!E:E))</f>
        <v>1938.2399999999998</v>
      </c>
      <c r="H90" s="6" t="str">
        <f>_xlfn.XLOOKUP(C90,products!A:A,products!C:C)</f>
        <v>Fashion</v>
      </c>
      <c r="I90" s="6" t="str">
        <f>_xlfn.XLOOKUP(C90,products!A:A,products!B:B)</f>
        <v>Saree</v>
      </c>
      <c r="J90" s="6">
        <f>_xlfn.XLOOKUP(B90,orders!A:A,orders!C:C)</f>
        <v>45790</v>
      </c>
      <c r="K90" s="6" t="str">
        <f t="shared" si="3"/>
        <v>May-2025</v>
      </c>
      <c r="L90" s="6">
        <f>_xlfn.XLOOKUP(B90,orders!A:A,orders!B:B)</f>
        <v>129</v>
      </c>
      <c r="M90" s="6" t="str">
        <f>_xlfn.XLOOKUP("C"&amp;TEXT(L90,"000"),customers!A:A,customers!B:B,"Not Found")</f>
        <v>Suresh K.</v>
      </c>
    </row>
    <row r="91" spans="1:13">
      <c r="A91">
        <v>90</v>
      </c>
      <c r="B91">
        <v>145</v>
      </c>
      <c r="C91">
        <v>29</v>
      </c>
      <c r="D91" s="4">
        <v>3</v>
      </c>
      <c r="E91">
        <f>_xlfn.XLOOKUP(C91,products!A:A,products!D:D)</f>
        <v>4473</v>
      </c>
      <c r="F91">
        <f t="shared" si="2"/>
        <v>13419</v>
      </c>
      <c r="G91">
        <f>D91*(E91-_xlfn.XLOOKUP(C91,products!A:A,products!E:E))</f>
        <v>4226.9699999999993</v>
      </c>
      <c r="H91" s="6" t="str">
        <f>_xlfn.XLOOKUP(C91,products!A:A,products!C:C)</f>
        <v>Furniture</v>
      </c>
      <c r="I91" s="6" t="str">
        <f>_xlfn.XLOOKUP(C91,products!A:A,products!B:B)</f>
        <v>Chair</v>
      </c>
      <c r="J91" s="6">
        <f>_xlfn.XLOOKUP(B91,orders!A:A,orders!C:C)</f>
        <v>45790</v>
      </c>
      <c r="K91" s="6" t="str">
        <f t="shared" si="3"/>
        <v>May-2025</v>
      </c>
      <c r="L91" s="6">
        <f>_xlfn.XLOOKUP(B91,orders!A:A,orders!B:B)</f>
        <v>129</v>
      </c>
      <c r="M91" s="6" t="str">
        <f>_xlfn.XLOOKUP("C"&amp;TEXT(L91,"000"),customers!A:A,customers!B:B,"Not Found")</f>
        <v>Suresh K.</v>
      </c>
    </row>
    <row r="92" spans="1:13">
      <c r="A92">
        <v>91</v>
      </c>
      <c r="B92">
        <v>146</v>
      </c>
      <c r="C92">
        <v>23</v>
      </c>
      <c r="D92" s="4">
        <v>3</v>
      </c>
      <c r="E92">
        <f>_xlfn.XLOOKUP(C92,products!A:A,products!D:D)</f>
        <v>3651</v>
      </c>
      <c r="F92">
        <f t="shared" si="2"/>
        <v>10953</v>
      </c>
      <c r="G92">
        <f>D92*(E92-_xlfn.XLOOKUP(C92,products!A:A,products!E:E))</f>
        <v>4435.9500000000007</v>
      </c>
      <c r="H92" s="6" t="str">
        <f>_xlfn.XLOOKUP(C92,products!A:A,products!C:C)</f>
        <v>Home Appliances</v>
      </c>
      <c r="I92" s="6" t="str">
        <f>_xlfn.XLOOKUP(C92,products!A:A,products!B:B)</f>
        <v>Fan</v>
      </c>
      <c r="J92" s="6">
        <f>_xlfn.XLOOKUP(B92,orders!A:A,orders!C:C)</f>
        <v>45793</v>
      </c>
      <c r="K92" s="6" t="str">
        <f t="shared" si="3"/>
        <v>May-2025</v>
      </c>
      <c r="L92" s="6">
        <f>_xlfn.XLOOKUP(B92,orders!A:A,orders!B:B)</f>
        <v>166</v>
      </c>
      <c r="M92" s="6" t="str">
        <f>_xlfn.XLOOKUP("C"&amp;TEXT(L92,"000"),customers!A:A,customers!B:B,"Not Found")</f>
        <v>Vikram P.</v>
      </c>
    </row>
    <row r="93" spans="1:13">
      <c r="A93">
        <v>92</v>
      </c>
      <c r="B93">
        <v>146</v>
      </c>
      <c r="C93">
        <v>36</v>
      </c>
      <c r="D93" s="4">
        <v>4</v>
      </c>
      <c r="E93">
        <f>_xlfn.XLOOKUP(C93,products!A:A,products!D:D)</f>
        <v>5432</v>
      </c>
      <c r="F93">
        <f t="shared" si="2"/>
        <v>21728</v>
      </c>
      <c r="G93">
        <f>D93*(E93-_xlfn.XLOOKUP(C93,products!A:A,products!E:E))</f>
        <v>7822.08</v>
      </c>
      <c r="H93" s="6" t="str">
        <f>_xlfn.XLOOKUP(C93,products!A:A,products!C:C)</f>
        <v>Sports</v>
      </c>
      <c r="I93" s="6" t="str">
        <f>_xlfn.XLOOKUP(C93,products!A:A,products!B:B)</f>
        <v>Cricket Bat</v>
      </c>
      <c r="J93" s="6">
        <f>_xlfn.XLOOKUP(B93,orders!A:A,orders!C:C)</f>
        <v>45793</v>
      </c>
      <c r="K93" s="6" t="str">
        <f t="shared" si="3"/>
        <v>May-2025</v>
      </c>
      <c r="L93" s="6">
        <f>_xlfn.XLOOKUP(B93,orders!A:A,orders!B:B)</f>
        <v>166</v>
      </c>
      <c r="M93" s="6" t="str">
        <f>_xlfn.XLOOKUP("C"&amp;TEXT(L93,"000"),customers!A:A,customers!B:B,"Not Found")</f>
        <v>Vikram P.</v>
      </c>
    </row>
    <row r="94" spans="1:13">
      <c r="A94">
        <v>93</v>
      </c>
      <c r="B94">
        <v>147</v>
      </c>
      <c r="C94">
        <v>30</v>
      </c>
      <c r="D94" s="4">
        <v>4</v>
      </c>
      <c r="E94">
        <f>_xlfn.XLOOKUP(C94,products!A:A,products!D:D)</f>
        <v>4610</v>
      </c>
      <c r="F94">
        <f t="shared" si="2"/>
        <v>18440</v>
      </c>
      <c r="G94">
        <f>D94*(E94-_xlfn.XLOOKUP(C94,products!A:A,products!E:E))</f>
        <v>8298</v>
      </c>
      <c r="H94" s="6" t="str">
        <f>_xlfn.XLOOKUP(C94,products!A:A,products!C:C)</f>
        <v>Furniture</v>
      </c>
      <c r="I94" s="6" t="str">
        <f>_xlfn.XLOOKUP(C94,products!A:A,products!B:B)</f>
        <v>Table</v>
      </c>
      <c r="J94" s="6">
        <f>_xlfn.XLOOKUP(B94,orders!A:A,orders!C:C)</f>
        <v>45796</v>
      </c>
      <c r="K94" s="6" t="str">
        <f t="shared" si="3"/>
        <v>May-2025</v>
      </c>
      <c r="L94" s="6">
        <f>_xlfn.XLOOKUP(B94,orders!A:A,orders!B:B)</f>
        <v>203</v>
      </c>
      <c r="M94" s="6" t="str">
        <f>_xlfn.XLOOKUP("C"&amp;TEXT(L94,"000"),customers!A:A,customers!B:B,"Not Found")</f>
        <v>Vikram Y.</v>
      </c>
    </row>
    <row r="95" spans="1:13">
      <c r="A95">
        <v>94</v>
      </c>
      <c r="B95">
        <v>147</v>
      </c>
      <c r="C95">
        <v>43</v>
      </c>
      <c r="D95" s="4">
        <v>1</v>
      </c>
      <c r="E95">
        <f>_xlfn.XLOOKUP(C95,products!A:A,products!D:D)</f>
        <v>6391</v>
      </c>
      <c r="F95">
        <f t="shared" si="2"/>
        <v>6391</v>
      </c>
      <c r="G95">
        <f>D95*(E95-_xlfn.XLOOKUP(C95,products!A:A,products!E:E))</f>
        <v>2588.35</v>
      </c>
      <c r="H95" s="6" t="str">
        <f>_xlfn.XLOOKUP(C95,products!A:A,products!C:C)</f>
        <v>Beauty</v>
      </c>
      <c r="I95" s="6" t="str">
        <f>_xlfn.XLOOKUP(C95,products!A:A,products!B:B)</f>
        <v>Perfume</v>
      </c>
      <c r="J95" s="6">
        <f>_xlfn.XLOOKUP(B95,orders!A:A,orders!C:C)</f>
        <v>45796</v>
      </c>
      <c r="K95" s="6" t="str">
        <f t="shared" si="3"/>
        <v>May-2025</v>
      </c>
      <c r="L95" s="6">
        <f>_xlfn.XLOOKUP(B95,orders!A:A,orders!B:B)</f>
        <v>203</v>
      </c>
      <c r="M95" s="6" t="str">
        <f>_xlfn.XLOOKUP("C"&amp;TEXT(L95,"000"),customers!A:A,customers!B:B,"Not Found")</f>
        <v>Vikram Y.</v>
      </c>
    </row>
    <row r="96" spans="1:13">
      <c r="A96">
        <v>95</v>
      </c>
      <c r="B96">
        <v>148</v>
      </c>
      <c r="C96">
        <v>37</v>
      </c>
      <c r="D96" s="4">
        <v>1</v>
      </c>
      <c r="E96">
        <f>_xlfn.XLOOKUP(C96,products!A:A,products!D:D)</f>
        <v>5569</v>
      </c>
      <c r="F96">
        <f t="shared" si="2"/>
        <v>5569</v>
      </c>
      <c r="G96">
        <f>D96*(E96-_xlfn.XLOOKUP(C96,products!A:A,products!E:E))</f>
        <v>1921.3000000000002</v>
      </c>
      <c r="H96" s="6" t="str">
        <f>_xlfn.XLOOKUP(C96,products!A:A,products!C:C)</f>
        <v>Sports</v>
      </c>
      <c r="I96" s="6" t="str">
        <f>_xlfn.XLOOKUP(C96,products!A:A,products!B:B)</f>
        <v>Football</v>
      </c>
      <c r="J96" s="6">
        <f>_xlfn.XLOOKUP(B96,orders!A:A,orders!C:C)</f>
        <v>45799</v>
      </c>
      <c r="K96" s="6" t="str">
        <f t="shared" si="3"/>
        <v>May-2025</v>
      </c>
      <c r="L96" s="6">
        <f>_xlfn.XLOOKUP(B96,orders!A:A,orders!B:B)</f>
        <v>240</v>
      </c>
      <c r="M96" s="6" t="str">
        <f>_xlfn.XLOOKUP("C"&amp;TEXT(L96,"000"),customers!A:A,customers!B:B,"Not Found")</f>
        <v>Neha C.</v>
      </c>
    </row>
    <row r="97" spans="1:13">
      <c r="A97">
        <v>96</v>
      </c>
      <c r="B97">
        <v>148</v>
      </c>
      <c r="C97">
        <v>50</v>
      </c>
      <c r="D97" s="4">
        <v>2</v>
      </c>
      <c r="E97">
        <f>_xlfn.XLOOKUP(C97,products!A:A,products!D:D)</f>
        <v>7350</v>
      </c>
      <c r="F97">
        <f t="shared" si="2"/>
        <v>14700</v>
      </c>
      <c r="G97">
        <f>D97*(E97-_xlfn.XLOOKUP(C97,products!A:A,products!E:E))</f>
        <v>6615</v>
      </c>
      <c r="H97" s="6" t="str">
        <f>_xlfn.XLOOKUP(C97,products!A:A,products!C:C)</f>
        <v>Toys</v>
      </c>
      <c r="I97" s="6" t="str">
        <f>_xlfn.XLOOKUP(C97,products!A:A,products!B:B)</f>
        <v>Building Blocks</v>
      </c>
      <c r="J97" s="6">
        <f>_xlfn.XLOOKUP(B97,orders!A:A,orders!C:C)</f>
        <v>45799</v>
      </c>
      <c r="K97" s="6" t="str">
        <f t="shared" si="3"/>
        <v>May-2025</v>
      </c>
      <c r="L97" s="6">
        <f>_xlfn.XLOOKUP(B97,orders!A:A,orders!B:B)</f>
        <v>240</v>
      </c>
      <c r="M97" s="6" t="str">
        <f>_xlfn.XLOOKUP("C"&amp;TEXT(L97,"000"),customers!A:A,customers!B:B,"Not Found")</f>
        <v>Neha C.</v>
      </c>
    </row>
    <row r="98" spans="1:13">
      <c r="A98">
        <v>97</v>
      </c>
      <c r="B98">
        <v>149</v>
      </c>
      <c r="C98">
        <v>44</v>
      </c>
      <c r="D98" s="4">
        <v>2</v>
      </c>
      <c r="E98">
        <f>_xlfn.XLOOKUP(C98,products!A:A,products!D:D)</f>
        <v>6528</v>
      </c>
      <c r="F98">
        <f t="shared" si="2"/>
        <v>13056</v>
      </c>
      <c r="G98">
        <f>D98*(E98-_xlfn.XLOOKUP(C98,products!A:A,products!E:E))</f>
        <v>5091.84</v>
      </c>
      <c r="H98" s="6" t="str">
        <f>_xlfn.XLOOKUP(C98,products!A:A,products!C:C)</f>
        <v>Beauty</v>
      </c>
      <c r="I98" s="6" t="str">
        <f>_xlfn.XLOOKUP(C98,products!A:A,products!B:B)</f>
        <v>Moisturizer</v>
      </c>
      <c r="J98" s="6">
        <f>_xlfn.XLOOKUP(B98,orders!A:A,orders!C:C)</f>
        <v>45802</v>
      </c>
      <c r="K98" s="6" t="str">
        <f t="shared" si="3"/>
        <v>May-2025</v>
      </c>
      <c r="L98" s="6">
        <f>_xlfn.XLOOKUP(B98,orders!A:A,orders!B:B)</f>
        <v>277</v>
      </c>
      <c r="M98" s="6" t="str">
        <f>_xlfn.XLOOKUP("C"&amp;TEXT(L98,"000"),customers!A:A,customers!B:B,"Not Found")</f>
        <v>Priya S.</v>
      </c>
    </row>
    <row r="99" spans="1:13">
      <c r="A99">
        <v>98</v>
      </c>
      <c r="B99">
        <v>149</v>
      </c>
      <c r="C99">
        <v>7</v>
      </c>
      <c r="D99" s="4">
        <v>3</v>
      </c>
      <c r="E99">
        <f>_xlfn.XLOOKUP(C99,products!A:A,products!D:D)</f>
        <v>1459</v>
      </c>
      <c r="F99">
        <f t="shared" si="2"/>
        <v>4377</v>
      </c>
      <c r="G99">
        <f>D99*(E99-_xlfn.XLOOKUP(C99,products!A:A,products!E:E))</f>
        <v>1510.0500000000002</v>
      </c>
      <c r="H99" s="6" t="str">
        <f>_xlfn.XLOOKUP(C99,products!A:A,products!C:C)</f>
        <v>Electronics</v>
      </c>
      <c r="I99" s="6" t="str">
        <f>_xlfn.XLOOKUP(C99,products!A:A,products!B:B)</f>
        <v>Monitor</v>
      </c>
      <c r="J99" s="6">
        <f>_xlfn.XLOOKUP(B99,orders!A:A,orders!C:C)</f>
        <v>45802</v>
      </c>
      <c r="K99" s="6" t="str">
        <f t="shared" si="3"/>
        <v>May-2025</v>
      </c>
      <c r="L99" s="6">
        <f>_xlfn.XLOOKUP(B99,orders!A:A,orders!B:B)</f>
        <v>277</v>
      </c>
      <c r="M99" s="6" t="str">
        <f>_xlfn.XLOOKUP("C"&amp;TEXT(L99,"000"),customers!A:A,customers!B:B,"Not Found")</f>
        <v>Priya S.</v>
      </c>
    </row>
    <row r="100" spans="1:13">
      <c r="A100">
        <v>99</v>
      </c>
      <c r="B100">
        <v>150</v>
      </c>
      <c r="C100">
        <v>1</v>
      </c>
      <c r="D100" s="4">
        <v>3</v>
      </c>
      <c r="E100">
        <f>_xlfn.XLOOKUP(C100,products!A:A,products!D:D)</f>
        <v>637</v>
      </c>
      <c r="F100">
        <f t="shared" si="2"/>
        <v>1911</v>
      </c>
      <c r="G100">
        <f>D100*(E100-_xlfn.XLOOKUP(C100,products!A:A,products!E:E))</f>
        <v>831.27</v>
      </c>
      <c r="H100" s="6" t="str">
        <f>_xlfn.XLOOKUP(C100,products!A:A,products!C:C)</f>
        <v>Electronics</v>
      </c>
      <c r="I100" s="6" t="str">
        <f>_xlfn.XLOOKUP(C100,products!A:A,products!B:B)</f>
        <v>Laptop</v>
      </c>
      <c r="J100" s="6">
        <f>_xlfn.XLOOKUP(B100,orders!A:A,orders!C:C)</f>
        <v>45805</v>
      </c>
      <c r="K100" s="6" t="str">
        <f t="shared" si="3"/>
        <v>May-2025</v>
      </c>
      <c r="L100" s="6">
        <f>_xlfn.XLOOKUP(B100,orders!A:A,orders!B:B)</f>
        <v>314</v>
      </c>
      <c r="M100" s="6" t="str">
        <f>_xlfn.XLOOKUP("C"&amp;TEXT(L100,"000"),customers!A:A,customers!B:B,"Not Found")</f>
        <v>Rohit C.</v>
      </c>
    </row>
    <row r="101" spans="1:13">
      <c r="A101">
        <v>100</v>
      </c>
      <c r="B101">
        <v>150</v>
      </c>
      <c r="C101">
        <v>14</v>
      </c>
      <c r="D101" s="4">
        <v>4</v>
      </c>
      <c r="E101">
        <f>_xlfn.XLOOKUP(C101,products!A:A,products!D:D)</f>
        <v>2418</v>
      </c>
      <c r="F101">
        <f t="shared" si="2"/>
        <v>9672</v>
      </c>
      <c r="G101">
        <f>D101*(E101-_xlfn.XLOOKUP(C101,products!A:A,products!E:E))</f>
        <v>3772.08</v>
      </c>
      <c r="H101" s="6" t="str">
        <f>_xlfn.XLOOKUP(C101,products!A:A,products!C:C)</f>
        <v>Fashion</v>
      </c>
      <c r="I101" s="6" t="str">
        <f>_xlfn.XLOOKUP(C101,products!A:A,products!B:B)</f>
        <v>Jacket</v>
      </c>
      <c r="J101" s="6">
        <f>_xlfn.XLOOKUP(B101,orders!A:A,orders!C:C)</f>
        <v>45805</v>
      </c>
      <c r="K101" s="6" t="str">
        <f t="shared" si="3"/>
        <v>May-2025</v>
      </c>
      <c r="L101" s="6">
        <f>_xlfn.XLOOKUP(B101,orders!A:A,orders!B:B)</f>
        <v>314</v>
      </c>
      <c r="M101" s="6" t="str">
        <f>_xlfn.XLOOKUP("C"&amp;TEXT(L101,"000"),customers!A:A,customers!B:B,"Not Found")</f>
        <v>Rohit C.</v>
      </c>
    </row>
    <row r="102" spans="1:13">
      <c r="A102">
        <v>101</v>
      </c>
      <c r="B102">
        <v>151</v>
      </c>
      <c r="C102">
        <v>8</v>
      </c>
      <c r="D102" s="4">
        <v>4</v>
      </c>
      <c r="E102">
        <f>_xlfn.XLOOKUP(C102,products!A:A,products!D:D)</f>
        <v>1596</v>
      </c>
      <c r="F102">
        <f t="shared" si="2"/>
        <v>6384</v>
      </c>
      <c r="G102">
        <f>D102*(E102-_xlfn.XLOOKUP(C102,products!A:A,products!E:E))</f>
        <v>2106.7200000000003</v>
      </c>
      <c r="H102" s="6" t="str">
        <f>_xlfn.XLOOKUP(C102,products!A:A,products!C:C)</f>
        <v>Electronics</v>
      </c>
      <c r="I102" s="6" t="str">
        <f>_xlfn.XLOOKUP(C102,products!A:A,products!B:B)</f>
        <v>Tablet</v>
      </c>
      <c r="J102" s="6">
        <f>_xlfn.XLOOKUP(B102,orders!A:A,orders!C:C)</f>
        <v>45808</v>
      </c>
      <c r="K102" s="6" t="str">
        <f t="shared" si="3"/>
        <v>May-2025</v>
      </c>
      <c r="L102" s="6">
        <f>_xlfn.XLOOKUP(B102,orders!A:A,orders!B:B)</f>
        <v>351</v>
      </c>
      <c r="M102" s="6" t="str">
        <f>_xlfn.XLOOKUP("C"&amp;TEXT(L102,"000"),customers!A:A,customers!B:B,"Not Found")</f>
        <v>Kiran L.</v>
      </c>
    </row>
    <row r="103" spans="1:13">
      <c r="A103">
        <v>102</v>
      </c>
      <c r="B103">
        <v>151</v>
      </c>
      <c r="C103">
        <v>21</v>
      </c>
      <c r="D103" s="4">
        <v>1</v>
      </c>
      <c r="E103">
        <f>_xlfn.XLOOKUP(C103,products!A:A,products!D:D)</f>
        <v>3377</v>
      </c>
      <c r="F103">
        <f t="shared" si="2"/>
        <v>3377</v>
      </c>
      <c r="G103">
        <f>D103*(E103-_xlfn.XLOOKUP(C103,products!A:A,products!E:E))</f>
        <v>1468.99</v>
      </c>
      <c r="H103" s="6" t="str">
        <f>_xlfn.XLOOKUP(C103,products!A:A,products!C:C)</f>
        <v>Home Appliances</v>
      </c>
      <c r="I103" s="6" t="str">
        <f>_xlfn.XLOOKUP(C103,products!A:A,products!B:B)</f>
        <v>Mixer</v>
      </c>
      <c r="J103" s="6">
        <f>_xlfn.XLOOKUP(B103,orders!A:A,orders!C:C)</f>
        <v>45808</v>
      </c>
      <c r="K103" s="6" t="str">
        <f t="shared" si="3"/>
        <v>May-2025</v>
      </c>
      <c r="L103" s="6">
        <f>_xlfn.XLOOKUP(B103,orders!A:A,orders!B:B)</f>
        <v>351</v>
      </c>
      <c r="M103" s="6" t="str">
        <f>_xlfn.XLOOKUP("C"&amp;TEXT(L103,"000"),customers!A:A,customers!B:B,"Not Found")</f>
        <v>Kiran L.</v>
      </c>
    </row>
    <row r="104" spans="1:13">
      <c r="A104">
        <v>103</v>
      </c>
      <c r="B104">
        <v>152</v>
      </c>
      <c r="C104">
        <v>15</v>
      </c>
      <c r="D104" s="4">
        <v>1</v>
      </c>
      <c r="E104">
        <f>_xlfn.XLOOKUP(C104,products!A:A,products!D:D)</f>
        <v>2555</v>
      </c>
      <c r="F104">
        <f t="shared" si="2"/>
        <v>2555</v>
      </c>
      <c r="G104">
        <f>D104*(E104-_xlfn.XLOOKUP(C104,products!A:A,products!E:E))</f>
        <v>958.11999999999989</v>
      </c>
      <c r="H104" s="6" t="str">
        <f>_xlfn.XLOOKUP(C104,products!A:A,products!C:C)</f>
        <v>Fashion</v>
      </c>
      <c r="I104" s="6" t="str">
        <f>_xlfn.XLOOKUP(C104,products!A:A,products!B:B)</f>
        <v>Shoes</v>
      </c>
      <c r="J104" s="6">
        <f>_xlfn.XLOOKUP(B104,orders!A:A,orders!C:C)</f>
        <v>45811</v>
      </c>
      <c r="K104" s="6" t="str">
        <f t="shared" si="3"/>
        <v>Jun-2025</v>
      </c>
      <c r="L104" s="6">
        <f>_xlfn.XLOOKUP(B104,orders!A:A,orders!B:B)</f>
        <v>388</v>
      </c>
      <c r="M104" s="6" t="str">
        <f>_xlfn.XLOOKUP("C"&amp;TEXT(L104,"000"),customers!A:A,customers!B:B,"Not Found")</f>
        <v>Vikram H.</v>
      </c>
    </row>
    <row r="105" spans="1:13">
      <c r="A105">
        <v>104</v>
      </c>
      <c r="B105">
        <v>152</v>
      </c>
      <c r="C105">
        <v>28</v>
      </c>
      <c r="D105" s="4">
        <v>2</v>
      </c>
      <c r="E105">
        <f>_xlfn.XLOOKUP(C105,products!A:A,products!D:D)</f>
        <v>4336</v>
      </c>
      <c r="F105">
        <f t="shared" si="2"/>
        <v>8672</v>
      </c>
      <c r="G105">
        <f>D105*(E105-_xlfn.XLOOKUP(C105,products!A:A,products!E:E))</f>
        <v>2861.76</v>
      </c>
      <c r="H105" s="6" t="str">
        <f>_xlfn.XLOOKUP(C105,products!A:A,products!C:C)</f>
        <v>Home &amp; Kitchen</v>
      </c>
      <c r="I105" s="6" t="str">
        <f>_xlfn.XLOOKUP(C105,products!A:A,products!B:B)</f>
        <v>Bottle</v>
      </c>
      <c r="J105" s="6">
        <f>_xlfn.XLOOKUP(B105,orders!A:A,orders!C:C)</f>
        <v>45811</v>
      </c>
      <c r="K105" s="6" t="str">
        <f t="shared" si="3"/>
        <v>Jun-2025</v>
      </c>
      <c r="L105" s="6">
        <f>_xlfn.XLOOKUP(B105,orders!A:A,orders!B:B)</f>
        <v>388</v>
      </c>
      <c r="M105" s="6" t="str">
        <f>_xlfn.XLOOKUP("C"&amp;TEXT(L105,"000"),customers!A:A,customers!B:B,"Not Found")</f>
        <v>Vikram H.</v>
      </c>
    </row>
    <row r="106" spans="1:13">
      <c r="A106">
        <v>105</v>
      </c>
      <c r="B106">
        <v>153</v>
      </c>
      <c r="C106">
        <v>22</v>
      </c>
      <c r="D106" s="4">
        <v>2</v>
      </c>
      <c r="E106">
        <f>_xlfn.XLOOKUP(C106,products!A:A,products!D:D)</f>
        <v>3514</v>
      </c>
      <c r="F106">
        <f t="shared" si="2"/>
        <v>7028</v>
      </c>
      <c r="G106">
        <f>D106*(E106-_xlfn.XLOOKUP(C106,products!A:A,products!E:E))</f>
        <v>2951.76</v>
      </c>
      <c r="H106" s="6" t="str">
        <f>_xlfn.XLOOKUP(C106,products!A:A,products!C:C)</f>
        <v>Home Appliances</v>
      </c>
      <c r="I106" s="6" t="str">
        <f>_xlfn.XLOOKUP(C106,products!A:A,products!B:B)</f>
        <v>Microwave</v>
      </c>
      <c r="J106" s="6">
        <f>_xlfn.XLOOKUP(B106,orders!A:A,orders!C:C)</f>
        <v>45814</v>
      </c>
      <c r="K106" s="6" t="str">
        <f t="shared" si="3"/>
        <v>Jun-2025</v>
      </c>
      <c r="L106" s="6">
        <f>_xlfn.XLOOKUP(B106,orders!A:A,orders!B:B)</f>
        <v>425</v>
      </c>
      <c r="M106" s="6" t="str">
        <f>_xlfn.XLOOKUP("C"&amp;TEXT(L106,"000"),customers!A:A,customers!B:B,"Not Found")</f>
        <v>Priya J.</v>
      </c>
    </row>
    <row r="107" spans="1:13">
      <c r="A107">
        <v>106</v>
      </c>
      <c r="B107">
        <v>153</v>
      </c>
      <c r="C107">
        <v>35</v>
      </c>
      <c r="D107" s="4">
        <v>3</v>
      </c>
      <c r="E107">
        <f>_xlfn.XLOOKUP(C107,products!A:A,products!D:D)</f>
        <v>5295</v>
      </c>
      <c r="F107">
        <f t="shared" si="2"/>
        <v>15885</v>
      </c>
      <c r="G107">
        <f>D107*(E107-_xlfn.XLOOKUP(C107,products!A:A,products!E:E))</f>
        <v>5956.86</v>
      </c>
      <c r="H107" s="6" t="str">
        <f>_xlfn.XLOOKUP(C107,products!A:A,products!C:C)</f>
        <v>Books</v>
      </c>
      <c r="I107" s="6" t="str">
        <f>_xlfn.XLOOKUP(C107,products!A:A,products!B:B)</f>
        <v>Novel</v>
      </c>
      <c r="J107" s="6">
        <f>_xlfn.XLOOKUP(B107,orders!A:A,orders!C:C)</f>
        <v>45814</v>
      </c>
      <c r="K107" s="6" t="str">
        <f t="shared" si="3"/>
        <v>Jun-2025</v>
      </c>
      <c r="L107" s="6">
        <f>_xlfn.XLOOKUP(B107,orders!A:A,orders!B:B)</f>
        <v>425</v>
      </c>
      <c r="M107" s="6" t="str">
        <f>_xlfn.XLOOKUP("C"&amp;TEXT(L107,"000"),customers!A:A,customers!B:B,"Not Found")</f>
        <v>Priya J.</v>
      </c>
    </row>
    <row r="108" spans="1:13">
      <c r="A108">
        <v>107</v>
      </c>
      <c r="B108">
        <v>154</v>
      </c>
      <c r="C108">
        <v>29</v>
      </c>
      <c r="D108" s="4">
        <v>3</v>
      </c>
      <c r="E108">
        <f>_xlfn.XLOOKUP(C108,products!A:A,products!D:D)</f>
        <v>4473</v>
      </c>
      <c r="F108">
        <f t="shared" si="2"/>
        <v>13419</v>
      </c>
      <c r="G108">
        <f>D108*(E108-_xlfn.XLOOKUP(C108,products!A:A,products!E:E))</f>
        <v>4226.9699999999993</v>
      </c>
      <c r="H108" s="6" t="str">
        <f>_xlfn.XLOOKUP(C108,products!A:A,products!C:C)</f>
        <v>Furniture</v>
      </c>
      <c r="I108" s="6" t="str">
        <f>_xlfn.XLOOKUP(C108,products!A:A,products!B:B)</f>
        <v>Chair</v>
      </c>
      <c r="J108" s="6">
        <f>_xlfn.XLOOKUP(B108,orders!A:A,orders!C:C)</f>
        <v>45817</v>
      </c>
      <c r="K108" s="6" t="str">
        <f t="shared" si="3"/>
        <v>Jun-2025</v>
      </c>
      <c r="L108" s="6">
        <f>_xlfn.XLOOKUP(B108,orders!A:A,orders!B:B)</f>
        <v>462</v>
      </c>
      <c r="M108" s="6" t="str">
        <f>_xlfn.XLOOKUP("C"&amp;TEXT(L108,"000"),customers!A:A,customers!B:B,"Not Found")</f>
        <v>Sneha N.</v>
      </c>
    </row>
    <row r="109" spans="1:13">
      <c r="A109">
        <v>108</v>
      </c>
      <c r="B109">
        <v>154</v>
      </c>
      <c r="C109">
        <v>42</v>
      </c>
      <c r="D109" s="4">
        <v>4</v>
      </c>
      <c r="E109">
        <f>_xlfn.XLOOKUP(C109,products!A:A,products!D:D)</f>
        <v>6254</v>
      </c>
      <c r="F109">
        <f t="shared" si="2"/>
        <v>25016</v>
      </c>
      <c r="G109">
        <f>D109*(E109-_xlfn.XLOOKUP(C109,products!A:A,products!E:E))</f>
        <v>10506.72</v>
      </c>
      <c r="H109" s="6" t="str">
        <f>_xlfn.XLOOKUP(C109,products!A:A,products!C:C)</f>
        <v>Beauty</v>
      </c>
      <c r="I109" s="6" t="str">
        <f>_xlfn.XLOOKUP(C109,products!A:A,products!B:B)</f>
        <v>Shampoo</v>
      </c>
      <c r="J109" s="6">
        <f>_xlfn.XLOOKUP(B109,orders!A:A,orders!C:C)</f>
        <v>45817</v>
      </c>
      <c r="K109" s="6" t="str">
        <f t="shared" si="3"/>
        <v>Jun-2025</v>
      </c>
      <c r="L109" s="6">
        <f>_xlfn.XLOOKUP(B109,orders!A:A,orders!B:B)</f>
        <v>462</v>
      </c>
      <c r="M109" s="6" t="str">
        <f>_xlfn.XLOOKUP("C"&amp;TEXT(L109,"000"),customers!A:A,customers!B:B,"Not Found")</f>
        <v>Sneha N.</v>
      </c>
    </row>
    <row r="110" spans="1:13">
      <c r="A110">
        <v>109</v>
      </c>
      <c r="B110">
        <v>155</v>
      </c>
      <c r="C110">
        <v>36</v>
      </c>
      <c r="D110" s="4">
        <v>4</v>
      </c>
      <c r="E110">
        <f>_xlfn.XLOOKUP(C110,products!A:A,products!D:D)</f>
        <v>5432</v>
      </c>
      <c r="F110">
        <f t="shared" si="2"/>
        <v>21728</v>
      </c>
      <c r="G110">
        <f>D110*(E110-_xlfn.XLOOKUP(C110,products!A:A,products!E:E))</f>
        <v>7822.08</v>
      </c>
      <c r="H110" s="6" t="str">
        <f>_xlfn.XLOOKUP(C110,products!A:A,products!C:C)</f>
        <v>Sports</v>
      </c>
      <c r="I110" s="6" t="str">
        <f>_xlfn.XLOOKUP(C110,products!A:A,products!B:B)</f>
        <v>Cricket Bat</v>
      </c>
      <c r="J110" s="6">
        <f>_xlfn.XLOOKUP(B110,orders!A:A,orders!C:C)</f>
        <v>45820</v>
      </c>
      <c r="K110" s="6" t="str">
        <f t="shared" si="3"/>
        <v>Jun-2025</v>
      </c>
      <c r="L110" s="6">
        <f>_xlfn.XLOOKUP(B110,orders!A:A,orders!B:B)</f>
        <v>499</v>
      </c>
      <c r="M110" s="6" t="str">
        <f>_xlfn.XLOOKUP("C"&amp;TEXT(L110,"000"),customers!A:A,customers!B:B,"Not Found")</f>
        <v>Amit H.</v>
      </c>
    </row>
    <row r="111" spans="1:13">
      <c r="A111">
        <v>110</v>
      </c>
      <c r="B111">
        <v>155</v>
      </c>
      <c r="C111">
        <v>49</v>
      </c>
      <c r="D111" s="4">
        <v>1</v>
      </c>
      <c r="E111">
        <f>_xlfn.XLOOKUP(C111,products!A:A,products!D:D)</f>
        <v>7213</v>
      </c>
      <c r="F111">
        <f t="shared" si="2"/>
        <v>7213</v>
      </c>
      <c r="G111">
        <f>D111*(E111-_xlfn.XLOOKUP(C111,products!A:A,products!E:E))</f>
        <v>2272.09</v>
      </c>
      <c r="H111" s="6" t="str">
        <f>_xlfn.XLOOKUP(C111,products!A:A,products!C:C)</f>
        <v>Toys</v>
      </c>
      <c r="I111" s="6" t="str">
        <f>_xlfn.XLOOKUP(C111,products!A:A,products!B:B)</f>
        <v>Remote Car</v>
      </c>
      <c r="J111" s="6">
        <f>_xlfn.XLOOKUP(B111,orders!A:A,orders!C:C)</f>
        <v>45820</v>
      </c>
      <c r="K111" s="6" t="str">
        <f t="shared" si="3"/>
        <v>Jun-2025</v>
      </c>
      <c r="L111" s="6">
        <f>_xlfn.XLOOKUP(B111,orders!A:A,orders!B:B)</f>
        <v>499</v>
      </c>
      <c r="M111" s="6" t="str">
        <f>_xlfn.XLOOKUP("C"&amp;TEXT(L111,"000"),customers!A:A,customers!B:B,"Not Found")</f>
        <v>Amit H.</v>
      </c>
    </row>
    <row r="112" spans="1:13">
      <c r="A112">
        <v>111</v>
      </c>
      <c r="B112">
        <v>156</v>
      </c>
      <c r="C112">
        <v>43</v>
      </c>
      <c r="D112" s="4">
        <v>1</v>
      </c>
      <c r="E112">
        <f>_xlfn.XLOOKUP(C112,products!A:A,products!D:D)</f>
        <v>6391</v>
      </c>
      <c r="F112">
        <f t="shared" si="2"/>
        <v>6391</v>
      </c>
      <c r="G112">
        <f>D112*(E112-_xlfn.XLOOKUP(C112,products!A:A,products!E:E))</f>
        <v>2588.35</v>
      </c>
      <c r="H112" s="6" t="str">
        <f>_xlfn.XLOOKUP(C112,products!A:A,products!C:C)</f>
        <v>Beauty</v>
      </c>
      <c r="I112" s="6" t="str">
        <f>_xlfn.XLOOKUP(C112,products!A:A,products!B:B)</f>
        <v>Perfume</v>
      </c>
      <c r="J112" s="6">
        <f>_xlfn.XLOOKUP(B112,orders!A:A,orders!C:C)</f>
        <v>45823</v>
      </c>
      <c r="K112" s="6" t="str">
        <f t="shared" si="3"/>
        <v>Jun-2025</v>
      </c>
      <c r="L112" s="6">
        <f>_xlfn.XLOOKUP(B112,orders!A:A,orders!B:B)</f>
        <v>36</v>
      </c>
      <c r="M112" s="6" t="str">
        <f>_xlfn.XLOOKUP("C"&amp;TEXT(L112,"000"),customers!A:A,customers!B:B,"Not Found")</f>
        <v>Sneha I.</v>
      </c>
    </row>
    <row r="113" spans="1:13">
      <c r="A113">
        <v>112</v>
      </c>
      <c r="B113">
        <v>156</v>
      </c>
      <c r="C113">
        <v>6</v>
      </c>
      <c r="D113" s="4">
        <v>2</v>
      </c>
      <c r="E113">
        <f>_xlfn.XLOOKUP(C113,products!A:A,products!D:D)</f>
        <v>1322</v>
      </c>
      <c r="F113">
        <f t="shared" si="2"/>
        <v>2644</v>
      </c>
      <c r="G113">
        <f>D113*(E113-_xlfn.XLOOKUP(C113,products!A:A,products!E:E))</f>
        <v>951.83999999999992</v>
      </c>
      <c r="H113" s="6" t="str">
        <f>_xlfn.XLOOKUP(C113,products!A:A,products!C:C)</f>
        <v>Electronics</v>
      </c>
      <c r="I113" s="6" t="str">
        <f>_xlfn.XLOOKUP(C113,products!A:A,products!B:B)</f>
        <v>Mouse</v>
      </c>
      <c r="J113" s="6">
        <f>_xlfn.XLOOKUP(B113,orders!A:A,orders!C:C)</f>
        <v>45823</v>
      </c>
      <c r="K113" s="6" t="str">
        <f t="shared" si="3"/>
        <v>Jun-2025</v>
      </c>
      <c r="L113" s="6">
        <f>_xlfn.XLOOKUP(B113,orders!A:A,orders!B:B)</f>
        <v>36</v>
      </c>
      <c r="M113" s="6" t="str">
        <f>_xlfn.XLOOKUP("C"&amp;TEXT(L113,"000"),customers!A:A,customers!B:B,"Not Found")</f>
        <v>Sneha I.</v>
      </c>
    </row>
    <row r="114" spans="1:13">
      <c r="A114">
        <v>113</v>
      </c>
      <c r="B114">
        <v>157</v>
      </c>
      <c r="C114">
        <v>50</v>
      </c>
      <c r="D114" s="4">
        <v>2</v>
      </c>
      <c r="E114">
        <f>_xlfn.XLOOKUP(C114,products!A:A,products!D:D)</f>
        <v>7350</v>
      </c>
      <c r="F114">
        <f t="shared" si="2"/>
        <v>14700</v>
      </c>
      <c r="G114">
        <f>D114*(E114-_xlfn.XLOOKUP(C114,products!A:A,products!E:E))</f>
        <v>6615</v>
      </c>
      <c r="H114" s="6" t="str">
        <f>_xlfn.XLOOKUP(C114,products!A:A,products!C:C)</f>
        <v>Toys</v>
      </c>
      <c r="I114" s="6" t="str">
        <f>_xlfn.XLOOKUP(C114,products!A:A,products!B:B)</f>
        <v>Building Blocks</v>
      </c>
      <c r="J114" s="6">
        <f>_xlfn.XLOOKUP(B114,orders!A:A,orders!C:C)</f>
        <v>45826</v>
      </c>
      <c r="K114" s="6" t="str">
        <f t="shared" si="3"/>
        <v>Jun-2025</v>
      </c>
      <c r="L114" s="6">
        <f>_xlfn.XLOOKUP(B114,orders!A:A,orders!B:B)</f>
        <v>73</v>
      </c>
      <c r="M114" s="6" t="str">
        <f>_xlfn.XLOOKUP("C"&amp;TEXT(L114,"000"),customers!A:A,customers!B:B,"Not Found")</f>
        <v>Vikram Q.</v>
      </c>
    </row>
    <row r="115" spans="1:13">
      <c r="A115">
        <v>114</v>
      </c>
      <c r="B115">
        <v>157</v>
      </c>
      <c r="C115">
        <v>13</v>
      </c>
      <c r="D115" s="4">
        <v>3</v>
      </c>
      <c r="E115">
        <f>_xlfn.XLOOKUP(C115,products!A:A,products!D:D)</f>
        <v>2281</v>
      </c>
      <c r="F115">
        <f t="shared" si="2"/>
        <v>6843</v>
      </c>
      <c r="G115">
        <f>D115*(E115-_xlfn.XLOOKUP(C115,products!A:A,products!E:E))</f>
        <v>2771.3999999999996</v>
      </c>
      <c r="H115" s="6" t="str">
        <f>_xlfn.XLOOKUP(C115,products!A:A,products!C:C)</f>
        <v>Fashion</v>
      </c>
      <c r="I115" s="6" t="str">
        <f>_xlfn.XLOOKUP(C115,products!A:A,products!B:B)</f>
        <v>Shirt</v>
      </c>
      <c r="J115" s="6">
        <f>_xlfn.XLOOKUP(B115,orders!A:A,orders!C:C)</f>
        <v>45826</v>
      </c>
      <c r="K115" s="6" t="str">
        <f t="shared" si="3"/>
        <v>Jun-2025</v>
      </c>
      <c r="L115" s="6">
        <f>_xlfn.XLOOKUP(B115,orders!A:A,orders!B:B)</f>
        <v>73</v>
      </c>
      <c r="M115" s="6" t="str">
        <f>_xlfn.XLOOKUP("C"&amp;TEXT(L115,"000"),customers!A:A,customers!B:B,"Not Found")</f>
        <v>Vikram Q.</v>
      </c>
    </row>
    <row r="116" spans="1:13">
      <c r="A116">
        <v>115</v>
      </c>
      <c r="B116">
        <v>158</v>
      </c>
      <c r="C116">
        <v>7</v>
      </c>
      <c r="D116" s="4">
        <v>3</v>
      </c>
      <c r="E116">
        <f>_xlfn.XLOOKUP(C116,products!A:A,products!D:D)</f>
        <v>1459</v>
      </c>
      <c r="F116">
        <f t="shared" si="2"/>
        <v>4377</v>
      </c>
      <c r="G116">
        <f>D116*(E116-_xlfn.XLOOKUP(C116,products!A:A,products!E:E))</f>
        <v>1510.0500000000002</v>
      </c>
      <c r="H116" s="6" t="str">
        <f>_xlfn.XLOOKUP(C116,products!A:A,products!C:C)</f>
        <v>Electronics</v>
      </c>
      <c r="I116" s="6" t="str">
        <f>_xlfn.XLOOKUP(C116,products!A:A,products!B:B)</f>
        <v>Monitor</v>
      </c>
      <c r="J116" s="6">
        <f>_xlfn.XLOOKUP(B116,orders!A:A,orders!C:C)</f>
        <v>45829</v>
      </c>
      <c r="K116" s="6" t="str">
        <f t="shared" si="3"/>
        <v>Jun-2025</v>
      </c>
      <c r="L116" s="6">
        <f>_xlfn.XLOOKUP(B116,orders!A:A,orders!B:B)</f>
        <v>110</v>
      </c>
      <c r="M116" s="6" t="str">
        <f>_xlfn.XLOOKUP("C"&amp;TEXT(L116,"000"),customers!A:A,customers!B:B,"Not Found")</f>
        <v>Lakshmi H.</v>
      </c>
    </row>
    <row r="117" spans="1:13">
      <c r="A117">
        <v>116</v>
      </c>
      <c r="B117">
        <v>158</v>
      </c>
      <c r="C117">
        <v>20</v>
      </c>
      <c r="D117" s="4">
        <v>4</v>
      </c>
      <c r="E117">
        <f>_xlfn.XLOOKUP(C117,products!A:A,products!D:D)</f>
        <v>3240</v>
      </c>
      <c r="F117">
        <f t="shared" si="2"/>
        <v>12960</v>
      </c>
      <c r="G117">
        <f>D117*(E117-_xlfn.XLOOKUP(C117,products!A:A,products!E:E))</f>
        <v>5832</v>
      </c>
      <c r="H117" s="6" t="str">
        <f>_xlfn.XLOOKUP(C117,products!A:A,products!C:C)</f>
        <v>Fashion</v>
      </c>
      <c r="I117" s="6" t="str">
        <f>_xlfn.XLOOKUP(C117,products!A:A,products!B:B)</f>
        <v>Belt</v>
      </c>
      <c r="J117" s="6">
        <f>_xlfn.XLOOKUP(B117,orders!A:A,orders!C:C)</f>
        <v>45829</v>
      </c>
      <c r="K117" s="6" t="str">
        <f t="shared" si="3"/>
        <v>Jun-2025</v>
      </c>
      <c r="L117" s="6">
        <f>_xlfn.XLOOKUP(B117,orders!A:A,orders!B:B)</f>
        <v>110</v>
      </c>
      <c r="M117" s="6" t="str">
        <f>_xlfn.XLOOKUP("C"&amp;TEXT(L117,"000"),customers!A:A,customers!B:B,"Not Found")</f>
        <v>Lakshmi H.</v>
      </c>
    </row>
    <row r="118" spans="1:13">
      <c r="A118">
        <v>117</v>
      </c>
      <c r="B118">
        <v>159</v>
      </c>
      <c r="C118">
        <v>14</v>
      </c>
      <c r="D118" s="4">
        <v>4</v>
      </c>
      <c r="E118">
        <f>_xlfn.XLOOKUP(C118,products!A:A,products!D:D)</f>
        <v>2418</v>
      </c>
      <c r="F118">
        <f t="shared" si="2"/>
        <v>9672</v>
      </c>
      <c r="G118">
        <f>D118*(E118-_xlfn.XLOOKUP(C118,products!A:A,products!E:E))</f>
        <v>3772.08</v>
      </c>
      <c r="H118" s="6" t="str">
        <f>_xlfn.XLOOKUP(C118,products!A:A,products!C:C)</f>
        <v>Fashion</v>
      </c>
      <c r="I118" s="6" t="str">
        <f>_xlfn.XLOOKUP(C118,products!A:A,products!B:B)</f>
        <v>Jacket</v>
      </c>
      <c r="J118" s="6">
        <f>_xlfn.XLOOKUP(B118,orders!A:A,orders!C:C)</f>
        <v>45832</v>
      </c>
      <c r="K118" s="6" t="str">
        <f t="shared" si="3"/>
        <v>Jun-2025</v>
      </c>
      <c r="L118" s="6">
        <f>_xlfn.XLOOKUP(B118,orders!A:A,orders!B:B)</f>
        <v>147</v>
      </c>
      <c r="M118" s="6" t="str">
        <f>_xlfn.XLOOKUP("C"&amp;TEXT(L118,"000"),customers!A:A,customers!B:B,"Not Found")</f>
        <v>Rohit S.</v>
      </c>
    </row>
    <row r="119" spans="1:13">
      <c r="A119">
        <v>118</v>
      </c>
      <c r="B119">
        <v>159</v>
      </c>
      <c r="C119">
        <v>27</v>
      </c>
      <c r="D119" s="4">
        <v>1</v>
      </c>
      <c r="E119">
        <f>_xlfn.XLOOKUP(C119,products!A:A,products!D:D)</f>
        <v>4199</v>
      </c>
      <c r="F119">
        <f t="shared" si="2"/>
        <v>4199</v>
      </c>
      <c r="G119">
        <f>D119*(E119-_xlfn.XLOOKUP(C119,products!A:A,products!E:E))</f>
        <v>1448.65</v>
      </c>
      <c r="H119" s="6" t="str">
        <f>_xlfn.XLOOKUP(C119,products!A:A,products!C:C)</f>
        <v>Home &amp; Kitchen</v>
      </c>
      <c r="I119" s="6" t="str">
        <f>_xlfn.XLOOKUP(C119,products!A:A,products!B:B)</f>
        <v>Cookware Set</v>
      </c>
      <c r="J119" s="6">
        <f>_xlfn.XLOOKUP(B119,orders!A:A,orders!C:C)</f>
        <v>45832</v>
      </c>
      <c r="K119" s="6" t="str">
        <f t="shared" si="3"/>
        <v>Jun-2025</v>
      </c>
      <c r="L119" s="6">
        <f>_xlfn.XLOOKUP(B119,orders!A:A,orders!B:B)</f>
        <v>147</v>
      </c>
      <c r="M119" s="6" t="str">
        <f>_xlfn.XLOOKUP("C"&amp;TEXT(L119,"000"),customers!A:A,customers!B:B,"Not Found")</f>
        <v>Rohit S.</v>
      </c>
    </row>
    <row r="120" spans="1:13">
      <c r="A120">
        <v>119</v>
      </c>
      <c r="B120">
        <v>160</v>
      </c>
      <c r="C120">
        <v>21</v>
      </c>
      <c r="D120" s="4">
        <v>1</v>
      </c>
      <c r="E120">
        <f>_xlfn.XLOOKUP(C120,products!A:A,products!D:D)</f>
        <v>3377</v>
      </c>
      <c r="F120">
        <f t="shared" si="2"/>
        <v>3377</v>
      </c>
      <c r="G120">
        <f>D120*(E120-_xlfn.XLOOKUP(C120,products!A:A,products!E:E))</f>
        <v>1468.99</v>
      </c>
      <c r="H120" s="6" t="str">
        <f>_xlfn.XLOOKUP(C120,products!A:A,products!C:C)</f>
        <v>Home Appliances</v>
      </c>
      <c r="I120" s="6" t="str">
        <f>_xlfn.XLOOKUP(C120,products!A:A,products!B:B)</f>
        <v>Mixer</v>
      </c>
      <c r="J120" s="6">
        <f>_xlfn.XLOOKUP(B120,orders!A:A,orders!C:C)</f>
        <v>45835</v>
      </c>
      <c r="K120" s="6" t="str">
        <f t="shared" si="3"/>
        <v>Jun-2025</v>
      </c>
      <c r="L120" s="6">
        <f>_xlfn.XLOOKUP(B120,orders!A:A,orders!B:B)</f>
        <v>184</v>
      </c>
      <c r="M120" s="6" t="str">
        <f>_xlfn.XLOOKUP("C"&amp;TEXT(L120,"000"),customers!A:A,customers!B:B,"Not Found")</f>
        <v>Meena B.</v>
      </c>
    </row>
    <row r="121" spans="1:13">
      <c r="A121">
        <v>120</v>
      </c>
      <c r="B121">
        <v>160</v>
      </c>
      <c r="C121">
        <v>34</v>
      </c>
      <c r="D121" s="4">
        <v>2</v>
      </c>
      <c r="E121">
        <f>_xlfn.XLOOKUP(C121,products!A:A,products!D:D)</f>
        <v>5158</v>
      </c>
      <c r="F121">
        <f t="shared" si="2"/>
        <v>10316</v>
      </c>
      <c r="G121">
        <f>D121*(E121-_xlfn.XLOOKUP(C121,products!A:A,products!E:E))</f>
        <v>4023.24</v>
      </c>
      <c r="H121" s="6" t="str">
        <f>_xlfn.XLOOKUP(C121,products!A:A,products!C:C)</f>
        <v>Books</v>
      </c>
      <c r="I121" s="6" t="str">
        <f>_xlfn.XLOOKUP(C121,products!A:A,products!B:B)</f>
        <v>Cookbook</v>
      </c>
      <c r="J121" s="6">
        <f>_xlfn.XLOOKUP(B121,orders!A:A,orders!C:C)</f>
        <v>45835</v>
      </c>
      <c r="K121" s="6" t="str">
        <f t="shared" si="3"/>
        <v>Jun-2025</v>
      </c>
      <c r="L121" s="6">
        <f>_xlfn.XLOOKUP(B121,orders!A:A,orders!B:B)</f>
        <v>184</v>
      </c>
      <c r="M121" s="6" t="str">
        <f>_xlfn.XLOOKUP("C"&amp;TEXT(L121,"000"),customers!A:A,customers!B:B,"Not Found")</f>
        <v>Meena B.</v>
      </c>
    </row>
    <row r="122" spans="1:13">
      <c r="A122">
        <v>121</v>
      </c>
      <c r="B122">
        <v>161</v>
      </c>
      <c r="C122">
        <v>28</v>
      </c>
      <c r="D122" s="4">
        <v>2</v>
      </c>
      <c r="E122">
        <f>_xlfn.XLOOKUP(C122,products!A:A,products!D:D)</f>
        <v>4336</v>
      </c>
      <c r="F122">
        <f t="shared" si="2"/>
        <v>8672</v>
      </c>
      <c r="G122">
        <f>D122*(E122-_xlfn.XLOOKUP(C122,products!A:A,products!E:E))</f>
        <v>2861.76</v>
      </c>
      <c r="H122" s="6" t="str">
        <f>_xlfn.XLOOKUP(C122,products!A:A,products!C:C)</f>
        <v>Home &amp; Kitchen</v>
      </c>
      <c r="I122" s="6" t="str">
        <f>_xlfn.XLOOKUP(C122,products!A:A,products!B:B)</f>
        <v>Bottle</v>
      </c>
      <c r="J122" s="6">
        <f>_xlfn.XLOOKUP(B122,orders!A:A,orders!C:C)</f>
        <v>45838</v>
      </c>
      <c r="K122" s="6" t="str">
        <f t="shared" si="3"/>
        <v>Jun-2025</v>
      </c>
      <c r="L122" s="6">
        <f>_xlfn.XLOOKUP(B122,orders!A:A,orders!B:B)</f>
        <v>221</v>
      </c>
      <c r="M122" s="6" t="str">
        <f>_xlfn.XLOOKUP("C"&amp;TEXT(L122,"000"),customers!A:A,customers!B:B,"Not Found")</f>
        <v>Kavya S.</v>
      </c>
    </row>
    <row r="123" spans="1:13">
      <c r="A123">
        <v>122</v>
      </c>
      <c r="B123">
        <v>161</v>
      </c>
      <c r="C123">
        <v>41</v>
      </c>
      <c r="D123" s="4">
        <v>3</v>
      </c>
      <c r="E123">
        <f>_xlfn.XLOOKUP(C123,products!A:A,products!D:D)</f>
        <v>6117</v>
      </c>
      <c r="F123">
        <f t="shared" si="2"/>
        <v>18351</v>
      </c>
      <c r="G123">
        <f>D123*(E123-_xlfn.XLOOKUP(C123,products!A:A,products!E:E))</f>
        <v>7982.67</v>
      </c>
      <c r="H123" s="6" t="str">
        <f>_xlfn.XLOOKUP(C123,products!A:A,products!C:C)</f>
        <v>Beauty</v>
      </c>
      <c r="I123" s="6" t="str">
        <f>_xlfn.XLOOKUP(C123,products!A:A,products!B:B)</f>
        <v>Face Wash</v>
      </c>
      <c r="J123" s="6">
        <f>_xlfn.XLOOKUP(B123,orders!A:A,orders!C:C)</f>
        <v>45838</v>
      </c>
      <c r="K123" s="6" t="str">
        <f t="shared" si="3"/>
        <v>Jun-2025</v>
      </c>
      <c r="L123" s="6">
        <f>_xlfn.XLOOKUP(B123,orders!A:A,orders!B:B)</f>
        <v>221</v>
      </c>
      <c r="M123" s="6" t="str">
        <f>_xlfn.XLOOKUP("C"&amp;TEXT(L123,"000"),customers!A:A,customers!B:B,"Not Found")</f>
        <v>Kavya S.</v>
      </c>
    </row>
    <row r="124" spans="1:13">
      <c r="A124">
        <v>123</v>
      </c>
      <c r="B124">
        <v>162</v>
      </c>
      <c r="C124">
        <v>35</v>
      </c>
      <c r="D124" s="4">
        <v>3</v>
      </c>
      <c r="E124">
        <f>_xlfn.XLOOKUP(C124,products!A:A,products!D:D)</f>
        <v>5295</v>
      </c>
      <c r="F124">
        <f t="shared" si="2"/>
        <v>15885</v>
      </c>
      <c r="G124">
        <f>D124*(E124-_xlfn.XLOOKUP(C124,products!A:A,products!E:E))</f>
        <v>5956.86</v>
      </c>
      <c r="H124" s="6" t="str">
        <f>_xlfn.XLOOKUP(C124,products!A:A,products!C:C)</f>
        <v>Books</v>
      </c>
      <c r="I124" s="6" t="str">
        <f>_xlfn.XLOOKUP(C124,products!A:A,products!B:B)</f>
        <v>Novel</v>
      </c>
      <c r="J124" s="6">
        <f>_xlfn.XLOOKUP(B124,orders!A:A,orders!C:C)</f>
        <v>45841</v>
      </c>
      <c r="K124" s="6" t="str">
        <f t="shared" si="3"/>
        <v>Jul-2025</v>
      </c>
      <c r="L124" s="6">
        <f>_xlfn.XLOOKUP(B124,orders!A:A,orders!B:B)</f>
        <v>258</v>
      </c>
      <c r="M124" s="6" t="str">
        <f>_xlfn.XLOOKUP("C"&amp;TEXT(L124,"000"),customers!A:A,customers!B:B,"Not Found")</f>
        <v>Arjun E.</v>
      </c>
    </row>
    <row r="125" spans="1:13">
      <c r="A125">
        <v>124</v>
      </c>
      <c r="B125">
        <v>162</v>
      </c>
      <c r="C125">
        <v>48</v>
      </c>
      <c r="D125" s="4">
        <v>4</v>
      </c>
      <c r="E125">
        <f>_xlfn.XLOOKUP(C125,products!A:A,products!D:D)</f>
        <v>7076</v>
      </c>
      <c r="F125">
        <f t="shared" si="2"/>
        <v>28304</v>
      </c>
      <c r="G125">
        <f>D125*(E125-_xlfn.XLOOKUP(C125,products!A:A,products!E:E))</f>
        <v>9340.32</v>
      </c>
      <c r="H125" s="6" t="str">
        <f>_xlfn.XLOOKUP(C125,products!A:A,products!C:C)</f>
        <v>Toys</v>
      </c>
      <c r="I125" s="6" t="str">
        <f>_xlfn.XLOOKUP(C125,products!A:A,products!B:B)</f>
        <v>Board Game</v>
      </c>
      <c r="J125" s="6">
        <f>_xlfn.XLOOKUP(B125,orders!A:A,orders!C:C)</f>
        <v>45841</v>
      </c>
      <c r="K125" s="6" t="str">
        <f t="shared" si="3"/>
        <v>Jul-2025</v>
      </c>
      <c r="L125" s="6">
        <f>_xlfn.XLOOKUP(B125,orders!A:A,orders!B:B)</f>
        <v>258</v>
      </c>
      <c r="M125" s="6" t="str">
        <f>_xlfn.XLOOKUP("C"&amp;TEXT(L125,"000"),customers!A:A,customers!B:B,"Not Found")</f>
        <v>Arjun E.</v>
      </c>
    </row>
    <row r="126" spans="1:13">
      <c r="A126">
        <v>125</v>
      </c>
      <c r="B126">
        <v>163</v>
      </c>
      <c r="C126">
        <v>42</v>
      </c>
      <c r="D126" s="4">
        <v>4</v>
      </c>
      <c r="E126">
        <f>_xlfn.XLOOKUP(C126,products!A:A,products!D:D)</f>
        <v>6254</v>
      </c>
      <c r="F126">
        <f t="shared" si="2"/>
        <v>25016</v>
      </c>
      <c r="G126">
        <f>D126*(E126-_xlfn.XLOOKUP(C126,products!A:A,products!E:E))</f>
        <v>10506.72</v>
      </c>
      <c r="H126" s="6" t="str">
        <f>_xlfn.XLOOKUP(C126,products!A:A,products!C:C)</f>
        <v>Beauty</v>
      </c>
      <c r="I126" s="6" t="str">
        <f>_xlfn.XLOOKUP(C126,products!A:A,products!B:B)</f>
        <v>Shampoo</v>
      </c>
      <c r="J126" s="6">
        <f>_xlfn.XLOOKUP(B126,orders!A:A,orders!C:C)</f>
        <v>45844</v>
      </c>
      <c r="K126" s="6" t="str">
        <f t="shared" si="3"/>
        <v>Jul-2025</v>
      </c>
      <c r="L126" s="6">
        <f>_xlfn.XLOOKUP(B126,orders!A:A,orders!B:B)</f>
        <v>295</v>
      </c>
      <c r="M126" s="6" t="str">
        <f>_xlfn.XLOOKUP("C"&amp;TEXT(L126,"000"),customers!A:A,customers!B:B,"Not Found")</f>
        <v>Divya B.</v>
      </c>
    </row>
    <row r="127" spans="1:13">
      <c r="A127">
        <v>126</v>
      </c>
      <c r="B127">
        <v>163</v>
      </c>
      <c r="C127">
        <v>5</v>
      </c>
      <c r="D127" s="4">
        <v>1</v>
      </c>
      <c r="E127">
        <f>_xlfn.XLOOKUP(C127,products!A:A,products!D:D)</f>
        <v>1185</v>
      </c>
      <c r="F127">
        <f t="shared" si="2"/>
        <v>1185</v>
      </c>
      <c r="G127">
        <f>D127*(E127-_xlfn.XLOOKUP(C127,products!A:A,products!E:E))</f>
        <v>444.38</v>
      </c>
      <c r="H127" s="6" t="str">
        <f>_xlfn.XLOOKUP(C127,products!A:A,products!C:C)</f>
        <v>Electronics</v>
      </c>
      <c r="I127" s="6" t="str">
        <f>_xlfn.XLOOKUP(C127,products!A:A,products!B:B)</f>
        <v>Keyboard</v>
      </c>
      <c r="J127" s="6">
        <f>_xlfn.XLOOKUP(B127,orders!A:A,orders!C:C)</f>
        <v>45844</v>
      </c>
      <c r="K127" s="6" t="str">
        <f t="shared" si="3"/>
        <v>Jul-2025</v>
      </c>
      <c r="L127" s="6">
        <f>_xlfn.XLOOKUP(B127,orders!A:A,orders!B:B)</f>
        <v>295</v>
      </c>
      <c r="M127" s="6" t="str">
        <f>_xlfn.XLOOKUP("C"&amp;TEXT(L127,"000"),customers!A:A,customers!B:B,"Not Found")</f>
        <v>Divya B.</v>
      </c>
    </row>
    <row r="128" spans="1:13">
      <c r="A128">
        <v>127</v>
      </c>
      <c r="B128">
        <v>164</v>
      </c>
      <c r="C128">
        <v>49</v>
      </c>
      <c r="D128" s="4">
        <v>1</v>
      </c>
      <c r="E128">
        <f>_xlfn.XLOOKUP(C128,products!A:A,products!D:D)</f>
        <v>7213</v>
      </c>
      <c r="F128">
        <f t="shared" si="2"/>
        <v>7213</v>
      </c>
      <c r="G128">
        <f>D128*(E128-_xlfn.XLOOKUP(C128,products!A:A,products!E:E))</f>
        <v>2272.09</v>
      </c>
      <c r="H128" s="6" t="str">
        <f>_xlfn.XLOOKUP(C128,products!A:A,products!C:C)</f>
        <v>Toys</v>
      </c>
      <c r="I128" s="6" t="str">
        <f>_xlfn.XLOOKUP(C128,products!A:A,products!B:B)</f>
        <v>Remote Car</v>
      </c>
      <c r="J128" s="6">
        <f>_xlfn.XLOOKUP(B128,orders!A:A,orders!C:C)</f>
        <v>45847</v>
      </c>
      <c r="K128" s="6" t="str">
        <f t="shared" si="3"/>
        <v>Jul-2025</v>
      </c>
      <c r="L128" s="6">
        <f>_xlfn.XLOOKUP(B128,orders!A:A,orders!B:B)</f>
        <v>332</v>
      </c>
      <c r="M128" s="6" t="str">
        <f>_xlfn.XLOOKUP("C"&amp;TEXT(L128,"000"),customers!A:A,customers!B:B,"Not Found")</f>
        <v>Amit U.</v>
      </c>
    </row>
    <row r="129" spans="1:13">
      <c r="A129">
        <v>128</v>
      </c>
      <c r="B129">
        <v>164</v>
      </c>
      <c r="C129">
        <v>12</v>
      </c>
      <c r="D129" s="4">
        <v>2</v>
      </c>
      <c r="E129">
        <f>_xlfn.XLOOKUP(C129,products!A:A,products!D:D)</f>
        <v>2144</v>
      </c>
      <c r="F129">
        <f t="shared" si="2"/>
        <v>4288</v>
      </c>
      <c r="G129">
        <f>D129*(E129-_xlfn.XLOOKUP(C129,products!A:A,products!E:E))</f>
        <v>1800.96</v>
      </c>
      <c r="H129" s="6" t="str">
        <f>_xlfn.XLOOKUP(C129,products!A:A,products!C:C)</f>
        <v>Fashion</v>
      </c>
      <c r="I129" s="6" t="str">
        <f>_xlfn.XLOOKUP(C129,products!A:A,products!B:B)</f>
        <v>Jeans</v>
      </c>
      <c r="J129" s="6">
        <f>_xlfn.XLOOKUP(B129,orders!A:A,orders!C:C)</f>
        <v>45847</v>
      </c>
      <c r="K129" s="6" t="str">
        <f t="shared" si="3"/>
        <v>Jul-2025</v>
      </c>
      <c r="L129" s="6">
        <f>_xlfn.XLOOKUP(B129,orders!A:A,orders!B:B)</f>
        <v>332</v>
      </c>
      <c r="M129" s="6" t="str">
        <f>_xlfn.XLOOKUP("C"&amp;TEXT(L129,"000"),customers!A:A,customers!B:B,"Not Found")</f>
        <v>Amit U.</v>
      </c>
    </row>
    <row r="130" spans="1:13">
      <c r="A130">
        <v>129</v>
      </c>
      <c r="B130">
        <v>165</v>
      </c>
      <c r="C130">
        <v>6</v>
      </c>
      <c r="D130" s="4">
        <v>2</v>
      </c>
      <c r="E130">
        <f>_xlfn.XLOOKUP(C130,products!A:A,products!D:D)</f>
        <v>1322</v>
      </c>
      <c r="F130">
        <f t="shared" ref="F130:F193" si="4">D130*E130</f>
        <v>2644</v>
      </c>
      <c r="G130">
        <f>D130*(E130-_xlfn.XLOOKUP(C130,products!A:A,products!E:E))</f>
        <v>951.83999999999992</v>
      </c>
      <c r="H130" s="6" t="str">
        <f>_xlfn.XLOOKUP(C130,products!A:A,products!C:C)</f>
        <v>Electronics</v>
      </c>
      <c r="I130" s="6" t="str">
        <f>_xlfn.XLOOKUP(C130,products!A:A,products!B:B)</f>
        <v>Mouse</v>
      </c>
      <c r="J130" s="6">
        <f>_xlfn.XLOOKUP(B130,orders!A:A,orders!C:C)</f>
        <v>45850</v>
      </c>
      <c r="K130" s="6" t="str">
        <f t="shared" ref="K130:K193" si="5">TEXT(J130,"mmm-yyyy")</f>
        <v>Jul-2025</v>
      </c>
      <c r="L130" s="6">
        <f>_xlfn.XLOOKUP(B130,orders!A:A,orders!B:B)</f>
        <v>369</v>
      </c>
      <c r="M130" s="6" t="str">
        <f>_xlfn.XLOOKUP("C"&amp;TEXT(L130,"000"),customers!A:A,customers!B:B,"Not Found")</f>
        <v>Sneha Z.</v>
      </c>
    </row>
    <row r="131" spans="1:13">
      <c r="A131">
        <v>130</v>
      </c>
      <c r="B131">
        <v>165</v>
      </c>
      <c r="C131">
        <v>19</v>
      </c>
      <c r="D131" s="4">
        <v>3</v>
      </c>
      <c r="E131">
        <f>_xlfn.XLOOKUP(C131,products!A:A,products!D:D)</f>
        <v>3103</v>
      </c>
      <c r="F131">
        <f t="shared" si="4"/>
        <v>9309</v>
      </c>
      <c r="G131">
        <f>D131*(E131-_xlfn.XLOOKUP(C131,products!A:A,products!E:E))</f>
        <v>2932.32</v>
      </c>
      <c r="H131" s="6" t="str">
        <f>_xlfn.XLOOKUP(C131,products!A:A,products!C:C)</f>
        <v>Fashion</v>
      </c>
      <c r="I131" s="6" t="str">
        <f>_xlfn.XLOOKUP(C131,products!A:A,products!B:B)</f>
        <v>Wallet</v>
      </c>
      <c r="J131" s="6">
        <f>_xlfn.XLOOKUP(B131,orders!A:A,orders!C:C)</f>
        <v>45850</v>
      </c>
      <c r="K131" s="6" t="str">
        <f t="shared" si="5"/>
        <v>Jul-2025</v>
      </c>
      <c r="L131" s="6">
        <f>_xlfn.XLOOKUP(B131,orders!A:A,orders!B:B)</f>
        <v>369</v>
      </c>
      <c r="M131" s="6" t="str">
        <f>_xlfn.XLOOKUP("C"&amp;TEXT(L131,"000"),customers!A:A,customers!B:B,"Not Found")</f>
        <v>Sneha Z.</v>
      </c>
    </row>
    <row r="132" spans="1:13">
      <c r="A132">
        <v>131</v>
      </c>
      <c r="B132">
        <v>166</v>
      </c>
      <c r="C132">
        <v>13</v>
      </c>
      <c r="D132" s="4">
        <v>3</v>
      </c>
      <c r="E132">
        <f>_xlfn.XLOOKUP(C132,products!A:A,products!D:D)</f>
        <v>2281</v>
      </c>
      <c r="F132">
        <f t="shared" si="4"/>
        <v>6843</v>
      </c>
      <c r="G132">
        <f>D132*(E132-_xlfn.XLOOKUP(C132,products!A:A,products!E:E))</f>
        <v>2771.3999999999996</v>
      </c>
      <c r="H132" s="6" t="str">
        <f>_xlfn.XLOOKUP(C132,products!A:A,products!C:C)</f>
        <v>Fashion</v>
      </c>
      <c r="I132" s="6" t="str">
        <f>_xlfn.XLOOKUP(C132,products!A:A,products!B:B)</f>
        <v>Shirt</v>
      </c>
      <c r="J132" s="6">
        <f>_xlfn.XLOOKUP(B132,orders!A:A,orders!C:C)</f>
        <v>45853</v>
      </c>
      <c r="K132" s="6" t="str">
        <f t="shared" si="5"/>
        <v>Jul-2025</v>
      </c>
      <c r="L132" s="6">
        <f>_xlfn.XLOOKUP(B132,orders!A:A,orders!B:B)</f>
        <v>406</v>
      </c>
      <c r="M132" s="6" t="str">
        <f>_xlfn.XLOOKUP("C"&amp;TEXT(L132,"000"),customers!A:A,customers!B:B,"Not Found")</f>
        <v>Vikram G.</v>
      </c>
    </row>
    <row r="133" spans="1:13">
      <c r="A133">
        <v>132</v>
      </c>
      <c r="B133">
        <v>166</v>
      </c>
      <c r="C133">
        <v>26</v>
      </c>
      <c r="D133" s="4">
        <v>4</v>
      </c>
      <c r="E133">
        <f>_xlfn.XLOOKUP(C133,products!A:A,products!D:D)</f>
        <v>4062</v>
      </c>
      <c r="F133">
        <f t="shared" si="4"/>
        <v>16248</v>
      </c>
      <c r="G133">
        <f>D133*(E133-_xlfn.XLOOKUP(C133,products!A:A,products!E:E))</f>
        <v>5849.2800000000007</v>
      </c>
      <c r="H133" s="6" t="str">
        <f>_xlfn.XLOOKUP(C133,products!A:A,products!C:C)</f>
        <v>Home &amp; Kitchen</v>
      </c>
      <c r="I133" s="6" t="str">
        <f>_xlfn.XLOOKUP(C133,products!A:A,products!B:B)</f>
        <v>Bedsheet</v>
      </c>
      <c r="J133" s="6">
        <f>_xlfn.XLOOKUP(B133,orders!A:A,orders!C:C)</f>
        <v>45853</v>
      </c>
      <c r="K133" s="6" t="str">
        <f t="shared" si="5"/>
        <v>Jul-2025</v>
      </c>
      <c r="L133" s="6">
        <f>_xlfn.XLOOKUP(B133,orders!A:A,orders!B:B)</f>
        <v>406</v>
      </c>
      <c r="M133" s="6" t="str">
        <f>_xlfn.XLOOKUP("C"&amp;TEXT(L133,"000"),customers!A:A,customers!B:B,"Not Found")</f>
        <v>Vikram G.</v>
      </c>
    </row>
    <row r="134" spans="1:13">
      <c r="A134">
        <v>133</v>
      </c>
      <c r="B134">
        <v>167</v>
      </c>
      <c r="C134">
        <v>20</v>
      </c>
      <c r="D134" s="4">
        <v>4</v>
      </c>
      <c r="E134">
        <f>_xlfn.XLOOKUP(C134,products!A:A,products!D:D)</f>
        <v>3240</v>
      </c>
      <c r="F134">
        <f t="shared" si="4"/>
        <v>12960</v>
      </c>
      <c r="G134">
        <f>D134*(E134-_xlfn.XLOOKUP(C134,products!A:A,products!E:E))</f>
        <v>5832</v>
      </c>
      <c r="H134" s="6" t="str">
        <f>_xlfn.XLOOKUP(C134,products!A:A,products!C:C)</f>
        <v>Fashion</v>
      </c>
      <c r="I134" s="6" t="str">
        <f>_xlfn.XLOOKUP(C134,products!A:A,products!B:B)</f>
        <v>Belt</v>
      </c>
      <c r="J134" s="6">
        <f>_xlfn.XLOOKUP(B134,orders!A:A,orders!C:C)</f>
        <v>45856</v>
      </c>
      <c r="K134" s="6" t="str">
        <f t="shared" si="5"/>
        <v>Jul-2025</v>
      </c>
      <c r="L134" s="6">
        <f>_xlfn.XLOOKUP(B134,orders!A:A,orders!B:B)</f>
        <v>443</v>
      </c>
      <c r="M134" s="6" t="str">
        <f>_xlfn.XLOOKUP("C"&amp;TEXT(L134,"000"),customers!A:A,customers!B:B,"Not Found")</f>
        <v>Pooja B.</v>
      </c>
    </row>
    <row r="135" spans="1:13">
      <c r="A135">
        <v>134</v>
      </c>
      <c r="B135">
        <v>167</v>
      </c>
      <c r="C135">
        <v>33</v>
      </c>
      <c r="D135" s="4">
        <v>1</v>
      </c>
      <c r="E135">
        <f>_xlfn.XLOOKUP(C135,products!A:A,products!D:D)</f>
        <v>5021</v>
      </c>
      <c r="F135">
        <f t="shared" si="4"/>
        <v>5021</v>
      </c>
      <c r="G135">
        <f>D135*(E135-_xlfn.XLOOKUP(C135,products!A:A,products!E:E))</f>
        <v>2033.5</v>
      </c>
      <c r="H135" s="6" t="str">
        <f>_xlfn.XLOOKUP(C135,products!A:A,products!C:C)</f>
        <v>Books</v>
      </c>
      <c r="I135" s="6" t="str">
        <f>_xlfn.XLOOKUP(C135,products!A:A,products!B:B)</f>
        <v>Pen Set</v>
      </c>
      <c r="J135" s="6">
        <f>_xlfn.XLOOKUP(B135,orders!A:A,orders!C:C)</f>
        <v>45856</v>
      </c>
      <c r="K135" s="6" t="str">
        <f t="shared" si="5"/>
        <v>Jul-2025</v>
      </c>
      <c r="L135" s="6">
        <f>_xlfn.XLOOKUP(B135,orders!A:A,orders!B:B)</f>
        <v>443</v>
      </c>
      <c r="M135" s="6" t="str">
        <f>_xlfn.XLOOKUP("C"&amp;TEXT(L135,"000"),customers!A:A,customers!B:B,"Not Found")</f>
        <v>Pooja B.</v>
      </c>
    </row>
    <row r="136" spans="1:13">
      <c r="A136">
        <v>135</v>
      </c>
      <c r="B136">
        <v>168</v>
      </c>
      <c r="C136">
        <v>27</v>
      </c>
      <c r="D136" s="4">
        <v>1</v>
      </c>
      <c r="E136">
        <f>_xlfn.XLOOKUP(C136,products!A:A,products!D:D)</f>
        <v>4199</v>
      </c>
      <c r="F136">
        <f t="shared" si="4"/>
        <v>4199</v>
      </c>
      <c r="G136">
        <f>D136*(E136-_xlfn.XLOOKUP(C136,products!A:A,products!E:E))</f>
        <v>1448.65</v>
      </c>
      <c r="H136" s="6" t="str">
        <f>_xlfn.XLOOKUP(C136,products!A:A,products!C:C)</f>
        <v>Home &amp; Kitchen</v>
      </c>
      <c r="I136" s="6" t="str">
        <f>_xlfn.XLOOKUP(C136,products!A:A,products!B:B)</f>
        <v>Cookware Set</v>
      </c>
      <c r="J136" s="6">
        <f>_xlfn.XLOOKUP(B136,orders!A:A,orders!C:C)</f>
        <v>45859</v>
      </c>
      <c r="K136" s="6" t="str">
        <f t="shared" si="5"/>
        <v>Jul-2025</v>
      </c>
      <c r="L136" s="6">
        <f>_xlfn.XLOOKUP(B136,orders!A:A,orders!B:B)</f>
        <v>480</v>
      </c>
      <c r="M136" s="6" t="str">
        <f>_xlfn.XLOOKUP("C"&amp;TEXT(L136,"000"),customers!A:A,customers!B:B,"Not Found")</f>
        <v>Meena H.</v>
      </c>
    </row>
    <row r="137" spans="1:13">
      <c r="A137">
        <v>136</v>
      </c>
      <c r="B137">
        <v>168</v>
      </c>
      <c r="C137">
        <v>40</v>
      </c>
      <c r="D137" s="4">
        <v>2</v>
      </c>
      <c r="E137">
        <f>_xlfn.XLOOKUP(C137,products!A:A,products!D:D)</f>
        <v>5980</v>
      </c>
      <c r="F137">
        <f t="shared" si="4"/>
        <v>11960</v>
      </c>
      <c r="G137">
        <f>D137*(E137-_xlfn.XLOOKUP(C137,products!A:A,products!E:E))</f>
        <v>5382</v>
      </c>
      <c r="H137" s="6" t="str">
        <f>_xlfn.XLOOKUP(C137,products!A:A,products!C:C)</f>
        <v>Sports</v>
      </c>
      <c r="I137" s="6" t="str">
        <f>_xlfn.XLOOKUP(C137,products!A:A,products!B:B)</f>
        <v>Dumbbells</v>
      </c>
      <c r="J137" s="6">
        <f>_xlfn.XLOOKUP(B137,orders!A:A,orders!C:C)</f>
        <v>45859</v>
      </c>
      <c r="K137" s="6" t="str">
        <f t="shared" si="5"/>
        <v>Jul-2025</v>
      </c>
      <c r="L137" s="6">
        <f>_xlfn.XLOOKUP(B137,orders!A:A,orders!B:B)</f>
        <v>480</v>
      </c>
      <c r="M137" s="6" t="str">
        <f>_xlfn.XLOOKUP("C"&amp;TEXT(L137,"000"),customers!A:A,customers!B:B,"Not Found")</f>
        <v>Meena H.</v>
      </c>
    </row>
    <row r="138" spans="1:13">
      <c r="A138">
        <v>137</v>
      </c>
      <c r="B138">
        <v>169</v>
      </c>
      <c r="C138">
        <v>34</v>
      </c>
      <c r="D138" s="4">
        <v>2</v>
      </c>
      <c r="E138">
        <f>_xlfn.XLOOKUP(C138,products!A:A,products!D:D)</f>
        <v>5158</v>
      </c>
      <c r="F138">
        <f t="shared" si="4"/>
        <v>10316</v>
      </c>
      <c r="G138">
        <f>D138*(E138-_xlfn.XLOOKUP(C138,products!A:A,products!E:E))</f>
        <v>4023.24</v>
      </c>
      <c r="H138" s="6" t="str">
        <f>_xlfn.XLOOKUP(C138,products!A:A,products!C:C)</f>
        <v>Books</v>
      </c>
      <c r="I138" s="6" t="str">
        <f>_xlfn.XLOOKUP(C138,products!A:A,products!B:B)</f>
        <v>Cookbook</v>
      </c>
      <c r="J138" s="6">
        <f>_xlfn.XLOOKUP(B138,orders!A:A,orders!C:C)</f>
        <v>45862</v>
      </c>
      <c r="K138" s="6" t="str">
        <f t="shared" si="5"/>
        <v>Jul-2025</v>
      </c>
      <c r="L138" s="6">
        <f>_xlfn.XLOOKUP(B138,orders!A:A,orders!B:B)</f>
        <v>17</v>
      </c>
      <c r="M138" s="6" t="str">
        <f>_xlfn.XLOOKUP("C"&amp;TEXT(L138,"000"),customers!A:A,customers!B:B,"Not Found")</f>
        <v>Rohit M.</v>
      </c>
    </row>
    <row r="139" spans="1:13">
      <c r="A139">
        <v>138</v>
      </c>
      <c r="B139">
        <v>169</v>
      </c>
      <c r="C139">
        <v>47</v>
      </c>
      <c r="D139" s="4">
        <v>3</v>
      </c>
      <c r="E139">
        <f>_xlfn.XLOOKUP(C139,products!A:A,products!D:D)</f>
        <v>6939</v>
      </c>
      <c r="F139">
        <f t="shared" si="4"/>
        <v>20817</v>
      </c>
      <c r="G139">
        <f>D139*(E139-_xlfn.XLOOKUP(C139,products!A:A,products!E:E))</f>
        <v>7181.8499999999995</v>
      </c>
      <c r="H139" s="6" t="str">
        <f>_xlfn.XLOOKUP(C139,products!A:A,products!C:C)</f>
        <v>Toys</v>
      </c>
      <c r="I139" s="6" t="str">
        <f>_xlfn.XLOOKUP(C139,products!A:A,products!B:B)</f>
        <v>Puzzle</v>
      </c>
      <c r="J139" s="6">
        <f>_xlfn.XLOOKUP(B139,orders!A:A,orders!C:C)</f>
        <v>45862</v>
      </c>
      <c r="K139" s="6" t="str">
        <f t="shared" si="5"/>
        <v>Jul-2025</v>
      </c>
      <c r="L139" s="6">
        <f>_xlfn.XLOOKUP(B139,orders!A:A,orders!B:B)</f>
        <v>17</v>
      </c>
      <c r="M139" s="6" t="str">
        <f>_xlfn.XLOOKUP("C"&amp;TEXT(L139,"000"),customers!A:A,customers!B:B,"Not Found")</f>
        <v>Rohit M.</v>
      </c>
    </row>
    <row r="140" spans="1:13">
      <c r="A140">
        <v>139</v>
      </c>
      <c r="B140">
        <v>170</v>
      </c>
      <c r="C140">
        <v>41</v>
      </c>
      <c r="D140" s="4">
        <v>3</v>
      </c>
      <c r="E140">
        <f>_xlfn.XLOOKUP(C140,products!A:A,products!D:D)</f>
        <v>6117</v>
      </c>
      <c r="F140">
        <f t="shared" si="4"/>
        <v>18351</v>
      </c>
      <c r="G140">
        <f>D140*(E140-_xlfn.XLOOKUP(C140,products!A:A,products!E:E))</f>
        <v>7982.67</v>
      </c>
      <c r="H140" s="6" t="str">
        <f>_xlfn.XLOOKUP(C140,products!A:A,products!C:C)</f>
        <v>Beauty</v>
      </c>
      <c r="I140" s="6" t="str">
        <f>_xlfn.XLOOKUP(C140,products!A:A,products!B:B)</f>
        <v>Face Wash</v>
      </c>
      <c r="J140" s="6">
        <f>_xlfn.XLOOKUP(B140,orders!A:A,orders!C:C)</f>
        <v>45865</v>
      </c>
      <c r="K140" s="6" t="str">
        <f t="shared" si="5"/>
        <v>Jul-2025</v>
      </c>
      <c r="L140" s="6">
        <f>_xlfn.XLOOKUP(B140,orders!A:A,orders!B:B)</f>
        <v>54</v>
      </c>
      <c r="M140" s="6" t="str">
        <f>_xlfn.XLOOKUP("C"&amp;TEXT(L140,"000"),customers!A:A,customers!B:B,"Not Found")</f>
        <v>Priya F.</v>
      </c>
    </row>
    <row r="141" spans="1:13">
      <c r="A141">
        <v>140</v>
      </c>
      <c r="B141">
        <v>170</v>
      </c>
      <c r="C141">
        <v>4</v>
      </c>
      <c r="D141" s="4">
        <v>4</v>
      </c>
      <c r="E141">
        <f>_xlfn.XLOOKUP(C141,products!A:A,products!D:D)</f>
        <v>1048</v>
      </c>
      <c r="F141">
        <f t="shared" si="4"/>
        <v>4192</v>
      </c>
      <c r="G141">
        <f>D141*(E141-_xlfn.XLOOKUP(C141,products!A:A,products!E:E))</f>
        <v>1634.88</v>
      </c>
      <c r="H141" s="6" t="str">
        <f>_xlfn.XLOOKUP(C141,products!A:A,products!C:C)</f>
        <v>Electronics</v>
      </c>
      <c r="I141" s="6" t="str">
        <f>_xlfn.XLOOKUP(C141,products!A:A,products!B:B)</f>
        <v>Smart Watch</v>
      </c>
      <c r="J141" s="6">
        <f>_xlfn.XLOOKUP(B141,orders!A:A,orders!C:C)</f>
        <v>45865</v>
      </c>
      <c r="K141" s="6" t="str">
        <f t="shared" si="5"/>
        <v>Jul-2025</v>
      </c>
      <c r="L141" s="6">
        <f>_xlfn.XLOOKUP(B141,orders!A:A,orders!B:B)</f>
        <v>54</v>
      </c>
      <c r="M141" s="6" t="str">
        <f>_xlfn.XLOOKUP("C"&amp;TEXT(L141,"000"),customers!A:A,customers!B:B,"Not Found")</f>
        <v>Priya F.</v>
      </c>
    </row>
    <row r="142" spans="1:13">
      <c r="A142">
        <v>141</v>
      </c>
      <c r="B142">
        <v>171</v>
      </c>
      <c r="C142">
        <v>48</v>
      </c>
      <c r="D142" s="4">
        <v>4</v>
      </c>
      <c r="E142">
        <f>_xlfn.XLOOKUP(C142,products!A:A,products!D:D)</f>
        <v>7076</v>
      </c>
      <c r="F142">
        <f t="shared" si="4"/>
        <v>28304</v>
      </c>
      <c r="G142">
        <f>D142*(E142-_xlfn.XLOOKUP(C142,products!A:A,products!E:E))</f>
        <v>9340.32</v>
      </c>
      <c r="H142" s="6" t="str">
        <f>_xlfn.XLOOKUP(C142,products!A:A,products!C:C)</f>
        <v>Toys</v>
      </c>
      <c r="I142" s="6" t="str">
        <f>_xlfn.XLOOKUP(C142,products!A:A,products!B:B)</f>
        <v>Board Game</v>
      </c>
      <c r="J142" s="6">
        <f>_xlfn.XLOOKUP(B142,orders!A:A,orders!C:C)</f>
        <v>45868</v>
      </c>
      <c r="K142" s="6" t="str">
        <f t="shared" si="5"/>
        <v>Jul-2025</v>
      </c>
      <c r="L142" s="6">
        <f>_xlfn.XLOOKUP(B142,orders!A:A,orders!B:B)</f>
        <v>91</v>
      </c>
      <c r="M142" s="6" t="str">
        <f>_xlfn.XLOOKUP("C"&amp;TEXT(L142,"000"),customers!A:A,customers!B:B,"Not Found")</f>
        <v>Kavya L.</v>
      </c>
    </row>
    <row r="143" spans="1:13">
      <c r="A143">
        <v>142</v>
      </c>
      <c r="B143">
        <v>171</v>
      </c>
      <c r="C143">
        <v>11</v>
      </c>
      <c r="D143" s="4">
        <v>1</v>
      </c>
      <c r="E143">
        <f>_xlfn.XLOOKUP(C143,products!A:A,products!D:D)</f>
        <v>2007</v>
      </c>
      <c r="F143">
        <f t="shared" si="4"/>
        <v>2007</v>
      </c>
      <c r="G143">
        <f>D143*(E143-_xlfn.XLOOKUP(C143,products!A:A,products!E:E))</f>
        <v>873.04</v>
      </c>
      <c r="H143" s="6" t="str">
        <f>_xlfn.XLOOKUP(C143,products!A:A,products!C:C)</f>
        <v>Fashion</v>
      </c>
      <c r="I143" s="6" t="str">
        <f>_xlfn.XLOOKUP(C143,products!A:A,products!B:B)</f>
        <v>T-Shirt</v>
      </c>
      <c r="J143" s="6">
        <f>_xlfn.XLOOKUP(B143,orders!A:A,orders!C:C)</f>
        <v>45868</v>
      </c>
      <c r="K143" s="6" t="str">
        <f t="shared" si="5"/>
        <v>Jul-2025</v>
      </c>
      <c r="L143" s="6">
        <f>_xlfn.XLOOKUP(B143,orders!A:A,orders!B:B)</f>
        <v>91</v>
      </c>
      <c r="M143" s="6" t="str">
        <f>_xlfn.XLOOKUP("C"&amp;TEXT(L143,"000"),customers!A:A,customers!B:B,"Not Found")</f>
        <v>Kavya L.</v>
      </c>
    </row>
    <row r="144" spans="1:13">
      <c r="A144">
        <v>143</v>
      </c>
      <c r="B144">
        <v>172</v>
      </c>
      <c r="C144">
        <v>5</v>
      </c>
      <c r="D144" s="4">
        <v>1</v>
      </c>
      <c r="E144">
        <f>_xlfn.XLOOKUP(C144,products!A:A,products!D:D)</f>
        <v>1185</v>
      </c>
      <c r="F144">
        <f t="shared" si="4"/>
        <v>1185</v>
      </c>
      <c r="G144">
        <f>D144*(E144-_xlfn.XLOOKUP(C144,products!A:A,products!E:E))</f>
        <v>444.38</v>
      </c>
      <c r="H144" s="6" t="str">
        <f>_xlfn.XLOOKUP(C144,products!A:A,products!C:C)</f>
        <v>Electronics</v>
      </c>
      <c r="I144" s="6" t="str">
        <f>_xlfn.XLOOKUP(C144,products!A:A,products!B:B)</f>
        <v>Keyboard</v>
      </c>
      <c r="J144" s="6">
        <f>_xlfn.XLOOKUP(B144,orders!A:A,orders!C:C)</f>
        <v>45871</v>
      </c>
      <c r="K144" s="6" t="str">
        <f t="shared" si="5"/>
        <v>Aug-2025</v>
      </c>
      <c r="L144" s="6">
        <f>_xlfn.XLOOKUP(B144,orders!A:A,orders!B:B)</f>
        <v>128</v>
      </c>
      <c r="M144" s="6" t="str">
        <f>_xlfn.XLOOKUP("C"&amp;TEXT(L144,"000"),customers!A:A,customers!B:B,"Not Found")</f>
        <v>Vikram M.</v>
      </c>
    </row>
    <row r="145" spans="1:13">
      <c r="A145">
        <v>144</v>
      </c>
      <c r="B145">
        <v>172</v>
      </c>
      <c r="C145">
        <v>18</v>
      </c>
      <c r="D145" s="4">
        <v>2</v>
      </c>
      <c r="E145">
        <f>_xlfn.XLOOKUP(C145,products!A:A,products!D:D)</f>
        <v>2966</v>
      </c>
      <c r="F145">
        <f t="shared" si="4"/>
        <v>5932</v>
      </c>
      <c r="G145">
        <f>D145*(E145-_xlfn.XLOOKUP(C145,products!A:A,products!E:E))</f>
        <v>1957.56</v>
      </c>
      <c r="H145" s="6" t="str">
        <f>_xlfn.XLOOKUP(C145,products!A:A,products!C:C)</f>
        <v>Fashion</v>
      </c>
      <c r="I145" s="6" t="str">
        <f>_xlfn.XLOOKUP(C145,products!A:A,products!B:B)</f>
        <v>Backpack</v>
      </c>
      <c r="J145" s="6">
        <f>_xlfn.XLOOKUP(B145,orders!A:A,orders!C:C)</f>
        <v>45871</v>
      </c>
      <c r="K145" s="6" t="str">
        <f t="shared" si="5"/>
        <v>Aug-2025</v>
      </c>
      <c r="L145" s="6">
        <f>_xlfn.XLOOKUP(B145,orders!A:A,orders!B:B)</f>
        <v>128</v>
      </c>
      <c r="M145" s="6" t="str">
        <f>_xlfn.XLOOKUP("C"&amp;TEXT(L145,"000"),customers!A:A,customers!B:B,"Not Found")</f>
        <v>Vikram M.</v>
      </c>
    </row>
    <row r="146" spans="1:13">
      <c r="A146">
        <v>145</v>
      </c>
      <c r="B146">
        <v>173</v>
      </c>
      <c r="C146">
        <v>12</v>
      </c>
      <c r="D146" s="4">
        <v>2</v>
      </c>
      <c r="E146">
        <f>_xlfn.XLOOKUP(C146,products!A:A,products!D:D)</f>
        <v>2144</v>
      </c>
      <c r="F146">
        <f t="shared" si="4"/>
        <v>4288</v>
      </c>
      <c r="G146">
        <f>D146*(E146-_xlfn.XLOOKUP(C146,products!A:A,products!E:E))</f>
        <v>1800.96</v>
      </c>
      <c r="H146" s="6" t="str">
        <f>_xlfn.XLOOKUP(C146,products!A:A,products!C:C)</f>
        <v>Fashion</v>
      </c>
      <c r="I146" s="6" t="str">
        <f>_xlfn.XLOOKUP(C146,products!A:A,products!B:B)</f>
        <v>Jeans</v>
      </c>
      <c r="J146" s="6">
        <f>_xlfn.XLOOKUP(B146,orders!A:A,orders!C:C)</f>
        <v>45874</v>
      </c>
      <c r="K146" s="6" t="str">
        <f t="shared" si="5"/>
        <v>Aug-2025</v>
      </c>
      <c r="L146" s="6">
        <f>_xlfn.XLOOKUP(B146,orders!A:A,orders!B:B)</f>
        <v>165</v>
      </c>
      <c r="M146" s="6" t="str">
        <f>_xlfn.XLOOKUP("C"&amp;TEXT(L146,"000"),customers!A:A,customers!B:B,"Not Found")</f>
        <v>Swathi O.</v>
      </c>
    </row>
    <row r="147" spans="1:13">
      <c r="A147">
        <v>146</v>
      </c>
      <c r="B147">
        <v>173</v>
      </c>
      <c r="C147">
        <v>25</v>
      </c>
      <c r="D147" s="4">
        <v>3</v>
      </c>
      <c r="E147">
        <f>_xlfn.XLOOKUP(C147,products!A:A,products!D:D)</f>
        <v>3925</v>
      </c>
      <c r="F147">
        <f t="shared" si="4"/>
        <v>11775</v>
      </c>
      <c r="G147">
        <f>D147*(E147-_xlfn.XLOOKUP(C147,products!A:A,products!E:E))</f>
        <v>4415.6400000000003</v>
      </c>
      <c r="H147" s="6" t="str">
        <f>_xlfn.XLOOKUP(C147,products!A:A,products!C:C)</f>
        <v>Home Appliances</v>
      </c>
      <c r="I147" s="6" t="str">
        <f>_xlfn.XLOOKUP(C147,products!A:A,products!B:B)</f>
        <v>Vacuum Cleaner</v>
      </c>
      <c r="J147" s="6">
        <f>_xlfn.XLOOKUP(B147,orders!A:A,orders!C:C)</f>
        <v>45874</v>
      </c>
      <c r="K147" s="6" t="str">
        <f t="shared" si="5"/>
        <v>Aug-2025</v>
      </c>
      <c r="L147" s="6">
        <f>_xlfn.XLOOKUP(B147,orders!A:A,orders!B:B)</f>
        <v>165</v>
      </c>
      <c r="M147" s="6" t="str">
        <f>_xlfn.XLOOKUP("C"&amp;TEXT(L147,"000"),customers!A:A,customers!B:B,"Not Found")</f>
        <v>Swathi O.</v>
      </c>
    </row>
    <row r="148" spans="1:13">
      <c r="A148">
        <v>147</v>
      </c>
      <c r="B148">
        <v>174</v>
      </c>
      <c r="C148">
        <v>19</v>
      </c>
      <c r="D148" s="4">
        <v>3</v>
      </c>
      <c r="E148">
        <f>_xlfn.XLOOKUP(C148,products!A:A,products!D:D)</f>
        <v>3103</v>
      </c>
      <c r="F148">
        <f t="shared" si="4"/>
        <v>9309</v>
      </c>
      <c r="G148">
        <f>D148*(E148-_xlfn.XLOOKUP(C148,products!A:A,products!E:E))</f>
        <v>2932.32</v>
      </c>
      <c r="H148" s="6" t="str">
        <f>_xlfn.XLOOKUP(C148,products!A:A,products!C:C)</f>
        <v>Fashion</v>
      </c>
      <c r="I148" s="6" t="str">
        <f>_xlfn.XLOOKUP(C148,products!A:A,products!B:B)</f>
        <v>Wallet</v>
      </c>
      <c r="J148" s="6">
        <f>_xlfn.XLOOKUP(B148,orders!A:A,orders!C:C)</f>
        <v>45877</v>
      </c>
      <c r="K148" s="6" t="str">
        <f t="shared" si="5"/>
        <v>Aug-2025</v>
      </c>
      <c r="L148" s="6">
        <f>_xlfn.XLOOKUP(B148,orders!A:A,orders!B:B)</f>
        <v>202</v>
      </c>
      <c r="M148" s="6" t="str">
        <f>_xlfn.XLOOKUP("C"&amp;TEXT(L148,"000"),customers!A:A,customers!B:B,"Not Found")</f>
        <v>Arjun M.</v>
      </c>
    </row>
    <row r="149" spans="1:13">
      <c r="A149">
        <v>148</v>
      </c>
      <c r="B149">
        <v>174</v>
      </c>
      <c r="C149">
        <v>32</v>
      </c>
      <c r="D149" s="4">
        <v>4</v>
      </c>
      <c r="E149">
        <f>_xlfn.XLOOKUP(C149,products!A:A,products!D:D)</f>
        <v>4884</v>
      </c>
      <c r="F149">
        <f t="shared" si="4"/>
        <v>19536</v>
      </c>
      <c r="G149">
        <f>D149*(E149-_xlfn.XLOOKUP(C149,products!A:A,products!E:E))</f>
        <v>8205.1200000000008</v>
      </c>
      <c r="H149" s="6" t="str">
        <f>_xlfn.XLOOKUP(C149,products!A:A,products!C:C)</f>
        <v>Books</v>
      </c>
      <c r="I149" s="6" t="str">
        <f>_xlfn.XLOOKUP(C149,products!A:A,products!B:B)</f>
        <v>Notebook</v>
      </c>
      <c r="J149" s="6">
        <f>_xlfn.XLOOKUP(B149,orders!A:A,orders!C:C)</f>
        <v>45877</v>
      </c>
      <c r="K149" s="6" t="str">
        <f t="shared" si="5"/>
        <v>Aug-2025</v>
      </c>
      <c r="L149" s="6">
        <f>_xlfn.XLOOKUP(B149,orders!A:A,orders!B:B)</f>
        <v>202</v>
      </c>
      <c r="M149" s="6" t="str">
        <f>_xlfn.XLOOKUP("C"&amp;TEXT(L149,"000"),customers!A:A,customers!B:B,"Not Found")</f>
        <v>Arjun M.</v>
      </c>
    </row>
    <row r="150" spans="1:13">
      <c r="A150">
        <v>149</v>
      </c>
      <c r="B150">
        <v>175</v>
      </c>
      <c r="C150">
        <v>26</v>
      </c>
      <c r="D150" s="4">
        <v>4</v>
      </c>
      <c r="E150">
        <f>_xlfn.XLOOKUP(C150,products!A:A,products!D:D)</f>
        <v>4062</v>
      </c>
      <c r="F150">
        <f t="shared" si="4"/>
        <v>16248</v>
      </c>
      <c r="G150">
        <f>D150*(E150-_xlfn.XLOOKUP(C150,products!A:A,products!E:E))</f>
        <v>5849.2800000000007</v>
      </c>
      <c r="H150" s="6" t="str">
        <f>_xlfn.XLOOKUP(C150,products!A:A,products!C:C)</f>
        <v>Home &amp; Kitchen</v>
      </c>
      <c r="I150" s="6" t="str">
        <f>_xlfn.XLOOKUP(C150,products!A:A,products!B:B)</f>
        <v>Bedsheet</v>
      </c>
      <c r="J150" s="6">
        <f>_xlfn.XLOOKUP(B150,orders!A:A,orders!C:C)</f>
        <v>45880</v>
      </c>
      <c r="K150" s="6" t="str">
        <f t="shared" si="5"/>
        <v>Aug-2025</v>
      </c>
      <c r="L150" s="6">
        <f>_xlfn.XLOOKUP(B150,orders!A:A,orders!B:B)</f>
        <v>239</v>
      </c>
      <c r="M150" s="6" t="str">
        <f>_xlfn.XLOOKUP("C"&amp;TEXT(L150,"000"),customers!A:A,customers!B:B,"Not Found")</f>
        <v>Kiran E.</v>
      </c>
    </row>
    <row r="151" spans="1:13">
      <c r="A151">
        <v>150</v>
      </c>
      <c r="B151">
        <v>175</v>
      </c>
      <c r="C151">
        <v>39</v>
      </c>
      <c r="D151" s="4">
        <v>1</v>
      </c>
      <c r="E151">
        <f>_xlfn.XLOOKUP(C151,products!A:A,products!D:D)</f>
        <v>5843</v>
      </c>
      <c r="F151">
        <f t="shared" si="4"/>
        <v>5843</v>
      </c>
      <c r="G151">
        <f>D151*(E151-_xlfn.XLOOKUP(C151,products!A:A,products!E:E))</f>
        <v>1840.54</v>
      </c>
      <c r="H151" s="6" t="str">
        <f>_xlfn.XLOOKUP(C151,products!A:A,products!C:C)</f>
        <v>Sports</v>
      </c>
      <c r="I151" s="6" t="str">
        <f>_xlfn.XLOOKUP(C151,products!A:A,products!B:B)</f>
        <v>Yoga Mat</v>
      </c>
      <c r="J151" s="6">
        <f>_xlfn.XLOOKUP(B151,orders!A:A,orders!C:C)</f>
        <v>45880</v>
      </c>
      <c r="K151" s="6" t="str">
        <f t="shared" si="5"/>
        <v>Aug-2025</v>
      </c>
      <c r="L151" s="6">
        <f>_xlfn.XLOOKUP(B151,orders!A:A,orders!B:B)</f>
        <v>239</v>
      </c>
      <c r="M151" s="6" t="str">
        <f>_xlfn.XLOOKUP("C"&amp;TEXT(L151,"000"),customers!A:A,customers!B:B,"Not Found")</f>
        <v>Kiran E.</v>
      </c>
    </row>
    <row r="152" spans="1:13">
      <c r="A152">
        <v>151</v>
      </c>
      <c r="B152">
        <v>176</v>
      </c>
      <c r="C152">
        <v>33</v>
      </c>
      <c r="D152" s="4">
        <v>1</v>
      </c>
      <c r="E152">
        <f>_xlfn.XLOOKUP(C152,products!A:A,products!D:D)</f>
        <v>5021</v>
      </c>
      <c r="F152">
        <f t="shared" si="4"/>
        <v>5021</v>
      </c>
      <c r="G152">
        <f>D152*(E152-_xlfn.XLOOKUP(C152,products!A:A,products!E:E))</f>
        <v>2033.5</v>
      </c>
      <c r="H152" s="6" t="str">
        <f>_xlfn.XLOOKUP(C152,products!A:A,products!C:C)</f>
        <v>Books</v>
      </c>
      <c r="I152" s="6" t="str">
        <f>_xlfn.XLOOKUP(C152,products!A:A,products!B:B)</f>
        <v>Pen Set</v>
      </c>
      <c r="J152" s="6">
        <f>_xlfn.XLOOKUP(B152,orders!A:A,orders!C:C)</f>
        <v>45883</v>
      </c>
      <c r="K152" s="6" t="str">
        <f t="shared" si="5"/>
        <v>Aug-2025</v>
      </c>
      <c r="L152" s="6">
        <f>_xlfn.XLOOKUP(B152,orders!A:A,orders!B:B)</f>
        <v>276</v>
      </c>
      <c r="M152" s="6" t="str">
        <f>_xlfn.XLOOKUP("C"&amp;TEXT(L152,"000"),customers!A:A,customers!B:B,"Not Found")</f>
        <v>Kavya D.</v>
      </c>
    </row>
    <row r="153" spans="1:13">
      <c r="A153">
        <v>152</v>
      </c>
      <c r="B153">
        <v>176</v>
      </c>
      <c r="C153">
        <v>46</v>
      </c>
      <c r="D153" s="4">
        <v>2</v>
      </c>
      <c r="E153">
        <f>_xlfn.XLOOKUP(C153,products!A:A,products!D:D)</f>
        <v>6802</v>
      </c>
      <c r="F153">
        <f t="shared" si="4"/>
        <v>13604</v>
      </c>
      <c r="G153">
        <f>D153*(E153-_xlfn.XLOOKUP(C153,products!A:A,products!E:E))</f>
        <v>4897.4400000000005</v>
      </c>
      <c r="H153" s="6" t="str">
        <f>_xlfn.XLOOKUP(C153,products!A:A,products!C:C)</f>
        <v>Toys</v>
      </c>
      <c r="I153" s="6" t="str">
        <f>_xlfn.XLOOKUP(C153,products!A:A,products!B:B)</f>
        <v>Toys Car</v>
      </c>
      <c r="J153" s="6">
        <f>_xlfn.XLOOKUP(B153,orders!A:A,orders!C:C)</f>
        <v>45883</v>
      </c>
      <c r="K153" s="6" t="str">
        <f t="shared" si="5"/>
        <v>Aug-2025</v>
      </c>
      <c r="L153" s="6">
        <f>_xlfn.XLOOKUP(B153,orders!A:A,orders!B:B)</f>
        <v>276</v>
      </c>
      <c r="M153" s="6" t="str">
        <f>_xlfn.XLOOKUP("C"&amp;TEXT(L153,"000"),customers!A:A,customers!B:B,"Not Found")</f>
        <v>Kavya D.</v>
      </c>
    </row>
    <row r="154" spans="1:13">
      <c r="A154">
        <v>153</v>
      </c>
      <c r="B154">
        <v>177</v>
      </c>
      <c r="C154">
        <v>40</v>
      </c>
      <c r="D154" s="4">
        <v>2</v>
      </c>
      <c r="E154">
        <f>_xlfn.XLOOKUP(C154,products!A:A,products!D:D)</f>
        <v>5980</v>
      </c>
      <c r="F154">
        <f t="shared" si="4"/>
        <v>11960</v>
      </c>
      <c r="G154">
        <f>D154*(E154-_xlfn.XLOOKUP(C154,products!A:A,products!E:E))</f>
        <v>5382</v>
      </c>
      <c r="H154" s="6" t="str">
        <f>_xlfn.XLOOKUP(C154,products!A:A,products!C:C)</f>
        <v>Sports</v>
      </c>
      <c r="I154" s="6" t="str">
        <f>_xlfn.XLOOKUP(C154,products!A:A,products!B:B)</f>
        <v>Dumbbells</v>
      </c>
      <c r="J154" s="6">
        <f>_xlfn.XLOOKUP(B154,orders!A:A,orders!C:C)</f>
        <v>45886</v>
      </c>
      <c r="K154" s="6" t="str">
        <f t="shared" si="5"/>
        <v>Aug-2025</v>
      </c>
      <c r="L154" s="6">
        <f>_xlfn.XLOOKUP(B154,orders!A:A,orders!B:B)</f>
        <v>313</v>
      </c>
      <c r="M154" s="6" t="str">
        <f>_xlfn.XLOOKUP("C"&amp;TEXT(L154,"000"),customers!A:A,customers!B:B,"Not Found")</f>
        <v>Meena K.</v>
      </c>
    </row>
    <row r="155" spans="1:13">
      <c r="A155">
        <v>154</v>
      </c>
      <c r="B155">
        <v>177</v>
      </c>
      <c r="C155">
        <v>3</v>
      </c>
      <c r="D155" s="4">
        <v>3</v>
      </c>
      <c r="E155">
        <f>_xlfn.XLOOKUP(C155,products!A:A,products!D:D)</f>
        <v>911</v>
      </c>
      <c r="F155">
        <f t="shared" si="4"/>
        <v>2733</v>
      </c>
      <c r="G155">
        <f>D155*(E155-_xlfn.XLOOKUP(C155,products!A:A,products!E:E))</f>
        <v>1106.8500000000001</v>
      </c>
      <c r="H155" s="6" t="str">
        <f>_xlfn.XLOOKUP(C155,products!A:A,products!C:C)</f>
        <v>Electronics</v>
      </c>
      <c r="I155" s="6" t="str">
        <f>_xlfn.XLOOKUP(C155,products!A:A,products!B:B)</f>
        <v>Headphones</v>
      </c>
      <c r="J155" s="6">
        <f>_xlfn.XLOOKUP(B155,orders!A:A,orders!C:C)</f>
        <v>45886</v>
      </c>
      <c r="K155" s="6" t="str">
        <f t="shared" si="5"/>
        <v>Aug-2025</v>
      </c>
      <c r="L155" s="6">
        <f>_xlfn.XLOOKUP(B155,orders!A:A,orders!B:B)</f>
        <v>313</v>
      </c>
      <c r="M155" s="6" t="str">
        <f>_xlfn.XLOOKUP("C"&amp;TEXT(L155,"000"),customers!A:A,customers!B:B,"Not Found")</f>
        <v>Meena K.</v>
      </c>
    </row>
    <row r="156" spans="1:13">
      <c r="A156">
        <v>155</v>
      </c>
      <c r="B156">
        <v>178</v>
      </c>
      <c r="C156">
        <v>47</v>
      </c>
      <c r="D156" s="4">
        <v>3</v>
      </c>
      <c r="E156">
        <f>_xlfn.XLOOKUP(C156,products!A:A,products!D:D)</f>
        <v>6939</v>
      </c>
      <c r="F156">
        <f t="shared" si="4"/>
        <v>20817</v>
      </c>
      <c r="G156">
        <f>D156*(E156-_xlfn.XLOOKUP(C156,products!A:A,products!E:E))</f>
        <v>7181.8499999999995</v>
      </c>
      <c r="H156" s="6" t="str">
        <f>_xlfn.XLOOKUP(C156,products!A:A,products!C:C)</f>
        <v>Toys</v>
      </c>
      <c r="I156" s="6" t="str">
        <f>_xlfn.XLOOKUP(C156,products!A:A,products!B:B)</f>
        <v>Puzzle</v>
      </c>
      <c r="J156" s="6">
        <f>_xlfn.XLOOKUP(B156,orders!A:A,orders!C:C)</f>
        <v>45889</v>
      </c>
      <c r="K156" s="6" t="str">
        <f t="shared" si="5"/>
        <v>Aug-2025</v>
      </c>
      <c r="L156" s="6">
        <f>_xlfn.XLOOKUP(B156,orders!A:A,orders!B:B)</f>
        <v>350</v>
      </c>
      <c r="M156" s="6" t="str">
        <f>_xlfn.XLOOKUP("C"&amp;TEXT(L156,"000"),customers!A:A,customers!B:B,"Not Found")</f>
        <v>Amit Q.</v>
      </c>
    </row>
    <row r="157" spans="1:13">
      <c r="A157">
        <v>156</v>
      </c>
      <c r="B157">
        <v>178</v>
      </c>
      <c r="C157">
        <v>10</v>
      </c>
      <c r="D157" s="4">
        <v>4</v>
      </c>
      <c r="E157">
        <f>_xlfn.XLOOKUP(C157,products!A:A,products!D:D)</f>
        <v>1870</v>
      </c>
      <c r="F157">
        <f t="shared" si="4"/>
        <v>7480</v>
      </c>
      <c r="G157">
        <f>D157*(E157-_xlfn.XLOOKUP(C157,products!A:A,products!E:E))</f>
        <v>3366</v>
      </c>
      <c r="H157" s="6" t="str">
        <f>_xlfn.XLOOKUP(C157,products!A:A,products!C:C)</f>
        <v>Electronics</v>
      </c>
      <c r="I157" s="6" t="str">
        <f>_xlfn.XLOOKUP(C157,products!A:A,products!B:B)</f>
        <v>Earbuds</v>
      </c>
      <c r="J157" s="6">
        <f>_xlfn.XLOOKUP(B157,orders!A:A,orders!C:C)</f>
        <v>45889</v>
      </c>
      <c r="K157" s="6" t="str">
        <f t="shared" si="5"/>
        <v>Aug-2025</v>
      </c>
      <c r="L157" s="6">
        <f>_xlfn.XLOOKUP(B157,orders!A:A,orders!B:B)</f>
        <v>350</v>
      </c>
      <c r="M157" s="6" t="str">
        <f>_xlfn.XLOOKUP("C"&amp;TEXT(L157,"000"),customers!A:A,customers!B:B,"Not Found")</f>
        <v>Amit Q.</v>
      </c>
    </row>
    <row r="158" spans="1:13">
      <c r="A158">
        <v>157</v>
      </c>
      <c r="B158">
        <v>179</v>
      </c>
      <c r="C158">
        <v>4</v>
      </c>
      <c r="D158" s="4">
        <v>4</v>
      </c>
      <c r="E158">
        <f>_xlfn.XLOOKUP(C158,products!A:A,products!D:D)</f>
        <v>1048</v>
      </c>
      <c r="F158">
        <f t="shared" si="4"/>
        <v>4192</v>
      </c>
      <c r="G158">
        <f>D158*(E158-_xlfn.XLOOKUP(C158,products!A:A,products!E:E))</f>
        <v>1634.88</v>
      </c>
      <c r="H158" s="6" t="str">
        <f>_xlfn.XLOOKUP(C158,products!A:A,products!C:C)</f>
        <v>Electronics</v>
      </c>
      <c r="I158" s="6" t="str">
        <f>_xlfn.XLOOKUP(C158,products!A:A,products!B:B)</f>
        <v>Smart Watch</v>
      </c>
      <c r="J158" s="6">
        <f>_xlfn.XLOOKUP(B158,orders!A:A,orders!C:C)</f>
        <v>45892</v>
      </c>
      <c r="K158" s="6" t="str">
        <f t="shared" si="5"/>
        <v>Aug-2025</v>
      </c>
      <c r="L158" s="6">
        <f>_xlfn.XLOOKUP(B158,orders!A:A,orders!B:B)</f>
        <v>387</v>
      </c>
      <c r="M158" s="6" t="str">
        <f>_xlfn.XLOOKUP("C"&amp;TEXT(L158,"000"),customers!A:A,customers!B:B,"Not Found")</f>
        <v>Arjun Q.</v>
      </c>
    </row>
    <row r="159" spans="1:13">
      <c r="A159">
        <v>158</v>
      </c>
      <c r="B159">
        <v>179</v>
      </c>
      <c r="C159">
        <v>17</v>
      </c>
      <c r="D159" s="4">
        <v>1</v>
      </c>
      <c r="E159">
        <f>_xlfn.XLOOKUP(C159,products!A:A,products!D:D)</f>
        <v>2829</v>
      </c>
      <c r="F159">
        <f t="shared" si="4"/>
        <v>2829</v>
      </c>
      <c r="G159">
        <f>D159*(E159-_xlfn.XLOOKUP(C159,products!A:A,products!E:E))</f>
        <v>976</v>
      </c>
      <c r="H159" s="6" t="str">
        <f>_xlfn.XLOOKUP(C159,products!A:A,products!C:C)</f>
        <v>Fashion</v>
      </c>
      <c r="I159" s="6" t="str">
        <f>_xlfn.XLOOKUP(C159,products!A:A,products!B:B)</f>
        <v>Dress</v>
      </c>
      <c r="J159" s="6">
        <f>_xlfn.XLOOKUP(B159,orders!A:A,orders!C:C)</f>
        <v>45892</v>
      </c>
      <c r="K159" s="6" t="str">
        <f t="shared" si="5"/>
        <v>Aug-2025</v>
      </c>
      <c r="L159" s="6">
        <f>_xlfn.XLOOKUP(B159,orders!A:A,orders!B:B)</f>
        <v>387</v>
      </c>
      <c r="M159" s="6" t="str">
        <f>_xlfn.XLOOKUP("C"&amp;TEXT(L159,"000"),customers!A:A,customers!B:B,"Not Found")</f>
        <v>Arjun Q.</v>
      </c>
    </row>
    <row r="160" spans="1:13">
      <c r="A160">
        <v>159</v>
      </c>
      <c r="B160">
        <v>180</v>
      </c>
      <c r="C160">
        <v>11</v>
      </c>
      <c r="D160" s="4">
        <v>1</v>
      </c>
      <c r="E160">
        <f>_xlfn.XLOOKUP(C160,products!A:A,products!D:D)</f>
        <v>2007</v>
      </c>
      <c r="F160">
        <f t="shared" si="4"/>
        <v>2007</v>
      </c>
      <c r="G160">
        <f>D160*(E160-_xlfn.XLOOKUP(C160,products!A:A,products!E:E))</f>
        <v>873.04</v>
      </c>
      <c r="H160" s="6" t="str">
        <f>_xlfn.XLOOKUP(C160,products!A:A,products!C:C)</f>
        <v>Fashion</v>
      </c>
      <c r="I160" s="6" t="str">
        <f>_xlfn.XLOOKUP(C160,products!A:A,products!B:B)</f>
        <v>T-Shirt</v>
      </c>
      <c r="J160" s="6">
        <f>_xlfn.XLOOKUP(B160,orders!A:A,orders!C:C)</f>
        <v>45895</v>
      </c>
      <c r="K160" s="6" t="str">
        <f t="shared" si="5"/>
        <v>Aug-2025</v>
      </c>
      <c r="L160" s="6">
        <f>_xlfn.XLOOKUP(B160,orders!A:A,orders!B:B)</f>
        <v>424</v>
      </c>
      <c r="M160" s="6" t="str">
        <f>_xlfn.XLOOKUP("C"&amp;TEXT(L160,"000"),customers!A:A,customers!B:B,"Not Found")</f>
        <v>Rohit H.</v>
      </c>
    </row>
    <row r="161" spans="1:13">
      <c r="A161">
        <v>160</v>
      </c>
      <c r="B161">
        <v>180</v>
      </c>
      <c r="C161">
        <v>24</v>
      </c>
      <c r="D161" s="4">
        <v>2</v>
      </c>
      <c r="E161">
        <f>_xlfn.XLOOKUP(C161,products!A:A,products!D:D)</f>
        <v>3788</v>
      </c>
      <c r="F161">
        <f t="shared" si="4"/>
        <v>7576</v>
      </c>
      <c r="G161">
        <f>D161*(E161-_xlfn.XLOOKUP(C161,products!A:A,products!E:E))</f>
        <v>2954.6400000000003</v>
      </c>
      <c r="H161" s="6" t="str">
        <f>_xlfn.XLOOKUP(C161,products!A:A,products!C:C)</f>
        <v>Home Appliances</v>
      </c>
      <c r="I161" s="6" t="str">
        <f>_xlfn.XLOOKUP(C161,products!A:A,products!B:B)</f>
        <v>Iron</v>
      </c>
      <c r="J161" s="6">
        <f>_xlfn.XLOOKUP(B161,orders!A:A,orders!C:C)</f>
        <v>45895</v>
      </c>
      <c r="K161" s="6" t="str">
        <f t="shared" si="5"/>
        <v>Aug-2025</v>
      </c>
      <c r="L161" s="6">
        <f>_xlfn.XLOOKUP(B161,orders!A:A,orders!B:B)</f>
        <v>424</v>
      </c>
      <c r="M161" s="6" t="str">
        <f>_xlfn.XLOOKUP("C"&amp;TEXT(L161,"000"),customers!A:A,customers!B:B,"Not Found")</f>
        <v>Rohit H.</v>
      </c>
    </row>
    <row r="162" spans="1:13">
      <c r="A162">
        <v>161</v>
      </c>
      <c r="B162">
        <v>181</v>
      </c>
      <c r="C162">
        <v>18</v>
      </c>
      <c r="D162" s="4">
        <v>2</v>
      </c>
      <c r="E162">
        <f>_xlfn.XLOOKUP(C162,products!A:A,products!D:D)</f>
        <v>2966</v>
      </c>
      <c r="F162">
        <f t="shared" si="4"/>
        <v>5932</v>
      </c>
      <c r="G162">
        <f>D162*(E162-_xlfn.XLOOKUP(C162,products!A:A,products!E:E))</f>
        <v>1957.56</v>
      </c>
      <c r="H162" s="6" t="str">
        <f>_xlfn.XLOOKUP(C162,products!A:A,products!C:C)</f>
        <v>Fashion</v>
      </c>
      <c r="I162" s="6" t="str">
        <f>_xlfn.XLOOKUP(C162,products!A:A,products!B:B)</f>
        <v>Backpack</v>
      </c>
      <c r="J162" s="6">
        <f>_xlfn.XLOOKUP(B162,orders!A:A,orders!C:C)</f>
        <v>45898</v>
      </c>
      <c r="K162" s="6" t="str">
        <f t="shared" si="5"/>
        <v>Aug-2025</v>
      </c>
      <c r="L162" s="6">
        <f>_xlfn.XLOOKUP(B162,orders!A:A,orders!B:B)</f>
        <v>461</v>
      </c>
      <c r="M162" s="6" t="str">
        <f>_xlfn.XLOOKUP("C"&amp;TEXT(L162,"000"),customers!A:A,customers!B:B,"Not Found")</f>
        <v>Anjali V.</v>
      </c>
    </row>
    <row r="163" spans="1:13">
      <c r="A163">
        <v>162</v>
      </c>
      <c r="B163">
        <v>181</v>
      </c>
      <c r="C163">
        <v>31</v>
      </c>
      <c r="D163" s="4">
        <v>3</v>
      </c>
      <c r="E163">
        <f>_xlfn.XLOOKUP(C163,products!A:A,products!D:D)</f>
        <v>4747</v>
      </c>
      <c r="F163">
        <f t="shared" si="4"/>
        <v>14241</v>
      </c>
      <c r="G163">
        <f>D163*(E163-_xlfn.XLOOKUP(C163,products!A:A,products!E:E))</f>
        <v>6194.82</v>
      </c>
      <c r="H163" s="6" t="str">
        <f>_xlfn.XLOOKUP(C163,products!A:A,products!C:C)</f>
        <v>Books</v>
      </c>
      <c r="I163" s="6" t="str">
        <f>_xlfn.XLOOKUP(C163,products!A:A,products!B:B)</f>
        <v>Book</v>
      </c>
      <c r="J163" s="6">
        <f>_xlfn.XLOOKUP(B163,orders!A:A,orders!C:C)</f>
        <v>45898</v>
      </c>
      <c r="K163" s="6" t="str">
        <f t="shared" si="5"/>
        <v>Aug-2025</v>
      </c>
      <c r="L163" s="6">
        <f>_xlfn.XLOOKUP(B163,orders!A:A,orders!B:B)</f>
        <v>461</v>
      </c>
      <c r="M163" s="6" t="str">
        <f>_xlfn.XLOOKUP("C"&amp;TEXT(L163,"000"),customers!A:A,customers!B:B,"Not Found")</f>
        <v>Anjali V.</v>
      </c>
    </row>
    <row r="164" spans="1:13">
      <c r="A164">
        <v>163</v>
      </c>
      <c r="B164">
        <v>182</v>
      </c>
      <c r="C164">
        <v>25</v>
      </c>
      <c r="D164" s="4">
        <v>3</v>
      </c>
      <c r="E164">
        <f>_xlfn.XLOOKUP(C164,products!A:A,products!D:D)</f>
        <v>3925</v>
      </c>
      <c r="F164">
        <f t="shared" si="4"/>
        <v>11775</v>
      </c>
      <c r="G164">
        <f>D164*(E164-_xlfn.XLOOKUP(C164,products!A:A,products!E:E))</f>
        <v>4415.6400000000003</v>
      </c>
      <c r="H164" s="6" t="str">
        <f>_xlfn.XLOOKUP(C164,products!A:A,products!C:C)</f>
        <v>Home Appliances</v>
      </c>
      <c r="I164" s="6" t="str">
        <f>_xlfn.XLOOKUP(C164,products!A:A,products!B:B)</f>
        <v>Vacuum Cleaner</v>
      </c>
      <c r="J164" s="6">
        <f>_xlfn.XLOOKUP(B164,orders!A:A,orders!C:C)</f>
        <v>45901</v>
      </c>
      <c r="K164" s="6" t="str">
        <f t="shared" si="5"/>
        <v>Sep-2025</v>
      </c>
      <c r="L164" s="6">
        <f>_xlfn.XLOOKUP(B164,orders!A:A,orders!B:B)</f>
        <v>498</v>
      </c>
      <c r="M164" s="6" t="str">
        <f>_xlfn.XLOOKUP("C"&amp;TEXT(L164,"000"),customers!A:A,customers!B:B,"Not Found")</f>
        <v>Divya O.</v>
      </c>
    </row>
    <row r="165" spans="1:13">
      <c r="A165">
        <v>164</v>
      </c>
      <c r="B165">
        <v>182</v>
      </c>
      <c r="C165">
        <v>38</v>
      </c>
      <c r="D165" s="4">
        <v>4</v>
      </c>
      <c r="E165">
        <f>_xlfn.XLOOKUP(C165,products!A:A,products!D:D)</f>
        <v>5706</v>
      </c>
      <c r="F165">
        <f t="shared" si="4"/>
        <v>22824</v>
      </c>
      <c r="G165">
        <f>D165*(E165-_xlfn.XLOOKUP(C165,products!A:A,products!E:E))</f>
        <v>7531.92</v>
      </c>
      <c r="H165" s="6" t="str">
        <f>_xlfn.XLOOKUP(C165,products!A:A,products!C:C)</f>
        <v>Sports</v>
      </c>
      <c r="I165" s="6" t="str">
        <f>_xlfn.XLOOKUP(C165,products!A:A,products!B:B)</f>
        <v>Badminton Racket</v>
      </c>
      <c r="J165" s="6">
        <f>_xlfn.XLOOKUP(B165,orders!A:A,orders!C:C)</f>
        <v>45901</v>
      </c>
      <c r="K165" s="6" t="str">
        <f t="shared" si="5"/>
        <v>Sep-2025</v>
      </c>
      <c r="L165" s="6">
        <f>_xlfn.XLOOKUP(B165,orders!A:A,orders!B:B)</f>
        <v>498</v>
      </c>
      <c r="M165" s="6" t="str">
        <f>_xlfn.XLOOKUP("C"&amp;TEXT(L165,"000"),customers!A:A,customers!B:B,"Not Found")</f>
        <v>Divya O.</v>
      </c>
    </row>
    <row r="166" spans="1:13">
      <c r="A166">
        <v>165</v>
      </c>
      <c r="B166">
        <v>183</v>
      </c>
      <c r="C166">
        <v>32</v>
      </c>
      <c r="D166" s="4">
        <v>4</v>
      </c>
      <c r="E166">
        <f>_xlfn.XLOOKUP(C166,products!A:A,products!D:D)</f>
        <v>4884</v>
      </c>
      <c r="F166">
        <f t="shared" si="4"/>
        <v>19536</v>
      </c>
      <c r="G166">
        <f>D166*(E166-_xlfn.XLOOKUP(C166,products!A:A,products!E:E))</f>
        <v>8205.1200000000008</v>
      </c>
      <c r="H166" s="6" t="str">
        <f>_xlfn.XLOOKUP(C166,products!A:A,products!C:C)</f>
        <v>Books</v>
      </c>
      <c r="I166" s="6" t="str">
        <f>_xlfn.XLOOKUP(C166,products!A:A,products!B:B)</f>
        <v>Notebook</v>
      </c>
      <c r="J166" s="6">
        <f>_xlfn.XLOOKUP(B166,orders!A:A,orders!C:C)</f>
        <v>45904</v>
      </c>
      <c r="K166" s="6" t="str">
        <f t="shared" si="5"/>
        <v>Sep-2025</v>
      </c>
      <c r="L166" s="6">
        <f>_xlfn.XLOOKUP(B166,orders!A:A,orders!B:B)</f>
        <v>35</v>
      </c>
      <c r="M166" s="6" t="str">
        <f>_xlfn.XLOOKUP("C"&amp;TEXT(L166,"000"),customers!A:A,customers!B:B,"Not Found")</f>
        <v>Arjun E.</v>
      </c>
    </row>
    <row r="167" spans="1:13">
      <c r="A167">
        <v>166</v>
      </c>
      <c r="B167">
        <v>183</v>
      </c>
      <c r="C167">
        <v>45</v>
      </c>
      <c r="D167" s="4">
        <v>1</v>
      </c>
      <c r="E167">
        <f>_xlfn.XLOOKUP(C167,products!A:A,products!D:D)</f>
        <v>6665</v>
      </c>
      <c r="F167">
        <f t="shared" si="4"/>
        <v>6665</v>
      </c>
      <c r="G167">
        <f>D167*(E167-_xlfn.XLOOKUP(C167,products!A:A,products!E:E))</f>
        <v>2499.38</v>
      </c>
      <c r="H167" s="6" t="str">
        <f>_xlfn.XLOOKUP(C167,products!A:A,products!C:C)</f>
        <v>Beauty</v>
      </c>
      <c r="I167" s="6" t="str">
        <f>_xlfn.XLOOKUP(C167,products!A:A,products!B:B)</f>
        <v>Sunscreen</v>
      </c>
      <c r="J167" s="6">
        <f>_xlfn.XLOOKUP(B167,orders!A:A,orders!C:C)</f>
        <v>45904</v>
      </c>
      <c r="K167" s="6" t="str">
        <f t="shared" si="5"/>
        <v>Sep-2025</v>
      </c>
      <c r="L167" s="6">
        <f>_xlfn.XLOOKUP(B167,orders!A:A,orders!B:B)</f>
        <v>35</v>
      </c>
      <c r="M167" s="6" t="str">
        <f>_xlfn.XLOOKUP("C"&amp;TEXT(L167,"000"),customers!A:A,customers!B:B,"Not Found")</f>
        <v>Arjun E.</v>
      </c>
    </row>
    <row r="168" spans="1:13">
      <c r="A168">
        <v>167</v>
      </c>
      <c r="B168">
        <v>184</v>
      </c>
      <c r="C168">
        <v>39</v>
      </c>
      <c r="D168" s="4">
        <v>1</v>
      </c>
      <c r="E168">
        <f>_xlfn.XLOOKUP(C168,products!A:A,products!D:D)</f>
        <v>5843</v>
      </c>
      <c r="F168">
        <f t="shared" si="4"/>
        <v>5843</v>
      </c>
      <c r="G168">
        <f>D168*(E168-_xlfn.XLOOKUP(C168,products!A:A,products!E:E))</f>
        <v>1840.54</v>
      </c>
      <c r="H168" s="6" t="str">
        <f>_xlfn.XLOOKUP(C168,products!A:A,products!C:C)</f>
        <v>Sports</v>
      </c>
      <c r="I168" s="6" t="str">
        <f>_xlfn.XLOOKUP(C168,products!A:A,products!B:B)</f>
        <v>Yoga Mat</v>
      </c>
      <c r="J168" s="6">
        <f>_xlfn.XLOOKUP(B168,orders!A:A,orders!C:C)</f>
        <v>45907</v>
      </c>
      <c r="K168" s="6" t="str">
        <f t="shared" si="5"/>
        <v>Sep-2025</v>
      </c>
      <c r="L168" s="6">
        <f>_xlfn.XLOOKUP(B168,orders!A:A,orders!B:B)</f>
        <v>72</v>
      </c>
      <c r="M168" s="6" t="str">
        <f>_xlfn.XLOOKUP("C"&amp;TEXT(L168,"000"),customers!A:A,customers!B:B,"Not Found")</f>
        <v>Divya T.</v>
      </c>
    </row>
    <row r="169" spans="1:13">
      <c r="A169">
        <v>168</v>
      </c>
      <c r="B169">
        <v>184</v>
      </c>
      <c r="C169">
        <v>2</v>
      </c>
      <c r="D169" s="4">
        <v>2</v>
      </c>
      <c r="E169">
        <f>_xlfn.XLOOKUP(C169,products!A:A,products!D:D)</f>
        <v>774</v>
      </c>
      <c r="F169">
        <f t="shared" si="4"/>
        <v>1548</v>
      </c>
      <c r="G169">
        <f>D169*(E169-_xlfn.XLOOKUP(C169,products!A:A,products!E:E))</f>
        <v>650.16</v>
      </c>
      <c r="H169" s="6" t="str">
        <f>_xlfn.XLOOKUP(C169,products!A:A,products!C:C)</f>
        <v>Electronics</v>
      </c>
      <c r="I169" s="6" t="str">
        <f>_xlfn.XLOOKUP(C169,products!A:A,products!B:B)</f>
        <v>Mobile</v>
      </c>
      <c r="J169" s="6">
        <f>_xlfn.XLOOKUP(B169,orders!A:A,orders!C:C)</f>
        <v>45907</v>
      </c>
      <c r="K169" s="6" t="str">
        <f t="shared" si="5"/>
        <v>Sep-2025</v>
      </c>
      <c r="L169" s="6">
        <f>_xlfn.XLOOKUP(B169,orders!A:A,orders!B:B)</f>
        <v>72</v>
      </c>
      <c r="M169" s="6" t="str">
        <f>_xlfn.XLOOKUP("C"&amp;TEXT(L169,"000"),customers!A:A,customers!B:B,"Not Found")</f>
        <v>Divya T.</v>
      </c>
    </row>
    <row r="170" spans="1:13">
      <c r="A170">
        <v>169</v>
      </c>
      <c r="B170">
        <v>185</v>
      </c>
      <c r="C170">
        <v>46</v>
      </c>
      <c r="D170" s="4">
        <v>2</v>
      </c>
      <c r="E170">
        <f>_xlfn.XLOOKUP(C170,products!A:A,products!D:D)</f>
        <v>6802</v>
      </c>
      <c r="F170">
        <f t="shared" si="4"/>
        <v>13604</v>
      </c>
      <c r="G170">
        <f>D170*(E170-_xlfn.XLOOKUP(C170,products!A:A,products!E:E))</f>
        <v>4897.4400000000005</v>
      </c>
      <c r="H170" s="6" t="str">
        <f>_xlfn.XLOOKUP(C170,products!A:A,products!C:C)</f>
        <v>Toys</v>
      </c>
      <c r="I170" s="6" t="str">
        <f>_xlfn.XLOOKUP(C170,products!A:A,products!B:B)</f>
        <v>Toys Car</v>
      </c>
      <c r="J170" s="6">
        <f>_xlfn.XLOOKUP(B170,orders!A:A,orders!C:C)</f>
        <v>45910</v>
      </c>
      <c r="K170" s="6" t="str">
        <f t="shared" si="5"/>
        <v>Sep-2025</v>
      </c>
      <c r="L170" s="6">
        <f>_xlfn.XLOOKUP(B170,orders!A:A,orders!B:B)</f>
        <v>109</v>
      </c>
      <c r="M170" s="6" t="str">
        <f>_xlfn.XLOOKUP("C"&amp;TEXT(L170,"000"),customers!A:A,customers!B:B,"Not Found")</f>
        <v>Kavya H.</v>
      </c>
    </row>
    <row r="171" spans="1:13">
      <c r="A171">
        <v>170</v>
      </c>
      <c r="B171">
        <v>185</v>
      </c>
      <c r="C171">
        <v>9</v>
      </c>
      <c r="D171" s="4">
        <v>3</v>
      </c>
      <c r="E171">
        <f>_xlfn.XLOOKUP(C171,products!A:A,products!D:D)</f>
        <v>1733</v>
      </c>
      <c r="F171">
        <f t="shared" si="4"/>
        <v>5199</v>
      </c>
      <c r="G171">
        <f>D171*(E171-_xlfn.XLOOKUP(C171,products!A:A,products!E:E))</f>
        <v>1637.6700000000003</v>
      </c>
      <c r="H171" s="6" t="str">
        <f>_xlfn.XLOOKUP(C171,products!A:A,products!C:C)</f>
        <v>Electronics</v>
      </c>
      <c r="I171" s="6" t="str">
        <f>_xlfn.XLOOKUP(C171,products!A:A,products!B:B)</f>
        <v>Power Bank</v>
      </c>
      <c r="J171" s="6">
        <f>_xlfn.XLOOKUP(B171,orders!A:A,orders!C:C)</f>
        <v>45910</v>
      </c>
      <c r="K171" s="6" t="str">
        <f t="shared" si="5"/>
        <v>Sep-2025</v>
      </c>
      <c r="L171" s="6">
        <f>_xlfn.XLOOKUP(B171,orders!A:A,orders!B:B)</f>
        <v>109</v>
      </c>
      <c r="M171" s="6" t="str">
        <f>_xlfn.XLOOKUP("C"&amp;TEXT(L171,"000"),customers!A:A,customers!B:B,"Not Found")</f>
        <v>Kavya H.</v>
      </c>
    </row>
    <row r="172" spans="1:13">
      <c r="A172">
        <v>171</v>
      </c>
      <c r="B172">
        <v>186</v>
      </c>
      <c r="C172">
        <v>3</v>
      </c>
      <c r="D172" s="4">
        <v>3</v>
      </c>
      <c r="E172">
        <f>_xlfn.XLOOKUP(C172,products!A:A,products!D:D)</f>
        <v>911</v>
      </c>
      <c r="F172">
        <f t="shared" si="4"/>
        <v>2733</v>
      </c>
      <c r="G172">
        <f>D172*(E172-_xlfn.XLOOKUP(C172,products!A:A,products!E:E))</f>
        <v>1106.8500000000001</v>
      </c>
      <c r="H172" s="6" t="str">
        <f>_xlfn.XLOOKUP(C172,products!A:A,products!C:C)</f>
        <v>Electronics</v>
      </c>
      <c r="I172" s="6" t="str">
        <f>_xlfn.XLOOKUP(C172,products!A:A,products!B:B)</f>
        <v>Headphones</v>
      </c>
      <c r="J172" s="6">
        <f>_xlfn.XLOOKUP(B172,orders!A:A,orders!C:C)</f>
        <v>45913</v>
      </c>
      <c r="K172" s="6" t="str">
        <f t="shared" si="5"/>
        <v>Sep-2025</v>
      </c>
      <c r="L172" s="6">
        <f>_xlfn.XLOOKUP(B172,orders!A:A,orders!B:B)</f>
        <v>146</v>
      </c>
      <c r="M172" s="6" t="str">
        <f>_xlfn.XLOOKUP("C"&amp;TEXT(L172,"000"),customers!A:A,customers!B:B,"Not Found")</f>
        <v>Pooja C.</v>
      </c>
    </row>
    <row r="173" spans="1:13">
      <c r="A173">
        <v>172</v>
      </c>
      <c r="B173">
        <v>186</v>
      </c>
      <c r="C173">
        <v>16</v>
      </c>
      <c r="D173" s="4">
        <v>4</v>
      </c>
      <c r="E173">
        <f>_xlfn.XLOOKUP(C173,products!A:A,products!D:D)</f>
        <v>2692</v>
      </c>
      <c r="F173">
        <f t="shared" si="4"/>
        <v>10768</v>
      </c>
      <c r="G173">
        <f>D173*(E173-_xlfn.XLOOKUP(C173,products!A:A,products!E:E))</f>
        <v>3876.4799999999996</v>
      </c>
      <c r="H173" s="6" t="str">
        <f>_xlfn.XLOOKUP(C173,products!A:A,products!C:C)</f>
        <v>Fashion</v>
      </c>
      <c r="I173" s="6" t="str">
        <f>_xlfn.XLOOKUP(C173,products!A:A,products!B:B)</f>
        <v>Saree</v>
      </c>
      <c r="J173" s="6">
        <f>_xlfn.XLOOKUP(B173,orders!A:A,orders!C:C)</f>
        <v>45913</v>
      </c>
      <c r="K173" s="6" t="str">
        <f t="shared" si="5"/>
        <v>Sep-2025</v>
      </c>
      <c r="L173" s="6">
        <f>_xlfn.XLOOKUP(B173,orders!A:A,orders!B:B)</f>
        <v>146</v>
      </c>
      <c r="M173" s="6" t="str">
        <f>_xlfn.XLOOKUP("C"&amp;TEXT(L173,"000"),customers!A:A,customers!B:B,"Not Found")</f>
        <v>Pooja C.</v>
      </c>
    </row>
    <row r="174" spans="1:13">
      <c r="A174">
        <v>173</v>
      </c>
      <c r="B174">
        <v>187</v>
      </c>
      <c r="C174">
        <v>10</v>
      </c>
      <c r="D174" s="4">
        <v>4</v>
      </c>
      <c r="E174">
        <f>_xlfn.XLOOKUP(C174,products!A:A,products!D:D)</f>
        <v>1870</v>
      </c>
      <c r="F174">
        <f t="shared" si="4"/>
        <v>7480</v>
      </c>
      <c r="G174">
        <f>D174*(E174-_xlfn.XLOOKUP(C174,products!A:A,products!E:E))</f>
        <v>3366</v>
      </c>
      <c r="H174" s="6" t="str">
        <f>_xlfn.XLOOKUP(C174,products!A:A,products!C:C)</f>
        <v>Electronics</v>
      </c>
      <c r="I174" s="6" t="str">
        <f>_xlfn.XLOOKUP(C174,products!A:A,products!B:B)</f>
        <v>Earbuds</v>
      </c>
      <c r="J174" s="6">
        <f>_xlfn.XLOOKUP(B174,orders!A:A,orders!C:C)</f>
        <v>45916</v>
      </c>
      <c r="K174" s="6" t="str">
        <f t="shared" si="5"/>
        <v>Sep-2025</v>
      </c>
      <c r="L174" s="6">
        <f>_xlfn.XLOOKUP(B174,orders!A:A,orders!B:B)</f>
        <v>183</v>
      </c>
      <c r="M174" s="6" t="str">
        <f>_xlfn.XLOOKUP("C"&amp;TEXT(L174,"000"),customers!A:A,customers!B:B,"Not Found")</f>
        <v>Manoj R.</v>
      </c>
    </row>
    <row r="175" spans="1:13">
      <c r="A175">
        <v>174</v>
      </c>
      <c r="B175">
        <v>187</v>
      </c>
      <c r="C175">
        <v>23</v>
      </c>
      <c r="D175" s="4">
        <v>1</v>
      </c>
      <c r="E175">
        <f>_xlfn.XLOOKUP(C175,products!A:A,products!D:D)</f>
        <v>3651</v>
      </c>
      <c r="F175">
        <f t="shared" si="4"/>
        <v>3651</v>
      </c>
      <c r="G175">
        <f>D175*(E175-_xlfn.XLOOKUP(C175,products!A:A,products!E:E))</f>
        <v>1478.65</v>
      </c>
      <c r="H175" s="6" t="str">
        <f>_xlfn.XLOOKUP(C175,products!A:A,products!C:C)</f>
        <v>Home Appliances</v>
      </c>
      <c r="I175" s="6" t="str">
        <f>_xlfn.XLOOKUP(C175,products!A:A,products!B:B)</f>
        <v>Fan</v>
      </c>
      <c r="J175" s="6">
        <f>_xlfn.XLOOKUP(B175,orders!A:A,orders!C:C)</f>
        <v>45916</v>
      </c>
      <c r="K175" s="6" t="str">
        <f t="shared" si="5"/>
        <v>Sep-2025</v>
      </c>
      <c r="L175" s="6">
        <f>_xlfn.XLOOKUP(B175,orders!A:A,orders!B:B)</f>
        <v>183</v>
      </c>
      <c r="M175" s="6" t="str">
        <f>_xlfn.XLOOKUP("C"&amp;TEXT(L175,"000"),customers!A:A,customers!B:B,"Not Found")</f>
        <v>Manoj R.</v>
      </c>
    </row>
    <row r="176" spans="1:13">
      <c r="A176">
        <v>175</v>
      </c>
      <c r="B176">
        <v>188</v>
      </c>
      <c r="C176">
        <v>17</v>
      </c>
      <c r="D176" s="4">
        <v>1</v>
      </c>
      <c r="E176">
        <f>_xlfn.XLOOKUP(C176,products!A:A,products!D:D)</f>
        <v>2829</v>
      </c>
      <c r="F176">
        <f t="shared" si="4"/>
        <v>2829</v>
      </c>
      <c r="G176">
        <f>D176*(E176-_xlfn.XLOOKUP(C176,products!A:A,products!E:E))</f>
        <v>976</v>
      </c>
      <c r="H176" s="6" t="str">
        <f>_xlfn.XLOOKUP(C176,products!A:A,products!C:C)</f>
        <v>Fashion</v>
      </c>
      <c r="I176" s="6" t="str">
        <f>_xlfn.XLOOKUP(C176,products!A:A,products!B:B)</f>
        <v>Dress</v>
      </c>
      <c r="J176" s="6">
        <f>_xlfn.XLOOKUP(B176,orders!A:A,orders!C:C)</f>
        <v>45919</v>
      </c>
      <c r="K176" s="6" t="str">
        <f t="shared" si="5"/>
        <v>Sep-2025</v>
      </c>
      <c r="L176" s="6">
        <f>_xlfn.XLOOKUP(B176,orders!A:A,orders!B:B)</f>
        <v>220</v>
      </c>
      <c r="M176" s="6" t="str">
        <f>_xlfn.XLOOKUP("C"&amp;TEXT(L176,"000"),customers!A:A,customers!B:B,"Not Found")</f>
        <v>Neha N.</v>
      </c>
    </row>
    <row r="177" spans="1:13">
      <c r="A177">
        <v>176</v>
      </c>
      <c r="B177">
        <v>188</v>
      </c>
      <c r="C177">
        <v>30</v>
      </c>
      <c r="D177" s="4">
        <v>2</v>
      </c>
      <c r="E177">
        <f>_xlfn.XLOOKUP(C177,products!A:A,products!D:D)</f>
        <v>4610</v>
      </c>
      <c r="F177">
        <f t="shared" si="4"/>
        <v>9220</v>
      </c>
      <c r="G177">
        <f>D177*(E177-_xlfn.XLOOKUP(C177,products!A:A,products!E:E))</f>
        <v>4149</v>
      </c>
      <c r="H177" s="6" t="str">
        <f>_xlfn.XLOOKUP(C177,products!A:A,products!C:C)</f>
        <v>Furniture</v>
      </c>
      <c r="I177" s="6" t="str">
        <f>_xlfn.XLOOKUP(C177,products!A:A,products!B:B)</f>
        <v>Table</v>
      </c>
      <c r="J177" s="6">
        <f>_xlfn.XLOOKUP(B177,orders!A:A,orders!C:C)</f>
        <v>45919</v>
      </c>
      <c r="K177" s="6" t="str">
        <f t="shared" si="5"/>
        <v>Sep-2025</v>
      </c>
      <c r="L177" s="6">
        <f>_xlfn.XLOOKUP(B177,orders!A:A,orders!B:B)</f>
        <v>220</v>
      </c>
      <c r="M177" s="6" t="str">
        <f>_xlfn.XLOOKUP("C"&amp;TEXT(L177,"000"),customers!A:A,customers!B:B,"Not Found")</f>
        <v>Neha N.</v>
      </c>
    </row>
    <row r="178" spans="1:13">
      <c r="A178">
        <v>177</v>
      </c>
      <c r="B178">
        <v>189</v>
      </c>
      <c r="C178">
        <v>24</v>
      </c>
      <c r="D178" s="4">
        <v>2</v>
      </c>
      <c r="E178">
        <f>_xlfn.XLOOKUP(C178,products!A:A,products!D:D)</f>
        <v>3788</v>
      </c>
      <c r="F178">
        <f t="shared" si="4"/>
        <v>7576</v>
      </c>
      <c r="G178">
        <f>D178*(E178-_xlfn.XLOOKUP(C178,products!A:A,products!E:E))</f>
        <v>2954.6400000000003</v>
      </c>
      <c r="H178" s="6" t="str">
        <f>_xlfn.XLOOKUP(C178,products!A:A,products!C:C)</f>
        <v>Home Appliances</v>
      </c>
      <c r="I178" s="6" t="str">
        <f>_xlfn.XLOOKUP(C178,products!A:A,products!B:B)</f>
        <v>Iron</v>
      </c>
      <c r="J178" s="6">
        <f>_xlfn.XLOOKUP(B178,orders!A:A,orders!C:C)</f>
        <v>45922</v>
      </c>
      <c r="K178" s="6" t="str">
        <f t="shared" si="5"/>
        <v>Sep-2025</v>
      </c>
      <c r="L178" s="6">
        <f>_xlfn.XLOOKUP(B178,orders!A:A,orders!B:B)</f>
        <v>257</v>
      </c>
      <c r="M178" s="6" t="str">
        <f>_xlfn.XLOOKUP("C"&amp;TEXT(L178,"000"),customers!A:A,customers!B:B,"Not Found")</f>
        <v>Suresh Y.</v>
      </c>
    </row>
    <row r="179" spans="1:13">
      <c r="A179">
        <v>178</v>
      </c>
      <c r="B179">
        <v>189</v>
      </c>
      <c r="C179">
        <v>37</v>
      </c>
      <c r="D179" s="4">
        <v>3</v>
      </c>
      <c r="E179">
        <f>_xlfn.XLOOKUP(C179,products!A:A,products!D:D)</f>
        <v>5569</v>
      </c>
      <c r="F179">
        <f t="shared" si="4"/>
        <v>16707</v>
      </c>
      <c r="G179">
        <f>D179*(E179-_xlfn.XLOOKUP(C179,products!A:A,products!E:E))</f>
        <v>5763.9000000000005</v>
      </c>
      <c r="H179" s="6" t="str">
        <f>_xlfn.XLOOKUP(C179,products!A:A,products!C:C)</f>
        <v>Sports</v>
      </c>
      <c r="I179" s="6" t="str">
        <f>_xlfn.XLOOKUP(C179,products!A:A,products!B:B)</f>
        <v>Football</v>
      </c>
      <c r="J179" s="6">
        <f>_xlfn.XLOOKUP(B179,orders!A:A,orders!C:C)</f>
        <v>45922</v>
      </c>
      <c r="K179" s="6" t="str">
        <f t="shared" si="5"/>
        <v>Sep-2025</v>
      </c>
      <c r="L179" s="6">
        <f>_xlfn.XLOOKUP(B179,orders!A:A,orders!B:B)</f>
        <v>257</v>
      </c>
      <c r="M179" s="6" t="str">
        <f>_xlfn.XLOOKUP("C"&amp;TEXT(L179,"000"),customers!A:A,customers!B:B,"Not Found")</f>
        <v>Suresh Y.</v>
      </c>
    </row>
    <row r="180" spans="1:13">
      <c r="A180">
        <v>179</v>
      </c>
      <c r="B180">
        <v>190</v>
      </c>
      <c r="C180">
        <v>31</v>
      </c>
      <c r="D180" s="4">
        <v>3</v>
      </c>
      <c r="E180">
        <f>_xlfn.XLOOKUP(C180,products!A:A,products!D:D)</f>
        <v>4747</v>
      </c>
      <c r="F180">
        <f t="shared" si="4"/>
        <v>14241</v>
      </c>
      <c r="G180">
        <f>D180*(E180-_xlfn.XLOOKUP(C180,products!A:A,products!E:E))</f>
        <v>6194.82</v>
      </c>
      <c r="H180" s="6" t="str">
        <f>_xlfn.XLOOKUP(C180,products!A:A,products!C:C)</f>
        <v>Books</v>
      </c>
      <c r="I180" s="6" t="str">
        <f>_xlfn.XLOOKUP(C180,products!A:A,products!B:B)</f>
        <v>Book</v>
      </c>
      <c r="J180" s="6">
        <f>_xlfn.XLOOKUP(B180,orders!A:A,orders!C:C)</f>
        <v>45925</v>
      </c>
      <c r="K180" s="6" t="str">
        <f t="shared" si="5"/>
        <v>Sep-2025</v>
      </c>
      <c r="L180" s="6">
        <f>_xlfn.XLOOKUP(B180,orders!A:A,orders!B:B)</f>
        <v>294</v>
      </c>
      <c r="M180" s="6" t="str">
        <f>_xlfn.XLOOKUP("C"&amp;TEXT(L180,"000"),customers!A:A,customers!B:B,"Not Found")</f>
        <v>Divya V.</v>
      </c>
    </row>
    <row r="181" spans="1:13">
      <c r="A181">
        <v>180</v>
      </c>
      <c r="B181">
        <v>190</v>
      </c>
      <c r="C181">
        <v>44</v>
      </c>
      <c r="D181" s="4">
        <v>4</v>
      </c>
      <c r="E181">
        <f>_xlfn.XLOOKUP(C181,products!A:A,products!D:D)</f>
        <v>6528</v>
      </c>
      <c r="F181">
        <f t="shared" si="4"/>
        <v>26112</v>
      </c>
      <c r="G181">
        <f>D181*(E181-_xlfn.XLOOKUP(C181,products!A:A,products!E:E))</f>
        <v>10183.68</v>
      </c>
      <c r="H181" s="6" t="str">
        <f>_xlfn.XLOOKUP(C181,products!A:A,products!C:C)</f>
        <v>Beauty</v>
      </c>
      <c r="I181" s="6" t="str">
        <f>_xlfn.XLOOKUP(C181,products!A:A,products!B:B)</f>
        <v>Moisturizer</v>
      </c>
      <c r="J181" s="6">
        <f>_xlfn.XLOOKUP(B181,orders!A:A,orders!C:C)</f>
        <v>45925</v>
      </c>
      <c r="K181" s="6" t="str">
        <f t="shared" si="5"/>
        <v>Sep-2025</v>
      </c>
      <c r="L181" s="6">
        <f>_xlfn.XLOOKUP(B181,orders!A:A,orders!B:B)</f>
        <v>294</v>
      </c>
      <c r="M181" s="6" t="str">
        <f>_xlfn.XLOOKUP("C"&amp;TEXT(L181,"000"),customers!A:A,customers!B:B,"Not Found")</f>
        <v>Divya V.</v>
      </c>
    </row>
    <row r="182" spans="1:13">
      <c r="A182">
        <v>181</v>
      </c>
      <c r="B182">
        <v>191</v>
      </c>
      <c r="C182">
        <v>38</v>
      </c>
      <c r="D182" s="4">
        <v>4</v>
      </c>
      <c r="E182">
        <f>_xlfn.XLOOKUP(C182,products!A:A,products!D:D)</f>
        <v>5706</v>
      </c>
      <c r="F182">
        <f t="shared" si="4"/>
        <v>22824</v>
      </c>
      <c r="G182">
        <f>D182*(E182-_xlfn.XLOOKUP(C182,products!A:A,products!E:E))</f>
        <v>7531.92</v>
      </c>
      <c r="H182" s="6" t="str">
        <f>_xlfn.XLOOKUP(C182,products!A:A,products!C:C)</f>
        <v>Sports</v>
      </c>
      <c r="I182" s="6" t="str">
        <f>_xlfn.XLOOKUP(C182,products!A:A,products!B:B)</f>
        <v>Badminton Racket</v>
      </c>
      <c r="J182" s="6">
        <f>_xlfn.XLOOKUP(B182,orders!A:A,orders!C:C)</f>
        <v>45928</v>
      </c>
      <c r="K182" s="6" t="str">
        <f t="shared" si="5"/>
        <v>Sep-2025</v>
      </c>
      <c r="L182" s="6">
        <f>_xlfn.XLOOKUP(B182,orders!A:A,orders!B:B)</f>
        <v>331</v>
      </c>
      <c r="M182" s="6" t="str">
        <f>_xlfn.XLOOKUP("C"&amp;TEXT(L182,"000"),customers!A:A,customers!B:B,"Not Found")</f>
        <v>Meena W.</v>
      </c>
    </row>
    <row r="183" spans="1:13">
      <c r="A183">
        <v>182</v>
      </c>
      <c r="B183">
        <v>191</v>
      </c>
      <c r="C183">
        <v>1</v>
      </c>
      <c r="D183" s="4">
        <v>1</v>
      </c>
      <c r="E183">
        <f>_xlfn.XLOOKUP(C183,products!A:A,products!D:D)</f>
        <v>637</v>
      </c>
      <c r="F183">
        <f t="shared" si="4"/>
        <v>637</v>
      </c>
      <c r="G183">
        <f>D183*(E183-_xlfn.XLOOKUP(C183,products!A:A,products!E:E))</f>
        <v>277.08999999999997</v>
      </c>
      <c r="H183" s="6" t="str">
        <f>_xlfn.XLOOKUP(C183,products!A:A,products!C:C)</f>
        <v>Electronics</v>
      </c>
      <c r="I183" s="6" t="str">
        <f>_xlfn.XLOOKUP(C183,products!A:A,products!B:B)</f>
        <v>Laptop</v>
      </c>
      <c r="J183" s="6">
        <f>_xlfn.XLOOKUP(B183,orders!A:A,orders!C:C)</f>
        <v>45928</v>
      </c>
      <c r="K183" s="6" t="str">
        <f t="shared" si="5"/>
        <v>Sep-2025</v>
      </c>
      <c r="L183" s="6">
        <f>_xlfn.XLOOKUP(B183,orders!A:A,orders!B:B)</f>
        <v>331</v>
      </c>
      <c r="M183" s="6" t="str">
        <f>_xlfn.XLOOKUP("C"&amp;TEXT(L183,"000"),customers!A:A,customers!B:B,"Not Found")</f>
        <v>Meena W.</v>
      </c>
    </row>
    <row r="184" spans="1:13">
      <c r="A184">
        <v>183</v>
      </c>
      <c r="B184">
        <v>192</v>
      </c>
      <c r="C184">
        <v>45</v>
      </c>
      <c r="D184" s="4">
        <v>1</v>
      </c>
      <c r="E184">
        <f>_xlfn.XLOOKUP(C184,products!A:A,products!D:D)</f>
        <v>6665</v>
      </c>
      <c r="F184">
        <f t="shared" si="4"/>
        <v>6665</v>
      </c>
      <c r="G184">
        <f>D184*(E184-_xlfn.XLOOKUP(C184,products!A:A,products!E:E))</f>
        <v>2499.38</v>
      </c>
      <c r="H184" s="6" t="str">
        <f>_xlfn.XLOOKUP(C184,products!A:A,products!C:C)</f>
        <v>Beauty</v>
      </c>
      <c r="I184" s="6" t="str">
        <f>_xlfn.XLOOKUP(C184,products!A:A,products!B:B)</f>
        <v>Sunscreen</v>
      </c>
      <c r="J184" s="6">
        <f>_xlfn.XLOOKUP(B184,orders!A:A,orders!C:C)</f>
        <v>45931</v>
      </c>
      <c r="K184" s="6" t="str">
        <f t="shared" si="5"/>
        <v>Oct-2025</v>
      </c>
      <c r="L184" s="6">
        <f>_xlfn.XLOOKUP(B184,orders!A:A,orders!B:B)</f>
        <v>368</v>
      </c>
      <c r="M184" s="6" t="str">
        <f>_xlfn.XLOOKUP("C"&amp;TEXT(L184,"000"),customers!A:A,customers!B:B,"Not Found")</f>
        <v>Suresh U.</v>
      </c>
    </row>
    <row r="185" spans="1:13">
      <c r="A185">
        <v>184</v>
      </c>
      <c r="B185">
        <v>192</v>
      </c>
      <c r="C185">
        <v>8</v>
      </c>
      <c r="D185" s="4">
        <v>2</v>
      </c>
      <c r="E185">
        <f>_xlfn.XLOOKUP(C185,products!A:A,products!D:D)</f>
        <v>1596</v>
      </c>
      <c r="F185">
        <f t="shared" si="4"/>
        <v>3192</v>
      </c>
      <c r="G185">
        <f>D185*(E185-_xlfn.XLOOKUP(C185,products!A:A,products!E:E))</f>
        <v>1053.3600000000001</v>
      </c>
      <c r="H185" s="6" t="str">
        <f>_xlfn.XLOOKUP(C185,products!A:A,products!C:C)</f>
        <v>Electronics</v>
      </c>
      <c r="I185" s="6" t="str">
        <f>_xlfn.XLOOKUP(C185,products!A:A,products!B:B)</f>
        <v>Tablet</v>
      </c>
      <c r="J185" s="6">
        <f>_xlfn.XLOOKUP(B185,orders!A:A,orders!C:C)</f>
        <v>45931</v>
      </c>
      <c r="K185" s="6" t="str">
        <f t="shared" si="5"/>
        <v>Oct-2025</v>
      </c>
      <c r="L185" s="6">
        <f>_xlfn.XLOOKUP(B185,orders!A:A,orders!B:B)</f>
        <v>368</v>
      </c>
      <c r="M185" s="6" t="str">
        <f>_xlfn.XLOOKUP("C"&amp;TEXT(L185,"000"),customers!A:A,customers!B:B,"Not Found")</f>
        <v>Suresh U.</v>
      </c>
    </row>
    <row r="186" spans="1:13">
      <c r="A186">
        <v>185</v>
      </c>
      <c r="B186">
        <v>193</v>
      </c>
      <c r="C186">
        <v>2</v>
      </c>
      <c r="D186" s="4">
        <v>2</v>
      </c>
      <c r="E186">
        <f>_xlfn.XLOOKUP(C186,products!A:A,products!D:D)</f>
        <v>774</v>
      </c>
      <c r="F186">
        <f t="shared" si="4"/>
        <v>1548</v>
      </c>
      <c r="G186">
        <f>D186*(E186-_xlfn.XLOOKUP(C186,products!A:A,products!E:E))</f>
        <v>650.16</v>
      </c>
      <c r="H186" s="6" t="str">
        <f>_xlfn.XLOOKUP(C186,products!A:A,products!C:C)</f>
        <v>Electronics</v>
      </c>
      <c r="I186" s="6" t="str">
        <f>_xlfn.XLOOKUP(C186,products!A:A,products!B:B)</f>
        <v>Mobile</v>
      </c>
      <c r="J186" s="6">
        <f>_xlfn.XLOOKUP(B186,orders!A:A,orders!C:C)</f>
        <v>45934</v>
      </c>
      <c r="K186" s="6" t="str">
        <f t="shared" si="5"/>
        <v>Oct-2025</v>
      </c>
      <c r="L186" s="6">
        <f>_xlfn.XLOOKUP(B186,orders!A:A,orders!B:B)</f>
        <v>405</v>
      </c>
      <c r="M186" s="6" t="str">
        <f>_xlfn.XLOOKUP("C"&amp;TEXT(L186,"000"),customers!A:A,customers!B:B,"Not Found")</f>
        <v>Pooja L.</v>
      </c>
    </row>
    <row r="187" spans="1:13">
      <c r="A187">
        <v>186</v>
      </c>
      <c r="B187">
        <v>193</v>
      </c>
      <c r="C187">
        <v>15</v>
      </c>
      <c r="D187" s="4">
        <v>3</v>
      </c>
      <c r="E187">
        <f>_xlfn.XLOOKUP(C187,products!A:A,products!D:D)</f>
        <v>2555</v>
      </c>
      <c r="F187">
        <f t="shared" si="4"/>
        <v>7665</v>
      </c>
      <c r="G187">
        <f>D187*(E187-_xlfn.XLOOKUP(C187,products!A:A,products!E:E))</f>
        <v>2874.3599999999997</v>
      </c>
      <c r="H187" s="6" t="str">
        <f>_xlfn.XLOOKUP(C187,products!A:A,products!C:C)</f>
        <v>Fashion</v>
      </c>
      <c r="I187" s="6" t="str">
        <f>_xlfn.XLOOKUP(C187,products!A:A,products!B:B)</f>
        <v>Shoes</v>
      </c>
      <c r="J187" s="6">
        <f>_xlfn.XLOOKUP(B187,orders!A:A,orders!C:C)</f>
        <v>45934</v>
      </c>
      <c r="K187" s="6" t="str">
        <f t="shared" si="5"/>
        <v>Oct-2025</v>
      </c>
      <c r="L187" s="6">
        <f>_xlfn.XLOOKUP(B187,orders!A:A,orders!B:B)</f>
        <v>405</v>
      </c>
      <c r="M187" s="6" t="str">
        <f>_xlfn.XLOOKUP("C"&amp;TEXT(L187,"000"),customers!A:A,customers!B:B,"Not Found")</f>
        <v>Pooja L.</v>
      </c>
    </row>
    <row r="188" spans="1:13">
      <c r="A188">
        <v>187</v>
      </c>
      <c r="B188">
        <v>194</v>
      </c>
      <c r="C188">
        <v>9</v>
      </c>
      <c r="D188" s="4">
        <v>3</v>
      </c>
      <c r="E188">
        <f>_xlfn.XLOOKUP(C188,products!A:A,products!D:D)</f>
        <v>1733</v>
      </c>
      <c r="F188">
        <f t="shared" si="4"/>
        <v>5199</v>
      </c>
      <c r="G188">
        <f>D188*(E188-_xlfn.XLOOKUP(C188,products!A:A,products!E:E))</f>
        <v>1637.6700000000003</v>
      </c>
      <c r="H188" s="6" t="str">
        <f>_xlfn.XLOOKUP(C188,products!A:A,products!C:C)</f>
        <v>Electronics</v>
      </c>
      <c r="I188" s="6" t="str">
        <f>_xlfn.XLOOKUP(C188,products!A:A,products!B:B)</f>
        <v>Power Bank</v>
      </c>
      <c r="J188" s="6">
        <f>_xlfn.XLOOKUP(B188,orders!A:A,orders!C:C)</f>
        <v>45937</v>
      </c>
      <c r="K188" s="6" t="str">
        <f t="shared" si="5"/>
        <v>Oct-2025</v>
      </c>
      <c r="L188" s="6">
        <f>_xlfn.XLOOKUP(B188,orders!A:A,orders!B:B)</f>
        <v>442</v>
      </c>
      <c r="M188" s="6" t="str">
        <f>_xlfn.XLOOKUP("C"&amp;TEXT(L188,"000"),customers!A:A,customers!B:B,"Not Found")</f>
        <v>Nikhil P.</v>
      </c>
    </row>
    <row r="189" spans="1:13">
      <c r="A189">
        <v>188</v>
      </c>
      <c r="B189">
        <v>194</v>
      </c>
      <c r="C189">
        <v>22</v>
      </c>
      <c r="D189" s="4">
        <v>4</v>
      </c>
      <c r="E189">
        <f>_xlfn.XLOOKUP(C189,products!A:A,products!D:D)</f>
        <v>3514</v>
      </c>
      <c r="F189">
        <f t="shared" si="4"/>
        <v>14056</v>
      </c>
      <c r="G189">
        <f>D189*(E189-_xlfn.XLOOKUP(C189,products!A:A,products!E:E))</f>
        <v>5903.52</v>
      </c>
      <c r="H189" s="6" t="str">
        <f>_xlfn.XLOOKUP(C189,products!A:A,products!C:C)</f>
        <v>Home Appliances</v>
      </c>
      <c r="I189" s="6" t="str">
        <f>_xlfn.XLOOKUP(C189,products!A:A,products!B:B)</f>
        <v>Microwave</v>
      </c>
      <c r="J189" s="6">
        <f>_xlfn.XLOOKUP(B189,orders!A:A,orders!C:C)</f>
        <v>45937</v>
      </c>
      <c r="K189" s="6" t="str">
        <f t="shared" si="5"/>
        <v>Oct-2025</v>
      </c>
      <c r="L189" s="6">
        <f>_xlfn.XLOOKUP(B189,orders!A:A,orders!B:B)</f>
        <v>442</v>
      </c>
      <c r="M189" s="6" t="str">
        <f>_xlfn.XLOOKUP("C"&amp;TEXT(L189,"000"),customers!A:A,customers!B:B,"Not Found")</f>
        <v>Nikhil P.</v>
      </c>
    </row>
    <row r="190" spans="1:13">
      <c r="A190">
        <v>189</v>
      </c>
      <c r="B190">
        <v>195</v>
      </c>
      <c r="C190">
        <v>16</v>
      </c>
      <c r="D190" s="4">
        <v>4</v>
      </c>
      <c r="E190">
        <f>_xlfn.XLOOKUP(C190,products!A:A,products!D:D)</f>
        <v>2692</v>
      </c>
      <c r="F190">
        <f t="shared" si="4"/>
        <v>10768</v>
      </c>
      <c r="G190">
        <f>D190*(E190-_xlfn.XLOOKUP(C190,products!A:A,products!E:E))</f>
        <v>3876.4799999999996</v>
      </c>
      <c r="H190" s="6" t="str">
        <f>_xlfn.XLOOKUP(C190,products!A:A,products!C:C)</f>
        <v>Fashion</v>
      </c>
      <c r="I190" s="6" t="str">
        <f>_xlfn.XLOOKUP(C190,products!A:A,products!B:B)</f>
        <v>Saree</v>
      </c>
      <c r="J190" s="6">
        <f>_xlfn.XLOOKUP(B190,orders!A:A,orders!C:C)</f>
        <v>45940</v>
      </c>
      <c r="K190" s="6" t="str">
        <f t="shared" si="5"/>
        <v>Oct-2025</v>
      </c>
      <c r="L190" s="6">
        <f>_xlfn.XLOOKUP(B190,orders!A:A,orders!B:B)</f>
        <v>479</v>
      </c>
      <c r="M190" s="6" t="str">
        <f>_xlfn.XLOOKUP("C"&amp;TEXT(L190,"000"),customers!A:A,customers!B:B,"Not Found")</f>
        <v>Divya W.</v>
      </c>
    </row>
    <row r="191" spans="1:13">
      <c r="A191">
        <v>190</v>
      </c>
      <c r="B191">
        <v>195</v>
      </c>
      <c r="C191">
        <v>29</v>
      </c>
      <c r="D191" s="4">
        <v>1</v>
      </c>
      <c r="E191">
        <f>_xlfn.XLOOKUP(C191,products!A:A,products!D:D)</f>
        <v>4473</v>
      </c>
      <c r="F191">
        <f t="shared" si="4"/>
        <v>4473</v>
      </c>
      <c r="G191">
        <f>D191*(E191-_xlfn.XLOOKUP(C191,products!A:A,products!E:E))</f>
        <v>1408.9899999999998</v>
      </c>
      <c r="H191" s="6" t="str">
        <f>_xlfn.XLOOKUP(C191,products!A:A,products!C:C)</f>
        <v>Furniture</v>
      </c>
      <c r="I191" s="6" t="str">
        <f>_xlfn.XLOOKUP(C191,products!A:A,products!B:B)</f>
        <v>Chair</v>
      </c>
      <c r="J191" s="6">
        <f>_xlfn.XLOOKUP(B191,orders!A:A,orders!C:C)</f>
        <v>45940</v>
      </c>
      <c r="K191" s="6" t="str">
        <f t="shared" si="5"/>
        <v>Oct-2025</v>
      </c>
      <c r="L191" s="6">
        <f>_xlfn.XLOOKUP(B191,orders!A:A,orders!B:B)</f>
        <v>479</v>
      </c>
      <c r="M191" s="6" t="str">
        <f>_xlfn.XLOOKUP("C"&amp;TEXT(L191,"000"),customers!A:A,customers!B:B,"Not Found")</f>
        <v>Divya W.</v>
      </c>
    </row>
    <row r="192" spans="1:13">
      <c r="A192">
        <v>191</v>
      </c>
      <c r="B192">
        <v>196</v>
      </c>
      <c r="C192">
        <v>23</v>
      </c>
      <c r="D192" s="4">
        <v>1</v>
      </c>
      <c r="E192">
        <f>_xlfn.XLOOKUP(C192,products!A:A,products!D:D)</f>
        <v>3651</v>
      </c>
      <c r="F192">
        <f t="shared" si="4"/>
        <v>3651</v>
      </c>
      <c r="G192">
        <f>D192*(E192-_xlfn.XLOOKUP(C192,products!A:A,products!E:E))</f>
        <v>1478.65</v>
      </c>
      <c r="H192" s="6" t="str">
        <f>_xlfn.XLOOKUP(C192,products!A:A,products!C:C)</f>
        <v>Home Appliances</v>
      </c>
      <c r="I192" s="6" t="str">
        <f>_xlfn.XLOOKUP(C192,products!A:A,products!B:B)</f>
        <v>Fan</v>
      </c>
      <c r="J192" s="6">
        <f>_xlfn.XLOOKUP(B192,orders!A:A,orders!C:C)</f>
        <v>45943</v>
      </c>
      <c r="K192" s="6" t="str">
        <f t="shared" si="5"/>
        <v>Oct-2025</v>
      </c>
      <c r="L192" s="6">
        <f>_xlfn.XLOOKUP(B192,orders!A:A,orders!B:B)</f>
        <v>16</v>
      </c>
      <c r="M192" s="6" t="str">
        <f>_xlfn.XLOOKUP("C"&amp;TEXT(L192,"000"),customers!A:A,customers!B:B,"Not Found")</f>
        <v>Meena U.</v>
      </c>
    </row>
    <row r="193" spans="1:13">
      <c r="A193">
        <v>192</v>
      </c>
      <c r="B193">
        <v>196</v>
      </c>
      <c r="C193">
        <v>36</v>
      </c>
      <c r="D193" s="4">
        <v>2</v>
      </c>
      <c r="E193">
        <f>_xlfn.XLOOKUP(C193,products!A:A,products!D:D)</f>
        <v>5432</v>
      </c>
      <c r="F193">
        <f t="shared" si="4"/>
        <v>10864</v>
      </c>
      <c r="G193">
        <f>D193*(E193-_xlfn.XLOOKUP(C193,products!A:A,products!E:E))</f>
        <v>3911.04</v>
      </c>
      <c r="H193" s="6" t="str">
        <f>_xlfn.XLOOKUP(C193,products!A:A,products!C:C)</f>
        <v>Sports</v>
      </c>
      <c r="I193" s="6" t="str">
        <f>_xlfn.XLOOKUP(C193,products!A:A,products!B:B)</f>
        <v>Cricket Bat</v>
      </c>
      <c r="J193" s="6">
        <f>_xlfn.XLOOKUP(B193,orders!A:A,orders!C:C)</f>
        <v>45943</v>
      </c>
      <c r="K193" s="6" t="str">
        <f t="shared" si="5"/>
        <v>Oct-2025</v>
      </c>
      <c r="L193" s="6">
        <f>_xlfn.XLOOKUP(B193,orders!A:A,orders!B:B)</f>
        <v>16</v>
      </c>
      <c r="M193" s="6" t="str">
        <f>_xlfn.XLOOKUP("C"&amp;TEXT(L193,"000"),customers!A:A,customers!B:B,"Not Found")</f>
        <v>Meena U.</v>
      </c>
    </row>
    <row r="194" spans="1:13">
      <c r="A194">
        <v>193</v>
      </c>
      <c r="B194">
        <v>197</v>
      </c>
      <c r="C194">
        <v>30</v>
      </c>
      <c r="D194" s="4">
        <v>2</v>
      </c>
      <c r="E194">
        <f>_xlfn.XLOOKUP(C194,products!A:A,products!D:D)</f>
        <v>4610</v>
      </c>
      <c r="F194">
        <f t="shared" ref="F194:F257" si="6">D194*E194</f>
        <v>9220</v>
      </c>
      <c r="G194">
        <f>D194*(E194-_xlfn.XLOOKUP(C194,products!A:A,products!E:E))</f>
        <v>4149</v>
      </c>
      <c r="H194" s="6" t="str">
        <f>_xlfn.XLOOKUP(C194,products!A:A,products!C:C)</f>
        <v>Furniture</v>
      </c>
      <c r="I194" s="6" t="str">
        <f>_xlfn.XLOOKUP(C194,products!A:A,products!B:B)</f>
        <v>Table</v>
      </c>
      <c r="J194" s="6">
        <f>_xlfn.XLOOKUP(B194,orders!A:A,orders!C:C)</f>
        <v>45946</v>
      </c>
      <c r="K194" s="6" t="str">
        <f t="shared" ref="K194:K257" si="7">TEXT(J194,"mmm-yyyy")</f>
        <v>Oct-2025</v>
      </c>
      <c r="L194" s="6">
        <f>_xlfn.XLOOKUP(B194,orders!A:A,orders!B:B)</f>
        <v>53</v>
      </c>
      <c r="M194" s="6" t="str">
        <f>_xlfn.XLOOKUP("C"&amp;TEXT(L194,"000"),customers!A:A,customers!B:B,"Not Found")</f>
        <v>Kavya P.</v>
      </c>
    </row>
    <row r="195" spans="1:13">
      <c r="A195">
        <v>194</v>
      </c>
      <c r="B195">
        <v>197</v>
      </c>
      <c r="C195">
        <v>43</v>
      </c>
      <c r="D195" s="4">
        <v>3</v>
      </c>
      <c r="E195">
        <f>_xlfn.XLOOKUP(C195,products!A:A,products!D:D)</f>
        <v>6391</v>
      </c>
      <c r="F195">
        <f t="shared" si="6"/>
        <v>19173</v>
      </c>
      <c r="G195">
        <f>D195*(E195-_xlfn.XLOOKUP(C195,products!A:A,products!E:E))</f>
        <v>7765.0499999999993</v>
      </c>
      <c r="H195" s="6" t="str">
        <f>_xlfn.XLOOKUP(C195,products!A:A,products!C:C)</f>
        <v>Beauty</v>
      </c>
      <c r="I195" s="6" t="str">
        <f>_xlfn.XLOOKUP(C195,products!A:A,products!B:B)</f>
        <v>Perfume</v>
      </c>
      <c r="J195" s="6">
        <f>_xlfn.XLOOKUP(B195,orders!A:A,orders!C:C)</f>
        <v>45946</v>
      </c>
      <c r="K195" s="6" t="str">
        <f t="shared" si="7"/>
        <v>Oct-2025</v>
      </c>
      <c r="L195" s="6">
        <f>_xlfn.XLOOKUP(B195,orders!A:A,orders!B:B)</f>
        <v>53</v>
      </c>
      <c r="M195" s="6" t="str">
        <f>_xlfn.XLOOKUP("C"&amp;TEXT(L195,"000"),customers!A:A,customers!B:B,"Not Found")</f>
        <v>Kavya P.</v>
      </c>
    </row>
    <row r="196" spans="1:13">
      <c r="A196">
        <v>195</v>
      </c>
      <c r="B196">
        <v>198</v>
      </c>
      <c r="C196">
        <v>37</v>
      </c>
      <c r="D196" s="4">
        <v>3</v>
      </c>
      <c r="E196">
        <f>_xlfn.XLOOKUP(C196,products!A:A,products!D:D)</f>
        <v>5569</v>
      </c>
      <c r="F196">
        <f t="shared" si="6"/>
        <v>16707</v>
      </c>
      <c r="G196">
        <f>D196*(E196-_xlfn.XLOOKUP(C196,products!A:A,products!E:E))</f>
        <v>5763.9000000000005</v>
      </c>
      <c r="H196" s="6" t="str">
        <f>_xlfn.XLOOKUP(C196,products!A:A,products!C:C)</f>
        <v>Sports</v>
      </c>
      <c r="I196" s="6" t="str">
        <f>_xlfn.XLOOKUP(C196,products!A:A,products!B:B)</f>
        <v>Football</v>
      </c>
      <c r="J196" s="6">
        <f>_xlfn.XLOOKUP(B196,orders!A:A,orders!C:C)</f>
        <v>45949</v>
      </c>
      <c r="K196" s="6" t="str">
        <f t="shared" si="7"/>
        <v>Oct-2025</v>
      </c>
      <c r="L196" s="6">
        <f>_xlfn.XLOOKUP(B196,orders!A:A,orders!B:B)</f>
        <v>90</v>
      </c>
      <c r="M196" s="6" t="str">
        <f>_xlfn.XLOOKUP("C"&amp;TEXT(L196,"000"),customers!A:A,customers!B:B,"Not Found")</f>
        <v>Nikhil I.</v>
      </c>
    </row>
    <row r="197" spans="1:13">
      <c r="A197">
        <v>196</v>
      </c>
      <c r="B197">
        <v>198</v>
      </c>
      <c r="C197">
        <v>50</v>
      </c>
      <c r="D197" s="4">
        <v>4</v>
      </c>
      <c r="E197">
        <f>_xlfn.XLOOKUP(C197,products!A:A,products!D:D)</f>
        <v>7350</v>
      </c>
      <c r="F197">
        <f t="shared" si="6"/>
        <v>29400</v>
      </c>
      <c r="G197">
        <f>D197*(E197-_xlfn.XLOOKUP(C197,products!A:A,products!E:E))</f>
        <v>13230</v>
      </c>
      <c r="H197" s="6" t="str">
        <f>_xlfn.XLOOKUP(C197,products!A:A,products!C:C)</f>
        <v>Toys</v>
      </c>
      <c r="I197" s="6" t="str">
        <f>_xlfn.XLOOKUP(C197,products!A:A,products!B:B)</f>
        <v>Building Blocks</v>
      </c>
      <c r="J197" s="6">
        <f>_xlfn.XLOOKUP(B197,orders!A:A,orders!C:C)</f>
        <v>45949</v>
      </c>
      <c r="K197" s="6" t="str">
        <f t="shared" si="7"/>
        <v>Oct-2025</v>
      </c>
      <c r="L197" s="6">
        <f>_xlfn.XLOOKUP(B197,orders!A:A,orders!B:B)</f>
        <v>90</v>
      </c>
      <c r="M197" s="6" t="str">
        <f>_xlfn.XLOOKUP("C"&amp;TEXT(L197,"000"),customers!A:A,customers!B:B,"Not Found")</f>
        <v>Nikhil I.</v>
      </c>
    </row>
    <row r="198" spans="1:13">
      <c r="A198">
        <v>197</v>
      </c>
      <c r="B198">
        <v>199</v>
      </c>
      <c r="C198">
        <v>44</v>
      </c>
      <c r="D198" s="4">
        <v>4</v>
      </c>
      <c r="E198">
        <f>_xlfn.XLOOKUP(C198,products!A:A,products!D:D)</f>
        <v>6528</v>
      </c>
      <c r="F198">
        <f t="shared" si="6"/>
        <v>26112</v>
      </c>
      <c r="G198">
        <f>D198*(E198-_xlfn.XLOOKUP(C198,products!A:A,products!E:E))</f>
        <v>10183.68</v>
      </c>
      <c r="H198" s="6" t="str">
        <f>_xlfn.XLOOKUP(C198,products!A:A,products!C:C)</f>
        <v>Beauty</v>
      </c>
      <c r="I198" s="6" t="str">
        <f>_xlfn.XLOOKUP(C198,products!A:A,products!B:B)</f>
        <v>Moisturizer</v>
      </c>
      <c r="J198" s="6">
        <f>_xlfn.XLOOKUP(B198,orders!A:A,orders!C:C)</f>
        <v>45952</v>
      </c>
      <c r="K198" s="6" t="str">
        <f t="shared" si="7"/>
        <v>Oct-2025</v>
      </c>
      <c r="L198" s="6">
        <f>_xlfn.XLOOKUP(B198,orders!A:A,orders!B:B)</f>
        <v>127</v>
      </c>
      <c r="M198" s="6" t="str">
        <f>_xlfn.XLOOKUP("C"&amp;TEXT(L198,"000"),customers!A:A,customers!B:B,"Not Found")</f>
        <v>Kavya E.</v>
      </c>
    </row>
    <row r="199" spans="1:13">
      <c r="A199">
        <v>198</v>
      </c>
      <c r="B199">
        <v>199</v>
      </c>
      <c r="C199">
        <v>7</v>
      </c>
      <c r="D199" s="4">
        <v>1</v>
      </c>
      <c r="E199">
        <f>_xlfn.XLOOKUP(C199,products!A:A,products!D:D)</f>
        <v>1459</v>
      </c>
      <c r="F199">
        <f t="shared" si="6"/>
        <v>1459</v>
      </c>
      <c r="G199">
        <f>D199*(E199-_xlfn.XLOOKUP(C199,products!A:A,products!E:E))</f>
        <v>503.35</v>
      </c>
      <c r="H199" s="6" t="str">
        <f>_xlfn.XLOOKUP(C199,products!A:A,products!C:C)</f>
        <v>Electronics</v>
      </c>
      <c r="I199" s="6" t="str">
        <f>_xlfn.XLOOKUP(C199,products!A:A,products!B:B)</f>
        <v>Monitor</v>
      </c>
      <c r="J199" s="6">
        <f>_xlfn.XLOOKUP(B199,orders!A:A,orders!C:C)</f>
        <v>45952</v>
      </c>
      <c r="K199" s="6" t="str">
        <f t="shared" si="7"/>
        <v>Oct-2025</v>
      </c>
      <c r="L199" s="6">
        <f>_xlfn.XLOOKUP(B199,orders!A:A,orders!B:B)</f>
        <v>127</v>
      </c>
      <c r="M199" s="6" t="str">
        <f>_xlfn.XLOOKUP("C"&amp;TEXT(L199,"000"),customers!A:A,customers!B:B,"Not Found")</f>
        <v>Kavya E.</v>
      </c>
    </row>
    <row r="200" spans="1:13">
      <c r="A200">
        <v>199</v>
      </c>
      <c r="B200">
        <v>200</v>
      </c>
      <c r="C200">
        <v>1</v>
      </c>
      <c r="D200" s="4">
        <v>1</v>
      </c>
      <c r="E200">
        <f>_xlfn.XLOOKUP(C200,products!A:A,products!D:D)</f>
        <v>637</v>
      </c>
      <c r="F200">
        <f t="shared" si="6"/>
        <v>637</v>
      </c>
      <c r="G200">
        <f>D200*(E200-_xlfn.XLOOKUP(C200,products!A:A,products!E:E))</f>
        <v>277.08999999999997</v>
      </c>
      <c r="H200" s="6" t="str">
        <f>_xlfn.XLOOKUP(C200,products!A:A,products!C:C)</f>
        <v>Electronics</v>
      </c>
      <c r="I200" s="6" t="str">
        <f>_xlfn.XLOOKUP(C200,products!A:A,products!B:B)</f>
        <v>Laptop</v>
      </c>
      <c r="J200" s="6">
        <f>_xlfn.XLOOKUP(B200,orders!A:A,orders!C:C)</f>
        <v>45955</v>
      </c>
      <c r="K200" s="6" t="str">
        <f t="shared" si="7"/>
        <v>Oct-2025</v>
      </c>
      <c r="L200" s="6">
        <f>_xlfn.XLOOKUP(B200,orders!A:A,orders!B:B)</f>
        <v>164</v>
      </c>
      <c r="M200" s="6" t="str">
        <f>_xlfn.XLOOKUP("C"&amp;TEXT(L200,"000"),customers!A:A,customers!B:B,"Not Found")</f>
        <v>Swathi D.</v>
      </c>
    </row>
    <row r="201" spans="1:13">
      <c r="A201">
        <v>200</v>
      </c>
      <c r="B201">
        <v>200</v>
      </c>
      <c r="C201">
        <v>14</v>
      </c>
      <c r="D201" s="4">
        <v>2</v>
      </c>
      <c r="E201">
        <f>_xlfn.XLOOKUP(C201,products!A:A,products!D:D)</f>
        <v>2418</v>
      </c>
      <c r="F201">
        <f t="shared" si="6"/>
        <v>4836</v>
      </c>
      <c r="G201">
        <f>D201*(E201-_xlfn.XLOOKUP(C201,products!A:A,products!E:E))</f>
        <v>1886.04</v>
      </c>
      <c r="H201" s="6" t="str">
        <f>_xlfn.XLOOKUP(C201,products!A:A,products!C:C)</f>
        <v>Fashion</v>
      </c>
      <c r="I201" s="6" t="str">
        <f>_xlfn.XLOOKUP(C201,products!A:A,products!B:B)</f>
        <v>Jacket</v>
      </c>
      <c r="J201" s="6">
        <f>_xlfn.XLOOKUP(B201,orders!A:A,orders!C:C)</f>
        <v>45955</v>
      </c>
      <c r="K201" s="6" t="str">
        <f t="shared" si="7"/>
        <v>Oct-2025</v>
      </c>
      <c r="L201" s="6">
        <f>_xlfn.XLOOKUP(B201,orders!A:A,orders!B:B)</f>
        <v>164</v>
      </c>
      <c r="M201" s="6" t="str">
        <f>_xlfn.XLOOKUP("C"&amp;TEXT(L201,"000"),customers!A:A,customers!B:B,"Not Found")</f>
        <v>Swathi D.</v>
      </c>
    </row>
    <row r="202" spans="1:13">
      <c r="A202">
        <v>201</v>
      </c>
      <c r="B202">
        <v>201</v>
      </c>
      <c r="C202">
        <v>8</v>
      </c>
      <c r="D202" s="4">
        <v>2</v>
      </c>
      <c r="E202">
        <f>_xlfn.XLOOKUP(C202,products!A:A,products!D:D)</f>
        <v>1596</v>
      </c>
      <c r="F202">
        <f t="shared" si="6"/>
        <v>3192</v>
      </c>
      <c r="G202">
        <f>D202*(E202-_xlfn.XLOOKUP(C202,products!A:A,products!E:E))</f>
        <v>1053.3600000000001</v>
      </c>
      <c r="H202" s="6" t="str">
        <f>_xlfn.XLOOKUP(C202,products!A:A,products!C:C)</f>
        <v>Electronics</v>
      </c>
      <c r="I202" s="6" t="str">
        <f>_xlfn.XLOOKUP(C202,products!A:A,products!B:B)</f>
        <v>Tablet</v>
      </c>
      <c r="J202" s="6">
        <f>_xlfn.XLOOKUP(B202,orders!A:A,orders!C:C)</f>
        <v>45958</v>
      </c>
      <c r="K202" s="6" t="str">
        <f t="shared" si="7"/>
        <v>Oct-2025</v>
      </c>
      <c r="L202" s="6">
        <f>_xlfn.XLOOKUP(B202,orders!A:A,orders!B:B)</f>
        <v>201</v>
      </c>
      <c r="M202" s="6" t="str">
        <f>_xlfn.XLOOKUP("C"&amp;TEXT(L202,"000"),customers!A:A,customers!B:B,"Not Found")</f>
        <v>Swathi P.</v>
      </c>
    </row>
    <row r="203" spans="1:13">
      <c r="A203">
        <v>202</v>
      </c>
      <c r="B203">
        <v>201</v>
      </c>
      <c r="C203">
        <v>21</v>
      </c>
      <c r="D203" s="4">
        <v>3</v>
      </c>
      <c r="E203">
        <f>_xlfn.XLOOKUP(C203,products!A:A,products!D:D)</f>
        <v>3377</v>
      </c>
      <c r="F203">
        <f t="shared" si="6"/>
        <v>10131</v>
      </c>
      <c r="G203">
        <f>D203*(E203-_xlfn.XLOOKUP(C203,products!A:A,products!E:E))</f>
        <v>4406.97</v>
      </c>
      <c r="H203" s="6" t="str">
        <f>_xlfn.XLOOKUP(C203,products!A:A,products!C:C)</f>
        <v>Home Appliances</v>
      </c>
      <c r="I203" s="6" t="str">
        <f>_xlfn.XLOOKUP(C203,products!A:A,products!B:B)</f>
        <v>Mixer</v>
      </c>
      <c r="J203" s="6">
        <f>_xlfn.XLOOKUP(B203,orders!A:A,orders!C:C)</f>
        <v>45958</v>
      </c>
      <c r="K203" s="6" t="str">
        <f t="shared" si="7"/>
        <v>Oct-2025</v>
      </c>
      <c r="L203" s="6">
        <f>_xlfn.XLOOKUP(B203,orders!A:A,orders!B:B)</f>
        <v>201</v>
      </c>
      <c r="M203" s="6" t="str">
        <f>_xlfn.XLOOKUP("C"&amp;TEXT(L203,"000"),customers!A:A,customers!B:B,"Not Found")</f>
        <v>Swathi P.</v>
      </c>
    </row>
    <row r="204" spans="1:13">
      <c r="A204">
        <v>203</v>
      </c>
      <c r="B204">
        <v>202</v>
      </c>
      <c r="C204">
        <v>15</v>
      </c>
      <c r="D204" s="4">
        <v>3</v>
      </c>
      <c r="E204">
        <f>_xlfn.XLOOKUP(C204,products!A:A,products!D:D)</f>
        <v>2555</v>
      </c>
      <c r="F204">
        <f t="shared" si="6"/>
        <v>7665</v>
      </c>
      <c r="G204">
        <f>D204*(E204-_xlfn.XLOOKUP(C204,products!A:A,products!E:E))</f>
        <v>2874.3599999999997</v>
      </c>
      <c r="H204" s="6" t="str">
        <f>_xlfn.XLOOKUP(C204,products!A:A,products!C:C)</f>
        <v>Fashion</v>
      </c>
      <c r="I204" s="6" t="str">
        <f>_xlfn.XLOOKUP(C204,products!A:A,products!B:B)</f>
        <v>Shoes</v>
      </c>
      <c r="J204" s="6">
        <f>_xlfn.XLOOKUP(B204,orders!A:A,orders!C:C)</f>
        <v>45961</v>
      </c>
      <c r="K204" s="6" t="str">
        <f t="shared" si="7"/>
        <v>Oct-2025</v>
      </c>
      <c r="L204" s="6">
        <f>_xlfn.XLOOKUP(B204,orders!A:A,orders!B:B)</f>
        <v>238</v>
      </c>
      <c r="M204" s="6" t="str">
        <f>_xlfn.XLOOKUP("C"&amp;TEXT(L204,"000"),customers!A:A,customers!B:B,"Not Found")</f>
        <v>Divya X.</v>
      </c>
    </row>
    <row r="205" spans="1:13">
      <c r="A205">
        <v>204</v>
      </c>
      <c r="B205">
        <v>202</v>
      </c>
      <c r="C205">
        <v>28</v>
      </c>
      <c r="D205" s="4">
        <v>4</v>
      </c>
      <c r="E205">
        <f>_xlfn.XLOOKUP(C205,products!A:A,products!D:D)</f>
        <v>4336</v>
      </c>
      <c r="F205">
        <f t="shared" si="6"/>
        <v>17344</v>
      </c>
      <c r="G205">
        <f>D205*(E205-_xlfn.XLOOKUP(C205,products!A:A,products!E:E))</f>
        <v>5723.52</v>
      </c>
      <c r="H205" s="6" t="str">
        <f>_xlfn.XLOOKUP(C205,products!A:A,products!C:C)</f>
        <v>Home &amp; Kitchen</v>
      </c>
      <c r="I205" s="6" t="str">
        <f>_xlfn.XLOOKUP(C205,products!A:A,products!B:B)</f>
        <v>Bottle</v>
      </c>
      <c r="J205" s="6">
        <f>_xlfn.XLOOKUP(B205,orders!A:A,orders!C:C)</f>
        <v>45961</v>
      </c>
      <c r="K205" s="6" t="str">
        <f t="shared" si="7"/>
        <v>Oct-2025</v>
      </c>
      <c r="L205" s="6">
        <f>_xlfn.XLOOKUP(B205,orders!A:A,orders!B:B)</f>
        <v>238</v>
      </c>
      <c r="M205" s="6" t="str">
        <f>_xlfn.XLOOKUP("C"&amp;TEXT(L205,"000"),customers!A:A,customers!B:B,"Not Found")</f>
        <v>Divya X.</v>
      </c>
    </row>
    <row r="206" spans="1:13">
      <c r="A206">
        <v>205</v>
      </c>
      <c r="B206">
        <v>203</v>
      </c>
      <c r="C206">
        <v>22</v>
      </c>
      <c r="D206" s="4">
        <v>4</v>
      </c>
      <c r="E206">
        <f>_xlfn.XLOOKUP(C206,products!A:A,products!D:D)</f>
        <v>3514</v>
      </c>
      <c r="F206">
        <f t="shared" si="6"/>
        <v>14056</v>
      </c>
      <c r="G206">
        <f>D206*(E206-_xlfn.XLOOKUP(C206,products!A:A,products!E:E))</f>
        <v>5903.52</v>
      </c>
      <c r="H206" s="6" t="str">
        <f>_xlfn.XLOOKUP(C206,products!A:A,products!C:C)</f>
        <v>Home Appliances</v>
      </c>
      <c r="I206" s="6" t="str">
        <f>_xlfn.XLOOKUP(C206,products!A:A,products!B:B)</f>
        <v>Microwave</v>
      </c>
      <c r="J206" s="6">
        <f>_xlfn.XLOOKUP(B206,orders!A:A,orders!C:C)</f>
        <v>45964</v>
      </c>
      <c r="K206" s="6" t="str">
        <f t="shared" si="7"/>
        <v>Nov-2025</v>
      </c>
      <c r="L206" s="6">
        <f>_xlfn.XLOOKUP(B206,orders!A:A,orders!B:B)</f>
        <v>275</v>
      </c>
      <c r="M206" s="6" t="str">
        <f>_xlfn.XLOOKUP("C"&amp;TEXT(L206,"000"),customers!A:A,customers!B:B,"Not Found")</f>
        <v>Swathi C.</v>
      </c>
    </row>
    <row r="207" spans="1:13">
      <c r="A207">
        <v>206</v>
      </c>
      <c r="B207">
        <v>203</v>
      </c>
      <c r="C207">
        <v>35</v>
      </c>
      <c r="D207" s="4">
        <v>1</v>
      </c>
      <c r="E207">
        <f>_xlfn.XLOOKUP(C207,products!A:A,products!D:D)</f>
        <v>5295</v>
      </c>
      <c r="F207">
        <f t="shared" si="6"/>
        <v>5295</v>
      </c>
      <c r="G207">
        <f>D207*(E207-_xlfn.XLOOKUP(C207,products!A:A,products!E:E))</f>
        <v>1985.62</v>
      </c>
      <c r="H207" s="6" t="str">
        <f>_xlfn.XLOOKUP(C207,products!A:A,products!C:C)</f>
        <v>Books</v>
      </c>
      <c r="I207" s="6" t="str">
        <f>_xlfn.XLOOKUP(C207,products!A:A,products!B:B)</f>
        <v>Novel</v>
      </c>
      <c r="J207" s="6">
        <f>_xlfn.XLOOKUP(B207,orders!A:A,orders!C:C)</f>
        <v>45964</v>
      </c>
      <c r="K207" s="6" t="str">
        <f t="shared" si="7"/>
        <v>Nov-2025</v>
      </c>
      <c r="L207" s="6">
        <f>_xlfn.XLOOKUP(B207,orders!A:A,orders!B:B)</f>
        <v>275</v>
      </c>
      <c r="M207" s="6" t="str">
        <f>_xlfn.XLOOKUP("C"&amp;TEXT(L207,"000"),customers!A:A,customers!B:B,"Not Found")</f>
        <v>Swathi C.</v>
      </c>
    </row>
    <row r="208" spans="1:13">
      <c r="A208">
        <v>207</v>
      </c>
      <c r="B208">
        <v>204</v>
      </c>
      <c r="C208">
        <v>29</v>
      </c>
      <c r="D208" s="4">
        <v>1</v>
      </c>
      <c r="E208">
        <f>_xlfn.XLOOKUP(C208,products!A:A,products!D:D)</f>
        <v>4473</v>
      </c>
      <c r="F208">
        <f t="shared" si="6"/>
        <v>4473</v>
      </c>
      <c r="G208">
        <f>D208*(E208-_xlfn.XLOOKUP(C208,products!A:A,products!E:E))</f>
        <v>1408.9899999999998</v>
      </c>
      <c r="H208" s="6" t="str">
        <f>_xlfn.XLOOKUP(C208,products!A:A,products!C:C)</f>
        <v>Furniture</v>
      </c>
      <c r="I208" s="6" t="str">
        <f>_xlfn.XLOOKUP(C208,products!A:A,products!B:B)</f>
        <v>Chair</v>
      </c>
      <c r="J208" s="6">
        <f>_xlfn.XLOOKUP(B208,orders!A:A,orders!C:C)</f>
        <v>45967</v>
      </c>
      <c r="K208" s="6" t="str">
        <f t="shared" si="7"/>
        <v>Nov-2025</v>
      </c>
      <c r="L208" s="6">
        <f>_xlfn.XLOOKUP(B208,orders!A:A,orders!B:B)</f>
        <v>312</v>
      </c>
      <c r="M208" s="6" t="str">
        <f>_xlfn.XLOOKUP("C"&amp;TEXT(L208,"000"),customers!A:A,customers!B:B,"Not Found")</f>
        <v>Swathi O.</v>
      </c>
    </row>
    <row r="209" spans="1:13">
      <c r="A209">
        <v>208</v>
      </c>
      <c r="B209">
        <v>204</v>
      </c>
      <c r="C209">
        <v>42</v>
      </c>
      <c r="D209" s="4">
        <v>2</v>
      </c>
      <c r="E209">
        <f>_xlfn.XLOOKUP(C209,products!A:A,products!D:D)</f>
        <v>6254</v>
      </c>
      <c r="F209">
        <f t="shared" si="6"/>
        <v>12508</v>
      </c>
      <c r="G209">
        <f>D209*(E209-_xlfn.XLOOKUP(C209,products!A:A,products!E:E))</f>
        <v>5253.36</v>
      </c>
      <c r="H209" s="6" t="str">
        <f>_xlfn.XLOOKUP(C209,products!A:A,products!C:C)</f>
        <v>Beauty</v>
      </c>
      <c r="I209" s="6" t="str">
        <f>_xlfn.XLOOKUP(C209,products!A:A,products!B:B)</f>
        <v>Shampoo</v>
      </c>
      <c r="J209" s="6">
        <f>_xlfn.XLOOKUP(B209,orders!A:A,orders!C:C)</f>
        <v>45967</v>
      </c>
      <c r="K209" s="6" t="str">
        <f t="shared" si="7"/>
        <v>Nov-2025</v>
      </c>
      <c r="L209" s="6">
        <f>_xlfn.XLOOKUP(B209,orders!A:A,orders!B:B)</f>
        <v>312</v>
      </c>
      <c r="M209" s="6" t="str">
        <f>_xlfn.XLOOKUP("C"&amp;TEXT(L209,"000"),customers!A:A,customers!B:B,"Not Found")</f>
        <v>Swathi O.</v>
      </c>
    </row>
    <row r="210" spans="1:13">
      <c r="A210">
        <v>209</v>
      </c>
      <c r="B210">
        <v>205</v>
      </c>
      <c r="C210">
        <v>36</v>
      </c>
      <c r="D210" s="4">
        <v>2</v>
      </c>
      <c r="E210">
        <f>_xlfn.XLOOKUP(C210,products!A:A,products!D:D)</f>
        <v>5432</v>
      </c>
      <c r="F210">
        <f t="shared" si="6"/>
        <v>10864</v>
      </c>
      <c r="G210">
        <f>D210*(E210-_xlfn.XLOOKUP(C210,products!A:A,products!E:E))</f>
        <v>3911.04</v>
      </c>
      <c r="H210" s="6" t="str">
        <f>_xlfn.XLOOKUP(C210,products!A:A,products!C:C)</f>
        <v>Sports</v>
      </c>
      <c r="I210" s="6" t="str">
        <f>_xlfn.XLOOKUP(C210,products!A:A,products!B:B)</f>
        <v>Cricket Bat</v>
      </c>
      <c r="J210" s="6">
        <f>_xlfn.XLOOKUP(B210,orders!A:A,orders!C:C)</f>
        <v>45970</v>
      </c>
      <c r="K210" s="6" t="str">
        <f t="shared" si="7"/>
        <v>Nov-2025</v>
      </c>
      <c r="L210" s="6">
        <f>_xlfn.XLOOKUP(B210,orders!A:A,orders!B:B)</f>
        <v>349</v>
      </c>
      <c r="M210" s="6" t="str">
        <f>_xlfn.XLOOKUP("C"&amp;TEXT(L210,"000"),customers!A:A,customers!B:B,"Not Found")</f>
        <v>Rohit L.</v>
      </c>
    </row>
    <row r="211" spans="1:13">
      <c r="A211">
        <v>210</v>
      </c>
      <c r="B211">
        <v>205</v>
      </c>
      <c r="C211">
        <v>49</v>
      </c>
      <c r="D211" s="4">
        <v>3</v>
      </c>
      <c r="E211">
        <f>_xlfn.XLOOKUP(C211,products!A:A,products!D:D)</f>
        <v>7213</v>
      </c>
      <c r="F211">
        <f t="shared" si="6"/>
        <v>21639</v>
      </c>
      <c r="G211">
        <f>D211*(E211-_xlfn.XLOOKUP(C211,products!A:A,products!E:E))</f>
        <v>6816.27</v>
      </c>
      <c r="H211" s="6" t="str">
        <f>_xlfn.XLOOKUP(C211,products!A:A,products!C:C)</f>
        <v>Toys</v>
      </c>
      <c r="I211" s="6" t="str">
        <f>_xlfn.XLOOKUP(C211,products!A:A,products!B:B)</f>
        <v>Remote Car</v>
      </c>
      <c r="J211" s="6">
        <f>_xlfn.XLOOKUP(B211,orders!A:A,orders!C:C)</f>
        <v>45970</v>
      </c>
      <c r="K211" s="6" t="str">
        <f t="shared" si="7"/>
        <v>Nov-2025</v>
      </c>
      <c r="L211" s="6">
        <f>_xlfn.XLOOKUP(B211,orders!A:A,orders!B:B)</f>
        <v>349</v>
      </c>
      <c r="M211" s="6" t="str">
        <f>_xlfn.XLOOKUP("C"&amp;TEXT(L211,"000"),customers!A:A,customers!B:B,"Not Found")</f>
        <v>Rohit L.</v>
      </c>
    </row>
    <row r="212" spans="1:13">
      <c r="A212">
        <v>211</v>
      </c>
      <c r="B212">
        <v>206</v>
      </c>
      <c r="C212">
        <v>43</v>
      </c>
      <c r="D212" s="4">
        <v>3</v>
      </c>
      <c r="E212">
        <f>_xlfn.XLOOKUP(C212,products!A:A,products!D:D)</f>
        <v>6391</v>
      </c>
      <c r="F212">
        <f t="shared" si="6"/>
        <v>19173</v>
      </c>
      <c r="G212">
        <f>D212*(E212-_xlfn.XLOOKUP(C212,products!A:A,products!E:E))</f>
        <v>7765.0499999999993</v>
      </c>
      <c r="H212" s="6" t="str">
        <f>_xlfn.XLOOKUP(C212,products!A:A,products!C:C)</f>
        <v>Beauty</v>
      </c>
      <c r="I212" s="6" t="str">
        <f>_xlfn.XLOOKUP(C212,products!A:A,products!B:B)</f>
        <v>Perfume</v>
      </c>
      <c r="J212" s="6">
        <f>_xlfn.XLOOKUP(B212,orders!A:A,orders!C:C)</f>
        <v>45973</v>
      </c>
      <c r="K212" s="6" t="str">
        <f t="shared" si="7"/>
        <v>Nov-2025</v>
      </c>
      <c r="L212" s="6">
        <f>_xlfn.XLOOKUP(B212,orders!A:A,orders!B:B)</f>
        <v>386</v>
      </c>
      <c r="M212" s="6" t="str">
        <f>_xlfn.XLOOKUP("C"&amp;TEXT(L212,"000"),customers!A:A,customers!B:B,"Not Found")</f>
        <v>Neha L.</v>
      </c>
    </row>
    <row r="213" spans="1:13">
      <c r="A213">
        <v>212</v>
      </c>
      <c r="B213">
        <v>206</v>
      </c>
      <c r="C213">
        <v>6</v>
      </c>
      <c r="D213" s="4">
        <v>4</v>
      </c>
      <c r="E213">
        <f>_xlfn.XLOOKUP(C213,products!A:A,products!D:D)</f>
        <v>1322</v>
      </c>
      <c r="F213">
        <f t="shared" si="6"/>
        <v>5288</v>
      </c>
      <c r="G213">
        <f>D213*(E213-_xlfn.XLOOKUP(C213,products!A:A,products!E:E))</f>
        <v>1903.6799999999998</v>
      </c>
      <c r="H213" s="6" t="str">
        <f>_xlfn.XLOOKUP(C213,products!A:A,products!C:C)</f>
        <v>Electronics</v>
      </c>
      <c r="I213" s="6" t="str">
        <f>_xlfn.XLOOKUP(C213,products!A:A,products!B:B)</f>
        <v>Mouse</v>
      </c>
      <c r="J213" s="6">
        <f>_xlfn.XLOOKUP(B213,orders!A:A,orders!C:C)</f>
        <v>45973</v>
      </c>
      <c r="K213" s="6" t="str">
        <f t="shared" si="7"/>
        <v>Nov-2025</v>
      </c>
      <c r="L213" s="6">
        <f>_xlfn.XLOOKUP(B213,orders!A:A,orders!B:B)</f>
        <v>386</v>
      </c>
      <c r="M213" s="6" t="str">
        <f>_xlfn.XLOOKUP("C"&amp;TEXT(L213,"000"),customers!A:A,customers!B:B,"Not Found")</f>
        <v>Neha L.</v>
      </c>
    </row>
    <row r="214" spans="1:13">
      <c r="A214">
        <v>213</v>
      </c>
      <c r="B214">
        <v>207</v>
      </c>
      <c r="C214">
        <v>50</v>
      </c>
      <c r="D214" s="4">
        <v>4</v>
      </c>
      <c r="E214">
        <f>_xlfn.XLOOKUP(C214,products!A:A,products!D:D)</f>
        <v>7350</v>
      </c>
      <c r="F214">
        <f t="shared" si="6"/>
        <v>29400</v>
      </c>
      <c r="G214">
        <f>D214*(E214-_xlfn.XLOOKUP(C214,products!A:A,products!E:E))</f>
        <v>13230</v>
      </c>
      <c r="H214" s="6" t="str">
        <f>_xlfn.XLOOKUP(C214,products!A:A,products!C:C)</f>
        <v>Toys</v>
      </c>
      <c r="I214" s="6" t="str">
        <f>_xlfn.XLOOKUP(C214,products!A:A,products!B:B)</f>
        <v>Building Blocks</v>
      </c>
      <c r="J214" s="6">
        <f>_xlfn.XLOOKUP(B214,orders!A:A,orders!C:C)</f>
        <v>45976</v>
      </c>
      <c r="K214" s="6" t="str">
        <f t="shared" si="7"/>
        <v>Nov-2025</v>
      </c>
      <c r="L214" s="6">
        <f>_xlfn.XLOOKUP(B214,orders!A:A,orders!B:B)</f>
        <v>423</v>
      </c>
      <c r="M214" s="6" t="str">
        <f>_xlfn.XLOOKUP("C"&amp;TEXT(L214,"000"),customers!A:A,customers!B:B,"Not Found")</f>
        <v>Swathi A.</v>
      </c>
    </row>
    <row r="215" spans="1:13">
      <c r="A215">
        <v>214</v>
      </c>
      <c r="B215">
        <v>207</v>
      </c>
      <c r="C215">
        <v>13</v>
      </c>
      <c r="D215" s="4">
        <v>1</v>
      </c>
      <c r="E215">
        <f>_xlfn.XLOOKUP(C215,products!A:A,products!D:D)</f>
        <v>2281</v>
      </c>
      <c r="F215">
        <f t="shared" si="6"/>
        <v>2281</v>
      </c>
      <c r="G215">
        <f>D215*(E215-_xlfn.XLOOKUP(C215,products!A:A,products!E:E))</f>
        <v>923.8</v>
      </c>
      <c r="H215" s="6" t="str">
        <f>_xlfn.XLOOKUP(C215,products!A:A,products!C:C)</f>
        <v>Fashion</v>
      </c>
      <c r="I215" s="6" t="str">
        <f>_xlfn.XLOOKUP(C215,products!A:A,products!B:B)</f>
        <v>Shirt</v>
      </c>
      <c r="J215" s="6">
        <f>_xlfn.XLOOKUP(B215,orders!A:A,orders!C:C)</f>
        <v>45976</v>
      </c>
      <c r="K215" s="6" t="str">
        <f t="shared" si="7"/>
        <v>Nov-2025</v>
      </c>
      <c r="L215" s="6">
        <f>_xlfn.XLOOKUP(B215,orders!A:A,orders!B:B)</f>
        <v>423</v>
      </c>
      <c r="M215" s="6" t="str">
        <f>_xlfn.XLOOKUP("C"&amp;TEXT(L215,"000"),customers!A:A,customers!B:B,"Not Found")</f>
        <v>Swathi A.</v>
      </c>
    </row>
    <row r="216" spans="1:13">
      <c r="A216">
        <v>215</v>
      </c>
      <c r="B216">
        <v>208</v>
      </c>
      <c r="C216">
        <v>7</v>
      </c>
      <c r="D216" s="4">
        <v>1</v>
      </c>
      <c r="E216">
        <f>_xlfn.XLOOKUP(C216,products!A:A,products!D:D)</f>
        <v>1459</v>
      </c>
      <c r="F216">
        <f t="shared" si="6"/>
        <v>1459</v>
      </c>
      <c r="G216">
        <f>D216*(E216-_xlfn.XLOOKUP(C216,products!A:A,products!E:E))</f>
        <v>503.35</v>
      </c>
      <c r="H216" s="6" t="str">
        <f>_xlfn.XLOOKUP(C216,products!A:A,products!C:C)</f>
        <v>Electronics</v>
      </c>
      <c r="I216" s="6" t="str">
        <f>_xlfn.XLOOKUP(C216,products!A:A,products!B:B)</f>
        <v>Monitor</v>
      </c>
      <c r="J216" s="6">
        <f>_xlfn.XLOOKUP(B216,orders!A:A,orders!C:C)</f>
        <v>45979</v>
      </c>
      <c r="K216" s="6" t="str">
        <f t="shared" si="7"/>
        <v>Nov-2025</v>
      </c>
      <c r="L216" s="6">
        <f>_xlfn.XLOOKUP(B216,orders!A:A,orders!B:B)</f>
        <v>460</v>
      </c>
      <c r="M216" s="6" t="str">
        <f>_xlfn.XLOOKUP("C"&amp;TEXT(L216,"000"),customers!A:A,customers!B:B,"Not Found")</f>
        <v>Priya D.</v>
      </c>
    </row>
    <row r="217" spans="1:13">
      <c r="A217">
        <v>216</v>
      </c>
      <c r="B217">
        <v>208</v>
      </c>
      <c r="C217">
        <v>20</v>
      </c>
      <c r="D217" s="4">
        <v>2</v>
      </c>
      <c r="E217">
        <f>_xlfn.XLOOKUP(C217,products!A:A,products!D:D)</f>
        <v>3240</v>
      </c>
      <c r="F217">
        <f t="shared" si="6"/>
        <v>6480</v>
      </c>
      <c r="G217">
        <f>D217*(E217-_xlfn.XLOOKUP(C217,products!A:A,products!E:E))</f>
        <v>2916</v>
      </c>
      <c r="H217" s="6" t="str">
        <f>_xlfn.XLOOKUP(C217,products!A:A,products!C:C)</f>
        <v>Fashion</v>
      </c>
      <c r="I217" s="6" t="str">
        <f>_xlfn.XLOOKUP(C217,products!A:A,products!B:B)</f>
        <v>Belt</v>
      </c>
      <c r="J217" s="6">
        <f>_xlfn.XLOOKUP(B217,orders!A:A,orders!C:C)</f>
        <v>45979</v>
      </c>
      <c r="K217" s="6" t="str">
        <f t="shared" si="7"/>
        <v>Nov-2025</v>
      </c>
      <c r="L217" s="6">
        <f>_xlfn.XLOOKUP(B217,orders!A:A,orders!B:B)</f>
        <v>460</v>
      </c>
      <c r="M217" s="6" t="str">
        <f>_xlfn.XLOOKUP("C"&amp;TEXT(L217,"000"),customers!A:A,customers!B:B,"Not Found")</f>
        <v>Priya D.</v>
      </c>
    </row>
    <row r="218" spans="1:13">
      <c r="A218">
        <v>217</v>
      </c>
      <c r="B218">
        <v>209</v>
      </c>
      <c r="C218">
        <v>14</v>
      </c>
      <c r="D218" s="4">
        <v>2</v>
      </c>
      <c r="E218">
        <f>_xlfn.XLOOKUP(C218,products!A:A,products!D:D)</f>
        <v>2418</v>
      </c>
      <c r="F218">
        <f t="shared" si="6"/>
        <v>4836</v>
      </c>
      <c r="G218">
        <f>D218*(E218-_xlfn.XLOOKUP(C218,products!A:A,products!E:E))</f>
        <v>1886.04</v>
      </c>
      <c r="H218" s="6" t="str">
        <f>_xlfn.XLOOKUP(C218,products!A:A,products!C:C)</f>
        <v>Fashion</v>
      </c>
      <c r="I218" s="6" t="str">
        <f>_xlfn.XLOOKUP(C218,products!A:A,products!B:B)</f>
        <v>Jacket</v>
      </c>
      <c r="J218" s="6">
        <f>_xlfn.XLOOKUP(B218,orders!A:A,orders!C:C)</f>
        <v>45982</v>
      </c>
      <c r="K218" s="6" t="str">
        <f t="shared" si="7"/>
        <v>Nov-2025</v>
      </c>
      <c r="L218" s="6">
        <f>_xlfn.XLOOKUP(B218,orders!A:A,orders!B:B)</f>
        <v>497</v>
      </c>
      <c r="M218" s="6" t="str">
        <f>_xlfn.XLOOKUP("C"&amp;TEXT(L218,"000"),customers!A:A,customers!B:B,"Not Found")</f>
        <v>Arjun X.</v>
      </c>
    </row>
    <row r="219" spans="1:13">
      <c r="A219">
        <v>218</v>
      </c>
      <c r="B219">
        <v>209</v>
      </c>
      <c r="C219">
        <v>27</v>
      </c>
      <c r="D219" s="4">
        <v>3</v>
      </c>
      <c r="E219">
        <f>_xlfn.XLOOKUP(C219,products!A:A,products!D:D)</f>
        <v>4199</v>
      </c>
      <c r="F219">
        <f t="shared" si="6"/>
        <v>12597</v>
      </c>
      <c r="G219">
        <f>D219*(E219-_xlfn.XLOOKUP(C219,products!A:A,products!E:E))</f>
        <v>4345.9500000000007</v>
      </c>
      <c r="H219" s="6" t="str">
        <f>_xlfn.XLOOKUP(C219,products!A:A,products!C:C)</f>
        <v>Home &amp; Kitchen</v>
      </c>
      <c r="I219" s="6" t="str">
        <f>_xlfn.XLOOKUP(C219,products!A:A,products!B:B)</f>
        <v>Cookware Set</v>
      </c>
      <c r="J219" s="6">
        <f>_xlfn.XLOOKUP(B219,orders!A:A,orders!C:C)</f>
        <v>45982</v>
      </c>
      <c r="K219" s="6" t="str">
        <f t="shared" si="7"/>
        <v>Nov-2025</v>
      </c>
      <c r="L219" s="6">
        <f>_xlfn.XLOOKUP(B219,orders!A:A,orders!B:B)</f>
        <v>497</v>
      </c>
      <c r="M219" s="6" t="str">
        <f>_xlfn.XLOOKUP("C"&amp;TEXT(L219,"000"),customers!A:A,customers!B:B,"Not Found")</f>
        <v>Arjun X.</v>
      </c>
    </row>
    <row r="220" spans="1:13">
      <c r="A220">
        <v>219</v>
      </c>
      <c r="B220">
        <v>210</v>
      </c>
      <c r="C220">
        <v>21</v>
      </c>
      <c r="D220" s="4">
        <v>3</v>
      </c>
      <c r="E220">
        <f>_xlfn.XLOOKUP(C220,products!A:A,products!D:D)</f>
        <v>3377</v>
      </c>
      <c r="F220">
        <f t="shared" si="6"/>
        <v>10131</v>
      </c>
      <c r="G220">
        <f>D220*(E220-_xlfn.XLOOKUP(C220,products!A:A,products!E:E))</f>
        <v>4406.97</v>
      </c>
      <c r="H220" s="6" t="str">
        <f>_xlfn.XLOOKUP(C220,products!A:A,products!C:C)</f>
        <v>Home Appliances</v>
      </c>
      <c r="I220" s="6" t="str">
        <f>_xlfn.XLOOKUP(C220,products!A:A,products!B:B)</f>
        <v>Mixer</v>
      </c>
      <c r="J220" s="6">
        <f>_xlfn.XLOOKUP(B220,orders!A:A,orders!C:C)</f>
        <v>45985</v>
      </c>
      <c r="K220" s="6" t="str">
        <f t="shared" si="7"/>
        <v>Nov-2025</v>
      </c>
      <c r="L220" s="6">
        <f>_xlfn.XLOOKUP(B220,orders!A:A,orders!B:B)</f>
        <v>34</v>
      </c>
      <c r="M220" s="6" t="str">
        <f>_xlfn.XLOOKUP("C"&amp;TEXT(L220,"000"),customers!A:A,customers!B:B,"Not Found")</f>
        <v>Kiran C.</v>
      </c>
    </row>
    <row r="221" spans="1:13">
      <c r="A221">
        <v>220</v>
      </c>
      <c r="B221">
        <v>210</v>
      </c>
      <c r="C221">
        <v>34</v>
      </c>
      <c r="D221" s="4">
        <v>4</v>
      </c>
      <c r="E221">
        <f>_xlfn.XLOOKUP(C221,products!A:A,products!D:D)</f>
        <v>5158</v>
      </c>
      <c r="F221">
        <f t="shared" si="6"/>
        <v>20632</v>
      </c>
      <c r="G221">
        <f>D221*(E221-_xlfn.XLOOKUP(C221,products!A:A,products!E:E))</f>
        <v>8046.48</v>
      </c>
      <c r="H221" s="6" t="str">
        <f>_xlfn.XLOOKUP(C221,products!A:A,products!C:C)</f>
        <v>Books</v>
      </c>
      <c r="I221" s="6" t="str">
        <f>_xlfn.XLOOKUP(C221,products!A:A,products!B:B)</f>
        <v>Cookbook</v>
      </c>
      <c r="J221" s="6">
        <f>_xlfn.XLOOKUP(B221,orders!A:A,orders!C:C)</f>
        <v>45985</v>
      </c>
      <c r="K221" s="6" t="str">
        <f t="shared" si="7"/>
        <v>Nov-2025</v>
      </c>
      <c r="L221" s="6">
        <f>_xlfn.XLOOKUP(B221,orders!A:A,orders!B:B)</f>
        <v>34</v>
      </c>
      <c r="M221" s="6" t="str">
        <f>_xlfn.XLOOKUP("C"&amp;TEXT(L221,"000"),customers!A:A,customers!B:B,"Not Found")</f>
        <v>Kiran C.</v>
      </c>
    </row>
    <row r="222" spans="1:13">
      <c r="A222">
        <v>221</v>
      </c>
      <c r="B222">
        <v>211</v>
      </c>
      <c r="C222">
        <v>28</v>
      </c>
      <c r="D222" s="4">
        <v>4</v>
      </c>
      <c r="E222">
        <f>_xlfn.XLOOKUP(C222,products!A:A,products!D:D)</f>
        <v>4336</v>
      </c>
      <c r="F222">
        <f t="shared" si="6"/>
        <v>17344</v>
      </c>
      <c r="G222">
        <f>D222*(E222-_xlfn.XLOOKUP(C222,products!A:A,products!E:E))</f>
        <v>5723.52</v>
      </c>
      <c r="H222" s="6" t="str">
        <f>_xlfn.XLOOKUP(C222,products!A:A,products!C:C)</f>
        <v>Home &amp; Kitchen</v>
      </c>
      <c r="I222" s="6" t="str">
        <f>_xlfn.XLOOKUP(C222,products!A:A,products!B:B)</f>
        <v>Bottle</v>
      </c>
      <c r="J222" s="6">
        <f>_xlfn.XLOOKUP(B222,orders!A:A,orders!C:C)</f>
        <v>45988</v>
      </c>
      <c r="K222" s="6" t="str">
        <f t="shared" si="7"/>
        <v>Nov-2025</v>
      </c>
      <c r="L222" s="6">
        <f>_xlfn.XLOOKUP(B222,orders!A:A,orders!B:B)</f>
        <v>71</v>
      </c>
      <c r="M222" s="6" t="str">
        <f>_xlfn.XLOOKUP("C"&amp;TEXT(L222,"000"),customers!A:A,customers!B:B,"Not Found")</f>
        <v>Anjali D.</v>
      </c>
    </row>
    <row r="223" spans="1:13">
      <c r="A223">
        <v>222</v>
      </c>
      <c r="B223">
        <v>211</v>
      </c>
      <c r="C223">
        <v>41</v>
      </c>
      <c r="D223" s="4">
        <v>1</v>
      </c>
      <c r="E223">
        <f>_xlfn.XLOOKUP(C223,products!A:A,products!D:D)</f>
        <v>6117</v>
      </c>
      <c r="F223">
        <f t="shared" si="6"/>
        <v>6117</v>
      </c>
      <c r="G223">
        <f>D223*(E223-_xlfn.XLOOKUP(C223,products!A:A,products!E:E))</f>
        <v>2660.89</v>
      </c>
      <c r="H223" s="6" t="str">
        <f>_xlfn.XLOOKUP(C223,products!A:A,products!C:C)</f>
        <v>Beauty</v>
      </c>
      <c r="I223" s="6" t="str">
        <f>_xlfn.XLOOKUP(C223,products!A:A,products!B:B)</f>
        <v>Face Wash</v>
      </c>
      <c r="J223" s="6">
        <f>_xlfn.XLOOKUP(B223,orders!A:A,orders!C:C)</f>
        <v>45988</v>
      </c>
      <c r="K223" s="6" t="str">
        <f t="shared" si="7"/>
        <v>Nov-2025</v>
      </c>
      <c r="L223" s="6">
        <f>_xlfn.XLOOKUP(B223,orders!A:A,orders!B:B)</f>
        <v>71</v>
      </c>
      <c r="M223" s="6" t="str">
        <f>_xlfn.XLOOKUP("C"&amp;TEXT(L223,"000"),customers!A:A,customers!B:B,"Not Found")</f>
        <v>Anjali D.</v>
      </c>
    </row>
    <row r="224" spans="1:13">
      <c r="A224">
        <v>223</v>
      </c>
      <c r="B224">
        <v>212</v>
      </c>
      <c r="C224">
        <v>35</v>
      </c>
      <c r="D224" s="4">
        <v>1</v>
      </c>
      <c r="E224">
        <f>_xlfn.XLOOKUP(C224,products!A:A,products!D:D)</f>
        <v>5295</v>
      </c>
      <c r="F224">
        <f t="shared" si="6"/>
        <v>5295</v>
      </c>
      <c r="G224">
        <f>D224*(E224-_xlfn.XLOOKUP(C224,products!A:A,products!E:E))</f>
        <v>1985.62</v>
      </c>
      <c r="H224" s="6" t="str">
        <f>_xlfn.XLOOKUP(C224,products!A:A,products!C:C)</f>
        <v>Books</v>
      </c>
      <c r="I224" s="6" t="str">
        <f>_xlfn.XLOOKUP(C224,products!A:A,products!B:B)</f>
        <v>Novel</v>
      </c>
      <c r="J224" s="6">
        <f>_xlfn.XLOOKUP(B224,orders!A:A,orders!C:C)</f>
        <v>45991</v>
      </c>
      <c r="K224" s="6" t="str">
        <f t="shared" si="7"/>
        <v>Nov-2025</v>
      </c>
      <c r="L224" s="6">
        <f>_xlfn.XLOOKUP(B224,orders!A:A,orders!B:B)</f>
        <v>108</v>
      </c>
      <c r="M224" s="6" t="str">
        <f>_xlfn.XLOOKUP("C"&amp;TEXT(L224,"000"),customers!A:A,customers!B:B,"Not Found")</f>
        <v>Pooja E.</v>
      </c>
    </row>
    <row r="225" spans="1:13">
      <c r="A225">
        <v>224</v>
      </c>
      <c r="B225">
        <v>212</v>
      </c>
      <c r="C225">
        <v>48</v>
      </c>
      <c r="D225" s="4">
        <v>2</v>
      </c>
      <c r="E225">
        <f>_xlfn.XLOOKUP(C225,products!A:A,products!D:D)</f>
        <v>7076</v>
      </c>
      <c r="F225">
        <f t="shared" si="6"/>
        <v>14152</v>
      </c>
      <c r="G225">
        <f>D225*(E225-_xlfn.XLOOKUP(C225,products!A:A,products!E:E))</f>
        <v>4670.16</v>
      </c>
      <c r="H225" s="6" t="str">
        <f>_xlfn.XLOOKUP(C225,products!A:A,products!C:C)</f>
        <v>Toys</v>
      </c>
      <c r="I225" s="6" t="str">
        <f>_xlfn.XLOOKUP(C225,products!A:A,products!B:B)</f>
        <v>Board Game</v>
      </c>
      <c r="J225" s="6">
        <f>_xlfn.XLOOKUP(B225,orders!A:A,orders!C:C)</f>
        <v>45991</v>
      </c>
      <c r="K225" s="6" t="str">
        <f t="shared" si="7"/>
        <v>Nov-2025</v>
      </c>
      <c r="L225" s="6">
        <f>_xlfn.XLOOKUP(B225,orders!A:A,orders!B:B)</f>
        <v>108</v>
      </c>
      <c r="M225" s="6" t="str">
        <f>_xlfn.XLOOKUP("C"&amp;TEXT(L225,"000"),customers!A:A,customers!B:B,"Not Found")</f>
        <v>Pooja E.</v>
      </c>
    </row>
    <row r="226" spans="1:13">
      <c r="A226">
        <v>225</v>
      </c>
      <c r="B226">
        <v>213</v>
      </c>
      <c r="C226">
        <v>42</v>
      </c>
      <c r="D226" s="4">
        <v>2</v>
      </c>
      <c r="E226">
        <f>_xlfn.XLOOKUP(C226,products!A:A,products!D:D)</f>
        <v>6254</v>
      </c>
      <c r="F226">
        <f t="shared" si="6"/>
        <v>12508</v>
      </c>
      <c r="G226">
        <f>D226*(E226-_xlfn.XLOOKUP(C226,products!A:A,products!E:E))</f>
        <v>5253.36</v>
      </c>
      <c r="H226" s="6" t="str">
        <f>_xlfn.XLOOKUP(C226,products!A:A,products!C:C)</f>
        <v>Beauty</v>
      </c>
      <c r="I226" s="6" t="str">
        <f>_xlfn.XLOOKUP(C226,products!A:A,products!B:B)</f>
        <v>Shampoo</v>
      </c>
      <c r="J226" s="6">
        <f>_xlfn.XLOOKUP(B226,orders!A:A,orders!C:C)</f>
        <v>45994</v>
      </c>
      <c r="K226" s="6" t="str">
        <f t="shared" si="7"/>
        <v>Dec-2025</v>
      </c>
      <c r="L226" s="6">
        <f>_xlfn.XLOOKUP(B226,orders!A:A,orders!B:B)</f>
        <v>145</v>
      </c>
      <c r="M226" s="6" t="str">
        <f>_xlfn.XLOOKUP("C"&amp;TEXT(L226,"000"),customers!A:A,customers!B:B,"Not Found")</f>
        <v>Kavya X.</v>
      </c>
    </row>
    <row r="227" spans="1:13">
      <c r="A227">
        <v>226</v>
      </c>
      <c r="B227">
        <v>213</v>
      </c>
      <c r="C227">
        <v>5</v>
      </c>
      <c r="D227" s="4">
        <v>3</v>
      </c>
      <c r="E227">
        <f>_xlfn.XLOOKUP(C227,products!A:A,products!D:D)</f>
        <v>1185</v>
      </c>
      <c r="F227">
        <f t="shared" si="6"/>
        <v>3555</v>
      </c>
      <c r="G227">
        <f>D227*(E227-_xlfn.XLOOKUP(C227,products!A:A,products!E:E))</f>
        <v>1333.1399999999999</v>
      </c>
      <c r="H227" s="6" t="str">
        <f>_xlfn.XLOOKUP(C227,products!A:A,products!C:C)</f>
        <v>Electronics</v>
      </c>
      <c r="I227" s="6" t="str">
        <f>_xlfn.XLOOKUP(C227,products!A:A,products!B:B)</f>
        <v>Keyboard</v>
      </c>
      <c r="J227" s="6">
        <f>_xlfn.XLOOKUP(B227,orders!A:A,orders!C:C)</f>
        <v>45994</v>
      </c>
      <c r="K227" s="6" t="str">
        <f t="shared" si="7"/>
        <v>Dec-2025</v>
      </c>
      <c r="L227" s="6">
        <f>_xlfn.XLOOKUP(B227,orders!A:A,orders!B:B)</f>
        <v>145</v>
      </c>
      <c r="M227" s="6" t="str">
        <f>_xlfn.XLOOKUP("C"&amp;TEXT(L227,"000"),customers!A:A,customers!B:B,"Not Found")</f>
        <v>Kavya X.</v>
      </c>
    </row>
    <row r="228" spans="1:13">
      <c r="A228">
        <v>227</v>
      </c>
      <c r="B228">
        <v>214</v>
      </c>
      <c r="C228">
        <v>49</v>
      </c>
      <c r="D228" s="4">
        <v>3</v>
      </c>
      <c r="E228">
        <f>_xlfn.XLOOKUP(C228,products!A:A,products!D:D)</f>
        <v>7213</v>
      </c>
      <c r="F228">
        <f t="shared" si="6"/>
        <v>21639</v>
      </c>
      <c r="G228">
        <f>D228*(E228-_xlfn.XLOOKUP(C228,products!A:A,products!E:E))</f>
        <v>6816.27</v>
      </c>
      <c r="H228" s="6" t="str">
        <f>_xlfn.XLOOKUP(C228,products!A:A,products!C:C)</f>
        <v>Toys</v>
      </c>
      <c r="I228" s="6" t="str">
        <f>_xlfn.XLOOKUP(C228,products!A:A,products!B:B)</f>
        <v>Remote Car</v>
      </c>
      <c r="J228" s="6">
        <f>_xlfn.XLOOKUP(B228,orders!A:A,orders!C:C)</f>
        <v>45997</v>
      </c>
      <c r="K228" s="6" t="str">
        <f t="shared" si="7"/>
        <v>Dec-2025</v>
      </c>
      <c r="L228" s="6">
        <f>_xlfn.XLOOKUP(B228,orders!A:A,orders!B:B)</f>
        <v>182</v>
      </c>
      <c r="M228" s="6" t="str">
        <f>_xlfn.XLOOKUP("C"&amp;TEXT(L228,"000"),customers!A:A,customers!B:B,"Not Found")</f>
        <v>Anjali O.</v>
      </c>
    </row>
    <row r="229" spans="1:13">
      <c r="A229">
        <v>228</v>
      </c>
      <c r="B229">
        <v>214</v>
      </c>
      <c r="C229">
        <v>12</v>
      </c>
      <c r="D229" s="4">
        <v>4</v>
      </c>
      <c r="E229">
        <f>_xlfn.XLOOKUP(C229,products!A:A,products!D:D)</f>
        <v>2144</v>
      </c>
      <c r="F229">
        <f t="shared" si="6"/>
        <v>8576</v>
      </c>
      <c r="G229">
        <f>D229*(E229-_xlfn.XLOOKUP(C229,products!A:A,products!E:E))</f>
        <v>3601.92</v>
      </c>
      <c r="H229" s="6" t="str">
        <f>_xlfn.XLOOKUP(C229,products!A:A,products!C:C)</f>
        <v>Fashion</v>
      </c>
      <c r="I229" s="6" t="str">
        <f>_xlfn.XLOOKUP(C229,products!A:A,products!B:B)</f>
        <v>Jeans</v>
      </c>
      <c r="J229" s="6">
        <f>_xlfn.XLOOKUP(B229,orders!A:A,orders!C:C)</f>
        <v>45997</v>
      </c>
      <c r="K229" s="6" t="str">
        <f t="shared" si="7"/>
        <v>Dec-2025</v>
      </c>
      <c r="L229" s="6">
        <f>_xlfn.XLOOKUP(B229,orders!A:A,orders!B:B)</f>
        <v>182</v>
      </c>
      <c r="M229" s="6" t="str">
        <f>_xlfn.XLOOKUP("C"&amp;TEXT(L229,"000"),customers!A:A,customers!B:B,"Not Found")</f>
        <v>Anjali O.</v>
      </c>
    </row>
    <row r="230" spans="1:13">
      <c r="A230">
        <v>229</v>
      </c>
      <c r="B230">
        <v>215</v>
      </c>
      <c r="C230">
        <v>6</v>
      </c>
      <c r="D230" s="4">
        <v>4</v>
      </c>
      <c r="E230">
        <f>_xlfn.XLOOKUP(C230,products!A:A,products!D:D)</f>
        <v>1322</v>
      </c>
      <c r="F230">
        <f t="shared" si="6"/>
        <v>5288</v>
      </c>
      <c r="G230">
        <f>D230*(E230-_xlfn.XLOOKUP(C230,products!A:A,products!E:E))</f>
        <v>1903.6799999999998</v>
      </c>
      <c r="H230" s="6" t="str">
        <f>_xlfn.XLOOKUP(C230,products!A:A,products!C:C)</f>
        <v>Electronics</v>
      </c>
      <c r="I230" s="6" t="str">
        <f>_xlfn.XLOOKUP(C230,products!A:A,products!B:B)</f>
        <v>Mouse</v>
      </c>
      <c r="J230" s="6">
        <f>_xlfn.XLOOKUP(B230,orders!A:A,orders!C:C)</f>
        <v>46000</v>
      </c>
      <c r="K230" s="6" t="str">
        <f t="shared" si="7"/>
        <v>Dec-2025</v>
      </c>
      <c r="L230" s="6">
        <f>_xlfn.XLOOKUP(B230,orders!A:A,orders!B:B)</f>
        <v>219</v>
      </c>
      <c r="M230" s="6" t="str">
        <f>_xlfn.XLOOKUP("C"&amp;TEXT(L230,"000"),customers!A:A,customers!B:B,"Not Found")</f>
        <v>Priya K.</v>
      </c>
    </row>
    <row r="231" spans="1:13">
      <c r="A231">
        <v>230</v>
      </c>
      <c r="B231">
        <v>215</v>
      </c>
      <c r="C231">
        <v>19</v>
      </c>
      <c r="D231" s="4">
        <v>1</v>
      </c>
      <c r="E231">
        <f>_xlfn.XLOOKUP(C231,products!A:A,products!D:D)</f>
        <v>3103</v>
      </c>
      <c r="F231">
        <f t="shared" si="6"/>
        <v>3103</v>
      </c>
      <c r="G231">
        <f>D231*(E231-_xlfn.XLOOKUP(C231,products!A:A,products!E:E))</f>
        <v>977.44</v>
      </c>
      <c r="H231" s="6" t="str">
        <f>_xlfn.XLOOKUP(C231,products!A:A,products!C:C)</f>
        <v>Fashion</v>
      </c>
      <c r="I231" s="6" t="str">
        <f>_xlfn.XLOOKUP(C231,products!A:A,products!B:B)</f>
        <v>Wallet</v>
      </c>
      <c r="J231" s="6">
        <f>_xlfn.XLOOKUP(B231,orders!A:A,orders!C:C)</f>
        <v>46000</v>
      </c>
      <c r="K231" s="6" t="str">
        <f t="shared" si="7"/>
        <v>Dec-2025</v>
      </c>
      <c r="L231" s="6">
        <f>_xlfn.XLOOKUP(B231,orders!A:A,orders!B:B)</f>
        <v>219</v>
      </c>
      <c r="M231" s="6" t="str">
        <f>_xlfn.XLOOKUP("C"&amp;TEXT(L231,"000"),customers!A:A,customers!B:B,"Not Found")</f>
        <v>Priya K.</v>
      </c>
    </row>
    <row r="232" spans="1:13">
      <c r="A232">
        <v>231</v>
      </c>
      <c r="B232">
        <v>216</v>
      </c>
      <c r="C232">
        <v>13</v>
      </c>
      <c r="D232" s="4">
        <v>1</v>
      </c>
      <c r="E232">
        <f>_xlfn.XLOOKUP(C232,products!A:A,products!D:D)</f>
        <v>2281</v>
      </c>
      <c r="F232">
        <f t="shared" si="6"/>
        <v>2281</v>
      </c>
      <c r="G232">
        <f>D232*(E232-_xlfn.XLOOKUP(C232,products!A:A,products!E:E))</f>
        <v>923.8</v>
      </c>
      <c r="H232" s="6" t="str">
        <f>_xlfn.XLOOKUP(C232,products!A:A,products!C:C)</f>
        <v>Fashion</v>
      </c>
      <c r="I232" s="6" t="str">
        <f>_xlfn.XLOOKUP(C232,products!A:A,products!B:B)</f>
        <v>Shirt</v>
      </c>
      <c r="J232" s="6">
        <f>_xlfn.XLOOKUP(B232,orders!A:A,orders!C:C)</f>
        <v>46003</v>
      </c>
      <c r="K232" s="6" t="str">
        <f t="shared" si="7"/>
        <v>Dec-2025</v>
      </c>
      <c r="L232" s="6">
        <f>_xlfn.XLOOKUP(B232,orders!A:A,orders!B:B)</f>
        <v>256</v>
      </c>
      <c r="M232" s="6" t="str">
        <f>_xlfn.XLOOKUP("C"&amp;TEXT(L232,"000"),customers!A:A,customers!B:B,"Not Found")</f>
        <v>Lakshmi G.</v>
      </c>
    </row>
    <row r="233" spans="1:13">
      <c r="A233">
        <v>232</v>
      </c>
      <c r="B233">
        <v>216</v>
      </c>
      <c r="C233">
        <v>26</v>
      </c>
      <c r="D233" s="4">
        <v>2</v>
      </c>
      <c r="E233">
        <f>_xlfn.XLOOKUP(C233,products!A:A,products!D:D)</f>
        <v>4062</v>
      </c>
      <c r="F233">
        <f t="shared" si="6"/>
        <v>8124</v>
      </c>
      <c r="G233">
        <f>D233*(E233-_xlfn.XLOOKUP(C233,products!A:A,products!E:E))</f>
        <v>2924.6400000000003</v>
      </c>
      <c r="H233" s="6" t="str">
        <f>_xlfn.XLOOKUP(C233,products!A:A,products!C:C)</f>
        <v>Home &amp; Kitchen</v>
      </c>
      <c r="I233" s="6" t="str">
        <f>_xlfn.XLOOKUP(C233,products!A:A,products!B:B)</f>
        <v>Bedsheet</v>
      </c>
      <c r="J233" s="6">
        <f>_xlfn.XLOOKUP(B233,orders!A:A,orders!C:C)</f>
        <v>46003</v>
      </c>
      <c r="K233" s="6" t="str">
        <f t="shared" si="7"/>
        <v>Dec-2025</v>
      </c>
      <c r="L233" s="6">
        <f>_xlfn.XLOOKUP(B233,orders!A:A,orders!B:B)</f>
        <v>256</v>
      </c>
      <c r="M233" s="6" t="str">
        <f>_xlfn.XLOOKUP("C"&amp;TEXT(L233,"000"),customers!A:A,customers!B:B,"Not Found")</f>
        <v>Lakshmi G.</v>
      </c>
    </row>
    <row r="234" spans="1:13">
      <c r="A234">
        <v>233</v>
      </c>
      <c r="B234">
        <v>217</v>
      </c>
      <c r="C234">
        <v>20</v>
      </c>
      <c r="D234" s="4">
        <v>2</v>
      </c>
      <c r="E234">
        <f>_xlfn.XLOOKUP(C234,products!A:A,products!D:D)</f>
        <v>3240</v>
      </c>
      <c r="F234">
        <f t="shared" si="6"/>
        <v>6480</v>
      </c>
      <c r="G234">
        <f>D234*(E234-_xlfn.XLOOKUP(C234,products!A:A,products!E:E))</f>
        <v>2916</v>
      </c>
      <c r="H234" s="6" t="str">
        <f>_xlfn.XLOOKUP(C234,products!A:A,products!C:C)</f>
        <v>Fashion</v>
      </c>
      <c r="I234" s="6" t="str">
        <f>_xlfn.XLOOKUP(C234,products!A:A,products!B:B)</f>
        <v>Belt</v>
      </c>
      <c r="J234" s="6">
        <f>_xlfn.XLOOKUP(B234,orders!A:A,orders!C:C)</f>
        <v>46006</v>
      </c>
      <c r="K234" s="6" t="str">
        <f t="shared" si="7"/>
        <v>Dec-2025</v>
      </c>
      <c r="L234" s="6">
        <f>_xlfn.XLOOKUP(B234,orders!A:A,orders!B:B)</f>
        <v>293</v>
      </c>
      <c r="M234" s="6" t="str">
        <f>_xlfn.XLOOKUP("C"&amp;TEXT(L234,"000"),customers!A:A,customers!B:B,"Not Found")</f>
        <v>Manoj D.</v>
      </c>
    </row>
    <row r="235" spans="1:13">
      <c r="A235">
        <v>234</v>
      </c>
      <c r="B235">
        <v>217</v>
      </c>
      <c r="C235">
        <v>33</v>
      </c>
      <c r="D235" s="4">
        <v>3</v>
      </c>
      <c r="E235">
        <f>_xlfn.XLOOKUP(C235,products!A:A,products!D:D)</f>
        <v>5021</v>
      </c>
      <c r="F235">
        <f t="shared" si="6"/>
        <v>15063</v>
      </c>
      <c r="G235">
        <f>D235*(E235-_xlfn.XLOOKUP(C235,products!A:A,products!E:E))</f>
        <v>6100.5</v>
      </c>
      <c r="H235" s="6" t="str">
        <f>_xlfn.XLOOKUP(C235,products!A:A,products!C:C)</f>
        <v>Books</v>
      </c>
      <c r="I235" s="6" t="str">
        <f>_xlfn.XLOOKUP(C235,products!A:A,products!B:B)</f>
        <v>Pen Set</v>
      </c>
      <c r="J235" s="6">
        <f>_xlfn.XLOOKUP(B235,orders!A:A,orders!C:C)</f>
        <v>46006</v>
      </c>
      <c r="K235" s="6" t="str">
        <f t="shared" si="7"/>
        <v>Dec-2025</v>
      </c>
      <c r="L235" s="6">
        <f>_xlfn.XLOOKUP(B235,orders!A:A,orders!B:B)</f>
        <v>293</v>
      </c>
      <c r="M235" s="6" t="str">
        <f>_xlfn.XLOOKUP("C"&amp;TEXT(L235,"000"),customers!A:A,customers!B:B,"Not Found")</f>
        <v>Manoj D.</v>
      </c>
    </row>
    <row r="236" spans="1:13">
      <c r="A236">
        <v>235</v>
      </c>
      <c r="B236">
        <v>218</v>
      </c>
      <c r="C236">
        <v>27</v>
      </c>
      <c r="D236" s="4">
        <v>3</v>
      </c>
      <c r="E236">
        <f>_xlfn.XLOOKUP(C236,products!A:A,products!D:D)</f>
        <v>4199</v>
      </c>
      <c r="F236">
        <f t="shared" si="6"/>
        <v>12597</v>
      </c>
      <c r="G236">
        <f>D236*(E236-_xlfn.XLOOKUP(C236,products!A:A,products!E:E))</f>
        <v>4345.9500000000007</v>
      </c>
      <c r="H236" s="6" t="str">
        <f>_xlfn.XLOOKUP(C236,products!A:A,products!C:C)</f>
        <v>Home &amp; Kitchen</v>
      </c>
      <c r="I236" s="6" t="str">
        <f>_xlfn.XLOOKUP(C236,products!A:A,products!B:B)</f>
        <v>Cookware Set</v>
      </c>
      <c r="J236" s="6">
        <f>_xlfn.XLOOKUP(B236,orders!A:A,orders!C:C)</f>
        <v>46009</v>
      </c>
      <c r="K236" s="6" t="str">
        <f t="shared" si="7"/>
        <v>Dec-2025</v>
      </c>
      <c r="L236" s="6">
        <f>_xlfn.XLOOKUP(B236,orders!A:A,orders!B:B)</f>
        <v>330</v>
      </c>
      <c r="M236" s="6" t="str">
        <f>_xlfn.XLOOKUP("C"&amp;TEXT(L236,"000"),customers!A:A,customers!B:B,"Not Found")</f>
        <v>Divya U.</v>
      </c>
    </row>
    <row r="237" spans="1:13">
      <c r="A237">
        <v>236</v>
      </c>
      <c r="B237">
        <v>218</v>
      </c>
      <c r="C237">
        <v>40</v>
      </c>
      <c r="D237" s="4">
        <v>4</v>
      </c>
      <c r="E237">
        <f>_xlfn.XLOOKUP(C237,products!A:A,products!D:D)</f>
        <v>5980</v>
      </c>
      <c r="F237">
        <f t="shared" si="6"/>
        <v>23920</v>
      </c>
      <c r="G237">
        <f>D237*(E237-_xlfn.XLOOKUP(C237,products!A:A,products!E:E))</f>
        <v>10764</v>
      </c>
      <c r="H237" s="6" t="str">
        <f>_xlfn.XLOOKUP(C237,products!A:A,products!C:C)</f>
        <v>Sports</v>
      </c>
      <c r="I237" s="6" t="str">
        <f>_xlfn.XLOOKUP(C237,products!A:A,products!B:B)</f>
        <v>Dumbbells</v>
      </c>
      <c r="J237" s="6">
        <f>_xlfn.XLOOKUP(B237,orders!A:A,orders!C:C)</f>
        <v>46009</v>
      </c>
      <c r="K237" s="6" t="str">
        <f t="shared" si="7"/>
        <v>Dec-2025</v>
      </c>
      <c r="L237" s="6">
        <f>_xlfn.XLOOKUP(B237,orders!A:A,orders!B:B)</f>
        <v>330</v>
      </c>
      <c r="M237" s="6" t="str">
        <f>_xlfn.XLOOKUP("C"&amp;TEXT(L237,"000"),customers!A:A,customers!B:B,"Not Found")</f>
        <v>Divya U.</v>
      </c>
    </row>
    <row r="238" spans="1:13">
      <c r="A238">
        <v>237</v>
      </c>
      <c r="B238">
        <v>219</v>
      </c>
      <c r="C238">
        <v>34</v>
      </c>
      <c r="D238" s="4">
        <v>4</v>
      </c>
      <c r="E238">
        <f>_xlfn.XLOOKUP(C238,products!A:A,products!D:D)</f>
        <v>5158</v>
      </c>
      <c r="F238">
        <f t="shared" si="6"/>
        <v>20632</v>
      </c>
      <c r="G238">
        <f>D238*(E238-_xlfn.XLOOKUP(C238,products!A:A,products!E:E))</f>
        <v>8046.48</v>
      </c>
      <c r="H238" s="6" t="str">
        <f>_xlfn.XLOOKUP(C238,products!A:A,products!C:C)</f>
        <v>Books</v>
      </c>
      <c r="I238" s="6" t="str">
        <f>_xlfn.XLOOKUP(C238,products!A:A,products!B:B)</f>
        <v>Cookbook</v>
      </c>
      <c r="J238" s="6">
        <f>_xlfn.XLOOKUP(B238,orders!A:A,orders!C:C)</f>
        <v>46012</v>
      </c>
      <c r="K238" s="6" t="str">
        <f t="shared" si="7"/>
        <v>Dec-2025</v>
      </c>
      <c r="L238" s="6">
        <f>_xlfn.XLOOKUP(B238,orders!A:A,orders!B:B)</f>
        <v>367</v>
      </c>
      <c r="M238" s="6" t="str">
        <f>_xlfn.XLOOKUP("C"&amp;TEXT(L238,"000"),customers!A:A,customers!B:B,"Not Found")</f>
        <v>Suresh E.</v>
      </c>
    </row>
    <row r="239" spans="1:13">
      <c r="A239">
        <v>238</v>
      </c>
      <c r="B239">
        <v>219</v>
      </c>
      <c r="C239">
        <v>47</v>
      </c>
      <c r="D239" s="4">
        <v>1</v>
      </c>
      <c r="E239">
        <f>_xlfn.XLOOKUP(C239,products!A:A,products!D:D)</f>
        <v>6939</v>
      </c>
      <c r="F239">
        <f t="shared" si="6"/>
        <v>6939</v>
      </c>
      <c r="G239">
        <f>D239*(E239-_xlfn.XLOOKUP(C239,products!A:A,products!E:E))</f>
        <v>2393.9499999999998</v>
      </c>
      <c r="H239" s="6" t="str">
        <f>_xlfn.XLOOKUP(C239,products!A:A,products!C:C)</f>
        <v>Toys</v>
      </c>
      <c r="I239" s="6" t="str">
        <f>_xlfn.XLOOKUP(C239,products!A:A,products!B:B)</f>
        <v>Puzzle</v>
      </c>
      <c r="J239" s="6">
        <f>_xlfn.XLOOKUP(B239,orders!A:A,orders!C:C)</f>
        <v>46012</v>
      </c>
      <c r="K239" s="6" t="str">
        <f t="shared" si="7"/>
        <v>Dec-2025</v>
      </c>
      <c r="L239" s="6">
        <f>_xlfn.XLOOKUP(B239,orders!A:A,orders!B:B)</f>
        <v>367</v>
      </c>
      <c r="M239" s="6" t="str">
        <f>_xlfn.XLOOKUP("C"&amp;TEXT(L239,"000"),customers!A:A,customers!B:B,"Not Found")</f>
        <v>Suresh E.</v>
      </c>
    </row>
    <row r="240" spans="1:13">
      <c r="A240">
        <v>239</v>
      </c>
      <c r="B240">
        <v>220</v>
      </c>
      <c r="C240">
        <v>41</v>
      </c>
      <c r="D240" s="4">
        <v>1</v>
      </c>
      <c r="E240">
        <f>_xlfn.XLOOKUP(C240,products!A:A,products!D:D)</f>
        <v>6117</v>
      </c>
      <c r="F240">
        <f t="shared" si="6"/>
        <v>6117</v>
      </c>
      <c r="G240">
        <f>D240*(E240-_xlfn.XLOOKUP(C240,products!A:A,products!E:E))</f>
        <v>2660.89</v>
      </c>
      <c r="H240" s="6" t="str">
        <f>_xlfn.XLOOKUP(C240,products!A:A,products!C:C)</f>
        <v>Beauty</v>
      </c>
      <c r="I240" s="6" t="str">
        <f>_xlfn.XLOOKUP(C240,products!A:A,products!B:B)</f>
        <v>Face Wash</v>
      </c>
      <c r="J240" s="6">
        <f>_xlfn.XLOOKUP(B240,orders!A:A,orders!C:C)</f>
        <v>46015</v>
      </c>
      <c r="K240" s="6" t="str">
        <f t="shared" si="7"/>
        <v>Dec-2025</v>
      </c>
      <c r="L240" s="6">
        <f>_xlfn.XLOOKUP(B240,orders!A:A,orders!B:B)</f>
        <v>404</v>
      </c>
      <c r="M240" s="6" t="str">
        <f>_xlfn.XLOOKUP("C"&amp;TEXT(L240,"000"),customers!A:A,customers!B:B,"Not Found")</f>
        <v>Arjun J.</v>
      </c>
    </row>
    <row r="241" spans="1:13">
      <c r="A241">
        <v>240</v>
      </c>
      <c r="B241">
        <v>220</v>
      </c>
      <c r="C241">
        <v>4</v>
      </c>
      <c r="D241" s="4">
        <v>2</v>
      </c>
      <c r="E241">
        <f>_xlfn.XLOOKUP(C241,products!A:A,products!D:D)</f>
        <v>1048</v>
      </c>
      <c r="F241">
        <f t="shared" si="6"/>
        <v>2096</v>
      </c>
      <c r="G241">
        <f>D241*(E241-_xlfn.XLOOKUP(C241,products!A:A,products!E:E))</f>
        <v>817.44</v>
      </c>
      <c r="H241" s="6" t="str">
        <f>_xlfn.XLOOKUP(C241,products!A:A,products!C:C)</f>
        <v>Electronics</v>
      </c>
      <c r="I241" s="6" t="str">
        <f>_xlfn.XLOOKUP(C241,products!A:A,products!B:B)</f>
        <v>Smart Watch</v>
      </c>
      <c r="J241" s="6">
        <f>_xlfn.XLOOKUP(B241,orders!A:A,orders!C:C)</f>
        <v>46015</v>
      </c>
      <c r="K241" s="6" t="str">
        <f t="shared" si="7"/>
        <v>Dec-2025</v>
      </c>
      <c r="L241" s="6">
        <f>_xlfn.XLOOKUP(B241,orders!A:A,orders!B:B)</f>
        <v>404</v>
      </c>
      <c r="M241" s="6" t="str">
        <f>_xlfn.XLOOKUP("C"&amp;TEXT(L241,"000"),customers!A:A,customers!B:B,"Not Found")</f>
        <v>Arjun J.</v>
      </c>
    </row>
    <row r="242" spans="1:13">
      <c r="A242">
        <v>241</v>
      </c>
      <c r="B242">
        <v>221</v>
      </c>
      <c r="C242">
        <v>48</v>
      </c>
      <c r="D242" s="4">
        <v>2</v>
      </c>
      <c r="E242">
        <f>_xlfn.XLOOKUP(C242,products!A:A,products!D:D)</f>
        <v>7076</v>
      </c>
      <c r="F242">
        <f t="shared" si="6"/>
        <v>14152</v>
      </c>
      <c r="G242">
        <f>D242*(E242-_xlfn.XLOOKUP(C242,products!A:A,products!E:E))</f>
        <v>4670.16</v>
      </c>
      <c r="H242" s="6" t="str">
        <f>_xlfn.XLOOKUP(C242,products!A:A,products!C:C)</f>
        <v>Toys</v>
      </c>
      <c r="I242" s="6" t="str">
        <f>_xlfn.XLOOKUP(C242,products!A:A,products!B:B)</f>
        <v>Board Game</v>
      </c>
      <c r="J242" s="6">
        <f>_xlfn.XLOOKUP(B242,orders!A:A,orders!C:C)</f>
        <v>46018</v>
      </c>
      <c r="K242" s="6" t="str">
        <f t="shared" si="7"/>
        <v>Dec-2025</v>
      </c>
      <c r="L242" s="6">
        <f>_xlfn.XLOOKUP(B242,orders!A:A,orders!B:B)</f>
        <v>441</v>
      </c>
      <c r="M242" s="6" t="str">
        <f>_xlfn.XLOOKUP("C"&amp;TEXT(L242,"000"),customers!A:A,customers!B:B,"Not Found")</f>
        <v>Swathi I.</v>
      </c>
    </row>
    <row r="243" spans="1:13">
      <c r="A243">
        <v>242</v>
      </c>
      <c r="B243">
        <v>221</v>
      </c>
      <c r="C243">
        <v>11</v>
      </c>
      <c r="D243" s="4">
        <v>3</v>
      </c>
      <c r="E243">
        <f>_xlfn.XLOOKUP(C243,products!A:A,products!D:D)</f>
        <v>2007</v>
      </c>
      <c r="F243">
        <f t="shared" si="6"/>
        <v>6021</v>
      </c>
      <c r="G243">
        <f>D243*(E243-_xlfn.XLOOKUP(C243,products!A:A,products!E:E))</f>
        <v>2619.12</v>
      </c>
      <c r="H243" s="6" t="str">
        <f>_xlfn.XLOOKUP(C243,products!A:A,products!C:C)</f>
        <v>Fashion</v>
      </c>
      <c r="I243" s="6" t="str">
        <f>_xlfn.XLOOKUP(C243,products!A:A,products!B:B)</f>
        <v>T-Shirt</v>
      </c>
      <c r="J243" s="6">
        <f>_xlfn.XLOOKUP(B243,orders!A:A,orders!C:C)</f>
        <v>46018</v>
      </c>
      <c r="K243" s="6" t="str">
        <f t="shared" si="7"/>
        <v>Dec-2025</v>
      </c>
      <c r="L243" s="6">
        <f>_xlfn.XLOOKUP(B243,orders!A:A,orders!B:B)</f>
        <v>441</v>
      </c>
      <c r="M243" s="6" t="str">
        <f>_xlfn.XLOOKUP("C"&amp;TEXT(L243,"000"),customers!A:A,customers!B:B,"Not Found")</f>
        <v>Swathi I.</v>
      </c>
    </row>
    <row r="244" spans="1:13">
      <c r="A244">
        <v>243</v>
      </c>
      <c r="B244">
        <v>222</v>
      </c>
      <c r="C244">
        <v>5</v>
      </c>
      <c r="D244" s="4">
        <v>3</v>
      </c>
      <c r="E244">
        <f>_xlfn.XLOOKUP(C244,products!A:A,products!D:D)</f>
        <v>1185</v>
      </c>
      <c r="F244">
        <f t="shared" si="6"/>
        <v>3555</v>
      </c>
      <c r="G244">
        <f>D244*(E244-_xlfn.XLOOKUP(C244,products!A:A,products!E:E))</f>
        <v>1333.1399999999999</v>
      </c>
      <c r="H244" s="6" t="str">
        <f>_xlfn.XLOOKUP(C244,products!A:A,products!C:C)</f>
        <v>Electronics</v>
      </c>
      <c r="I244" s="6" t="str">
        <f>_xlfn.XLOOKUP(C244,products!A:A,products!B:B)</f>
        <v>Keyboard</v>
      </c>
      <c r="J244" s="6">
        <f>_xlfn.XLOOKUP(B244,orders!A:A,orders!C:C)</f>
        <v>46021</v>
      </c>
      <c r="K244" s="6" t="str">
        <f t="shared" si="7"/>
        <v>Dec-2025</v>
      </c>
      <c r="L244" s="6">
        <f>_xlfn.XLOOKUP(B244,orders!A:A,orders!B:B)</f>
        <v>478</v>
      </c>
      <c r="M244" s="6" t="str">
        <f>_xlfn.XLOOKUP("C"&amp;TEXT(L244,"000"),customers!A:A,customers!B:B,"Not Found")</f>
        <v>Rohit J.</v>
      </c>
    </row>
    <row r="245" spans="1:13">
      <c r="A245">
        <v>244</v>
      </c>
      <c r="B245">
        <v>222</v>
      </c>
      <c r="C245">
        <v>18</v>
      </c>
      <c r="D245" s="4">
        <v>4</v>
      </c>
      <c r="E245">
        <f>_xlfn.XLOOKUP(C245,products!A:A,products!D:D)</f>
        <v>2966</v>
      </c>
      <c r="F245">
        <f t="shared" si="6"/>
        <v>11864</v>
      </c>
      <c r="G245">
        <f>D245*(E245-_xlfn.XLOOKUP(C245,products!A:A,products!E:E))</f>
        <v>3915.12</v>
      </c>
      <c r="H245" s="6" t="str">
        <f>_xlfn.XLOOKUP(C245,products!A:A,products!C:C)</f>
        <v>Fashion</v>
      </c>
      <c r="I245" s="6" t="str">
        <f>_xlfn.XLOOKUP(C245,products!A:A,products!B:B)</f>
        <v>Backpack</v>
      </c>
      <c r="J245" s="6">
        <f>_xlfn.XLOOKUP(B245,orders!A:A,orders!C:C)</f>
        <v>46021</v>
      </c>
      <c r="K245" s="6" t="str">
        <f t="shared" si="7"/>
        <v>Dec-2025</v>
      </c>
      <c r="L245" s="6">
        <f>_xlfn.XLOOKUP(B245,orders!A:A,orders!B:B)</f>
        <v>478</v>
      </c>
      <c r="M245" s="6" t="str">
        <f>_xlfn.XLOOKUP("C"&amp;TEXT(L245,"000"),customers!A:A,customers!B:B,"Not Found")</f>
        <v>Rohit J.</v>
      </c>
    </row>
    <row r="246" spans="1:13">
      <c r="A246">
        <v>245</v>
      </c>
      <c r="B246">
        <v>223</v>
      </c>
      <c r="C246">
        <v>12</v>
      </c>
      <c r="D246" s="4">
        <v>4</v>
      </c>
      <c r="E246">
        <f>_xlfn.XLOOKUP(C246,products!A:A,products!D:D)</f>
        <v>2144</v>
      </c>
      <c r="F246">
        <f t="shared" si="6"/>
        <v>8576</v>
      </c>
      <c r="G246">
        <f>D246*(E246-_xlfn.XLOOKUP(C246,products!A:A,products!E:E))</f>
        <v>3601.92</v>
      </c>
      <c r="H246" s="6" t="str">
        <f>_xlfn.XLOOKUP(C246,products!A:A,products!C:C)</f>
        <v>Fashion</v>
      </c>
      <c r="I246" s="6" t="str">
        <f>_xlfn.XLOOKUP(C246,products!A:A,products!B:B)</f>
        <v>Jeans</v>
      </c>
      <c r="J246" s="6">
        <f>_xlfn.XLOOKUP(B246,orders!A:A,orders!C:C)</f>
        <v>45659</v>
      </c>
      <c r="K246" s="6" t="str">
        <f t="shared" si="7"/>
        <v>Jan-2025</v>
      </c>
      <c r="L246" s="6">
        <f>_xlfn.XLOOKUP(B246,orders!A:A,orders!B:B)</f>
        <v>15</v>
      </c>
      <c r="M246" s="6" t="str">
        <f>_xlfn.XLOOKUP("C"&amp;TEXT(L246,"000"),customers!A:A,customers!B:B,"Not Found")</f>
        <v>Neha L.</v>
      </c>
    </row>
    <row r="247" spans="1:13">
      <c r="A247">
        <v>246</v>
      </c>
      <c r="B247">
        <v>223</v>
      </c>
      <c r="C247">
        <v>25</v>
      </c>
      <c r="D247" s="4">
        <v>1</v>
      </c>
      <c r="E247">
        <f>_xlfn.XLOOKUP(C247,products!A:A,products!D:D)</f>
        <v>3925</v>
      </c>
      <c r="F247">
        <f t="shared" si="6"/>
        <v>3925</v>
      </c>
      <c r="G247">
        <f>D247*(E247-_xlfn.XLOOKUP(C247,products!A:A,products!E:E))</f>
        <v>1471.88</v>
      </c>
      <c r="H247" s="6" t="str">
        <f>_xlfn.XLOOKUP(C247,products!A:A,products!C:C)</f>
        <v>Home Appliances</v>
      </c>
      <c r="I247" s="6" t="str">
        <f>_xlfn.XLOOKUP(C247,products!A:A,products!B:B)</f>
        <v>Vacuum Cleaner</v>
      </c>
      <c r="J247" s="6">
        <f>_xlfn.XLOOKUP(B247,orders!A:A,orders!C:C)</f>
        <v>45659</v>
      </c>
      <c r="K247" s="6" t="str">
        <f t="shared" si="7"/>
        <v>Jan-2025</v>
      </c>
      <c r="L247" s="6">
        <f>_xlfn.XLOOKUP(B247,orders!A:A,orders!B:B)</f>
        <v>15</v>
      </c>
      <c r="M247" s="6" t="str">
        <f>_xlfn.XLOOKUP("C"&amp;TEXT(L247,"000"),customers!A:A,customers!B:B,"Not Found")</f>
        <v>Neha L.</v>
      </c>
    </row>
    <row r="248" spans="1:13">
      <c r="A248">
        <v>247</v>
      </c>
      <c r="B248">
        <v>224</v>
      </c>
      <c r="C248">
        <v>19</v>
      </c>
      <c r="D248" s="4">
        <v>1</v>
      </c>
      <c r="E248">
        <f>_xlfn.XLOOKUP(C248,products!A:A,products!D:D)</f>
        <v>3103</v>
      </c>
      <c r="F248">
        <f t="shared" si="6"/>
        <v>3103</v>
      </c>
      <c r="G248">
        <f>D248*(E248-_xlfn.XLOOKUP(C248,products!A:A,products!E:E))</f>
        <v>977.44</v>
      </c>
      <c r="H248" s="6" t="str">
        <f>_xlfn.XLOOKUP(C248,products!A:A,products!C:C)</f>
        <v>Fashion</v>
      </c>
      <c r="I248" s="6" t="str">
        <f>_xlfn.XLOOKUP(C248,products!A:A,products!B:B)</f>
        <v>Wallet</v>
      </c>
      <c r="J248" s="6">
        <f>_xlfn.XLOOKUP(B248,orders!A:A,orders!C:C)</f>
        <v>45662</v>
      </c>
      <c r="K248" s="6" t="str">
        <f t="shared" si="7"/>
        <v>Jan-2025</v>
      </c>
      <c r="L248" s="6">
        <f>_xlfn.XLOOKUP(B248,orders!A:A,orders!B:B)</f>
        <v>52</v>
      </c>
      <c r="M248" s="6" t="str">
        <f>_xlfn.XLOOKUP("C"&amp;TEXT(L248,"000"),customers!A:A,customers!B:B,"Not Found")</f>
        <v>Lakshmi A.</v>
      </c>
    </row>
    <row r="249" spans="1:13">
      <c r="A249">
        <v>248</v>
      </c>
      <c r="B249">
        <v>224</v>
      </c>
      <c r="C249">
        <v>32</v>
      </c>
      <c r="D249" s="4">
        <v>2</v>
      </c>
      <c r="E249">
        <f>_xlfn.XLOOKUP(C249,products!A:A,products!D:D)</f>
        <v>4884</v>
      </c>
      <c r="F249">
        <f t="shared" si="6"/>
        <v>9768</v>
      </c>
      <c r="G249">
        <f>D249*(E249-_xlfn.XLOOKUP(C249,products!A:A,products!E:E))</f>
        <v>4102.5600000000004</v>
      </c>
      <c r="H249" s="6" t="str">
        <f>_xlfn.XLOOKUP(C249,products!A:A,products!C:C)</f>
        <v>Books</v>
      </c>
      <c r="I249" s="6" t="str">
        <f>_xlfn.XLOOKUP(C249,products!A:A,products!B:B)</f>
        <v>Notebook</v>
      </c>
      <c r="J249" s="6">
        <f>_xlfn.XLOOKUP(B249,orders!A:A,orders!C:C)</f>
        <v>45662</v>
      </c>
      <c r="K249" s="6" t="str">
        <f t="shared" si="7"/>
        <v>Jan-2025</v>
      </c>
      <c r="L249" s="6">
        <f>_xlfn.XLOOKUP(B249,orders!A:A,orders!B:B)</f>
        <v>52</v>
      </c>
      <c r="M249" s="6" t="str">
        <f>_xlfn.XLOOKUP("C"&amp;TEXT(L249,"000"),customers!A:A,customers!B:B,"Not Found")</f>
        <v>Lakshmi A.</v>
      </c>
    </row>
    <row r="250" spans="1:13">
      <c r="A250">
        <v>249</v>
      </c>
      <c r="B250">
        <v>225</v>
      </c>
      <c r="C250">
        <v>26</v>
      </c>
      <c r="D250" s="4">
        <v>2</v>
      </c>
      <c r="E250">
        <f>_xlfn.XLOOKUP(C250,products!A:A,products!D:D)</f>
        <v>4062</v>
      </c>
      <c r="F250">
        <f t="shared" si="6"/>
        <v>8124</v>
      </c>
      <c r="G250">
        <f>D250*(E250-_xlfn.XLOOKUP(C250,products!A:A,products!E:E))</f>
        <v>2924.6400000000003</v>
      </c>
      <c r="H250" s="6" t="str">
        <f>_xlfn.XLOOKUP(C250,products!A:A,products!C:C)</f>
        <v>Home &amp; Kitchen</v>
      </c>
      <c r="I250" s="6" t="str">
        <f>_xlfn.XLOOKUP(C250,products!A:A,products!B:B)</f>
        <v>Bedsheet</v>
      </c>
      <c r="J250" s="6">
        <f>_xlfn.XLOOKUP(B250,orders!A:A,orders!C:C)</f>
        <v>45665</v>
      </c>
      <c r="K250" s="6" t="str">
        <f t="shared" si="7"/>
        <v>Jan-2025</v>
      </c>
      <c r="L250" s="6">
        <f>_xlfn.XLOOKUP(B250,orders!A:A,orders!B:B)</f>
        <v>89</v>
      </c>
      <c r="M250" s="6" t="str">
        <f>_xlfn.XLOOKUP("C"&amp;TEXT(L250,"000"),customers!A:A,customers!B:B,"Not Found")</f>
        <v>Suresh A.</v>
      </c>
    </row>
    <row r="251" spans="1:13">
      <c r="A251">
        <v>250</v>
      </c>
      <c r="B251">
        <v>225</v>
      </c>
      <c r="C251">
        <v>39</v>
      </c>
      <c r="D251" s="4">
        <v>3</v>
      </c>
      <c r="E251">
        <f>_xlfn.XLOOKUP(C251,products!A:A,products!D:D)</f>
        <v>5843</v>
      </c>
      <c r="F251">
        <f t="shared" si="6"/>
        <v>17529</v>
      </c>
      <c r="G251">
        <f>D251*(E251-_xlfn.XLOOKUP(C251,products!A:A,products!E:E))</f>
        <v>5521.62</v>
      </c>
      <c r="H251" s="6" t="str">
        <f>_xlfn.XLOOKUP(C251,products!A:A,products!C:C)</f>
        <v>Sports</v>
      </c>
      <c r="I251" s="6" t="str">
        <f>_xlfn.XLOOKUP(C251,products!A:A,products!B:B)</f>
        <v>Yoga Mat</v>
      </c>
      <c r="J251" s="6">
        <f>_xlfn.XLOOKUP(B251,orders!A:A,orders!C:C)</f>
        <v>45665</v>
      </c>
      <c r="K251" s="6" t="str">
        <f t="shared" si="7"/>
        <v>Jan-2025</v>
      </c>
      <c r="L251" s="6">
        <f>_xlfn.XLOOKUP(B251,orders!A:A,orders!B:B)</f>
        <v>89</v>
      </c>
      <c r="M251" s="6" t="str">
        <f>_xlfn.XLOOKUP("C"&amp;TEXT(L251,"000"),customers!A:A,customers!B:B,"Not Found")</f>
        <v>Suresh A.</v>
      </c>
    </row>
    <row r="252" spans="1:13">
      <c r="A252">
        <v>251</v>
      </c>
      <c r="B252">
        <v>226</v>
      </c>
      <c r="C252">
        <v>33</v>
      </c>
      <c r="D252" s="4">
        <v>3</v>
      </c>
      <c r="E252">
        <f>_xlfn.XLOOKUP(C252,products!A:A,products!D:D)</f>
        <v>5021</v>
      </c>
      <c r="F252">
        <f t="shared" si="6"/>
        <v>15063</v>
      </c>
      <c r="G252">
        <f>D252*(E252-_xlfn.XLOOKUP(C252,products!A:A,products!E:E))</f>
        <v>6100.5</v>
      </c>
      <c r="H252" s="6" t="str">
        <f>_xlfn.XLOOKUP(C252,products!A:A,products!C:C)</f>
        <v>Books</v>
      </c>
      <c r="I252" s="6" t="str">
        <f>_xlfn.XLOOKUP(C252,products!A:A,products!B:B)</f>
        <v>Pen Set</v>
      </c>
      <c r="J252" s="6">
        <f>_xlfn.XLOOKUP(B252,orders!A:A,orders!C:C)</f>
        <v>45668</v>
      </c>
      <c r="K252" s="6" t="str">
        <f t="shared" si="7"/>
        <v>Jan-2025</v>
      </c>
      <c r="L252" s="6">
        <f>_xlfn.XLOOKUP(B252,orders!A:A,orders!B:B)</f>
        <v>126</v>
      </c>
      <c r="M252" s="6" t="str">
        <f>_xlfn.XLOOKUP("C"&amp;TEXT(L252,"000"),customers!A:A,customers!B:B,"Not Found")</f>
        <v>Nikhil S.</v>
      </c>
    </row>
    <row r="253" spans="1:13">
      <c r="A253">
        <v>252</v>
      </c>
      <c r="B253">
        <v>226</v>
      </c>
      <c r="C253">
        <v>46</v>
      </c>
      <c r="D253" s="4">
        <v>4</v>
      </c>
      <c r="E253">
        <f>_xlfn.XLOOKUP(C253,products!A:A,products!D:D)</f>
        <v>6802</v>
      </c>
      <c r="F253">
        <f t="shared" si="6"/>
        <v>27208</v>
      </c>
      <c r="G253">
        <f>D253*(E253-_xlfn.XLOOKUP(C253,products!A:A,products!E:E))</f>
        <v>9794.880000000001</v>
      </c>
      <c r="H253" s="6" t="str">
        <f>_xlfn.XLOOKUP(C253,products!A:A,products!C:C)</f>
        <v>Toys</v>
      </c>
      <c r="I253" s="6" t="str">
        <f>_xlfn.XLOOKUP(C253,products!A:A,products!B:B)</f>
        <v>Toys Car</v>
      </c>
      <c r="J253" s="6">
        <f>_xlfn.XLOOKUP(B253,orders!A:A,orders!C:C)</f>
        <v>45668</v>
      </c>
      <c r="K253" s="6" t="str">
        <f t="shared" si="7"/>
        <v>Jan-2025</v>
      </c>
      <c r="L253" s="6">
        <f>_xlfn.XLOOKUP(B253,orders!A:A,orders!B:B)</f>
        <v>126</v>
      </c>
      <c r="M253" s="6" t="str">
        <f>_xlfn.XLOOKUP("C"&amp;TEXT(L253,"000"),customers!A:A,customers!B:B,"Not Found")</f>
        <v>Nikhil S.</v>
      </c>
    </row>
    <row r="254" spans="1:13">
      <c r="A254">
        <v>253</v>
      </c>
      <c r="B254">
        <v>227</v>
      </c>
      <c r="C254">
        <v>40</v>
      </c>
      <c r="D254" s="4">
        <v>4</v>
      </c>
      <c r="E254">
        <f>_xlfn.XLOOKUP(C254,products!A:A,products!D:D)</f>
        <v>5980</v>
      </c>
      <c r="F254">
        <f t="shared" si="6"/>
        <v>23920</v>
      </c>
      <c r="G254">
        <f>D254*(E254-_xlfn.XLOOKUP(C254,products!A:A,products!E:E))</f>
        <v>10764</v>
      </c>
      <c r="H254" s="6" t="str">
        <f>_xlfn.XLOOKUP(C254,products!A:A,products!C:C)</f>
        <v>Sports</v>
      </c>
      <c r="I254" s="6" t="str">
        <f>_xlfn.XLOOKUP(C254,products!A:A,products!B:B)</f>
        <v>Dumbbells</v>
      </c>
      <c r="J254" s="6">
        <f>_xlfn.XLOOKUP(B254,orders!A:A,orders!C:C)</f>
        <v>45671</v>
      </c>
      <c r="K254" s="6" t="str">
        <f t="shared" si="7"/>
        <v>Jan-2025</v>
      </c>
      <c r="L254" s="6">
        <f>_xlfn.XLOOKUP(B254,orders!A:A,orders!B:B)</f>
        <v>163</v>
      </c>
      <c r="M254" s="6" t="str">
        <f>_xlfn.XLOOKUP("C"&amp;TEXT(L254,"000"),customers!A:A,customers!B:B,"Not Found")</f>
        <v>Priya B.</v>
      </c>
    </row>
    <row r="255" spans="1:13">
      <c r="A255">
        <v>254</v>
      </c>
      <c r="B255">
        <v>227</v>
      </c>
      <c r="C255">
        <v>3</v>
      </c>
      <c r="D255" s="4">
        <v>1</v>
      </c>
      <c r="E255">
        <f>_xlfn.XLOOKUP(C255,products!A:A,products!D:D)</f>
        <v>911</v>
      </c>
      <c r="F255">
        <f t="shared" si="6"/>
        <v>911</v>
      </c>
      <c r="G255">
        <f>D255*(E255-_xlfn.XLOOKUP(C255,products!A:A,products!E:E))</f>
        <v>368.95000000000005</v>
      </c>
      <c r="H255" s="6" t="str">
        <f>_xlfn.XLOOKUP(C255,products!A:A,products!C:C)</f>
        <v>Electronics</v>
      </c>
      <c r="I255" s="6" t="str">
        <f>_xlfn.XLOOKUP(C255,products!A:A,products!B:B)</f>
        <v>Headphones</v>
      </c>
      <c r="J255" s="6">
        <f>_xlfn.XLOOKUP(B255,orders!A:A,orders!C:C)</f>
        <v>45671</v>
      </c>
      <c r="K255" s="6" t="str">
        <f t="shared" si="7"/>
        <v>Jan-2025</v>
      </c>
      <c r="L255" s="6">
        <f>_xlfn.XLOOKUP(B255,orders!A:A,orders!B:B)</f>
        <v>163</v>
      </c>
      <c r="M255" s="6" t="str">
        <f>_xlfn.XLOOKUP("C"&amp;TEXT(L255,"000"),customers!A:A,customers!B:B,"Not Found")</f>
        <v>Priya B.</v>
      </c>
    </row>
    <row r="256" spans="1:13">
      <c r="A256">
        <v>255</v>
      </c>
      <c r="B256">
        <v>228</v>
      </c>
      <c r="C256">
        <v>47</v>
      </c>
      <c r="D256" s="4">
        <v>1</v>
      </c>
      <c r="E256">
        <f>_xlfn.XLOOKUP(C256,products!A:A,products!D:D)</f>
        <v>6939</v>
      </c>
      <c r="F256">
        <f t="shared" si="6"/>
        <v>6939</v>
      </c>
      <c r="G256">
        <f>D256*(E256-_xlfn.XLOOKUP(C256,products!A:A,products!E:E))</f>
        <v>2393.9499999999998</v>
      </c>
      <c r="H256" s="6" t="str">
        <f>_xlfn.XLOOKUP(C256,products!A:A,products!C:C)</f>
        <v>Toys</v>
      </c>
      <c r="I256" s="6" t="str">
        <f>_xlfn.XLOOKUP(C256,products!A:A,products!B:B)</f>
        <v>Puzzle</v>
      </c>
      <c r="J256" s="6">
        <f>_xlfn.XLOOKUP(B256,orders!A:A,orders!C:C)</f>
        <v>45674</v>
      </c>
      <c r="K256" s="6" t="str">
        <f t="shared" si="7"/>
        <v>Jan-2025</v>
      </c>
      <c r="L256" s="6">
        <f>_xlfn.XLOOKUP(B256,orders!A:A,orders!B:B)</f>
        <v>200</v>
      </c>
      <c r="M256" s="6" t="str">
        <f>_xlfn.XLOOKUP("C"&amp;TEXT(L256,"000"),customers!A:A,customers!B:B,"Not Found")</f>
        <v>Swathi W.</v>
      </c>
    </row>
    <row r="257" spans="1:13">
      <c r="A257">
        <v>256</v>
      </c>
      <c r="B257">
        <v>228</v>
      </c>
      <c r="C257">
        <v>10</v>
      </c>
      <c r="D257" s="4">
        <v>2</v>
      </c>
      <c r="E257">
        <f>_xlfn.XLOOKUP(C257,products!A:A,products!D:D)</f>
        <v>1870</v>
      </c>
      <c r="F257">
        <f t="shared" si="6"/>
        <v>3740</v>
      </c>
      <c r="G257">
        <f>D257*(E257-_xlfn.XLOOKUP(C257,products!A:A,products!E:E))</f>
        <v>1683</v>
      </c>
      <c r="H257" s="6" t="str">
        <f>_xlfn.XLOOKUP(C257,products!A:A,products!C:C)</f>
        <v>Electronics</v>
      </c>
      <c r="I257" s="6" t="str">
        <f>_xlfn.XLOOKUP(C257,products!A:A,products!B:B)</f>
        <v>Earbuds</v>
      </c>
      <c r="J257" s="6">
        <f>_xlfn.XLOOKUP(B257,orders!A:A,orders!C:C)</f>
        <v>45674</v>
      </c>
      <c r="K257" s="6" t="str">
        <f t="shared" si="7"/>
        <v>Jan-2025</v>
      </c>
      <c r="L257" s="6">
        <f>_xlfn.XLOOKUP(B257,orders!A:A,orders!B:B)</f>
        <v>200</v>
      </c>
      <c r="M257" s="6" t="str">
        <f>_xlfn.XLOOKUP("C"&amp;TEXT(L257,"000"),customers!A:A,customers!B:B,"Not Found")</f>
        <v>Swathi W.</v>
      </c>
    </row>
    <row r="258" spans="1:13">
      <c r="A258">
        <v>257</v>
      </c>
      <c r="B258">
        <v>229</v>
      </c>
      <c r="C258">
        <v>4</v>
      </c>
      <c r="D258" s="4">
        <v>2</v>
      </c>
      <c r="E258">
        <f>_xlfn.XLOOKUP(C258,products!A:A,products!D:D)</f>
        <v>1048</v>
      </c>
      <c r="F258">
        <f t="shared" ref="F258:F321" si="8">D258*E258</f>
        <v>2096</v>
      </c>
      <c r="G258">
        <f>D258*(E258-_xlfn.XLOOKUP(C258,products!A:A,products!E:E))</f>
        <v>817.44</v>
      </c>
      <c r="H258" s="6" t="str">
        <f>_xlfn.XLOOKUP(C258,products!A:A,products!C:C)</f>
        <v>Electronics</v>
      </c>
      <c r="I258" s="6" t="str">
        <f>_xlfn.XLOOKUP(C258,products!A:A,products!B:B)</f>
        <v>Smart Watch</v>
      </c>
      <c r="J258" s="6">
        <f>_xlfn.XLOOKUP(B258,orders!A:A,orders!C:C)</f>
        <v>45677</v>
      </c>
      <c r="K258" s="6" t="str">
        <f t="shared" ref="K258:K321" si="9">TEXT(J258,"mmm-yyyy")</f>
        <v>Jan-2025</v>
      </c>
      <c r="L258" s="6">
        <f>_xlfn.XLOOKUP(B258,orders!A:A,orders!B:B)</f>
        <v>237</v>
      </c>
      <c r="M258" s="6" t="str">
        <f>_xlfn.XLOOKUP("C"&amp;TEXT(L258,"000"),customers!A:A,customers!B:B,"Not Found")</f>
        <v>Manoj I.</v>
      </c>
    </row>
    <row r="259" spans="1:13">
      <c r="A259">
        <v>258</v>
      </c>
      <c r="B259">
        <v>229</v>
      </c>
      <c r="C259">
        <v>17</v>
      </c>
      <c r="D259" s="4">
        <v>3</v>
      </c>
      <c r="E259">
        <f>_xlfn.XLOOKUP(C259,products!A:A,products!D:D)</f>
        <v>2829</v>
      </c>
      <c r="F259">
        <f t="shared" si="8"/>
        <v>8487</v>
      </c>
      <c r="G259">
        <f>D259*(E259-_xlfn.XLOOKUP(C259,products!A:A,products!E:E))</f>
        <v>2928</v>
      </c>
      <c r="H259" s="6" t="str">
        <f>_xlfn.XLOOKUP(C259,products!A:A,products!C:C)</f>
        <v>Fashion</v>
      </c>
      <c r="I259" s="6" t="str">
        <f>_xlfn.XLOOKUP(C259,products!A:A,products!B:B)</f>
        <v>Dress</v>
      </c>
      <c r="J259" s="6">
        <f>_xlfn.XLOOKUP(B259,orders!A:A,orders!C:C)</f>
        <v>45677</v>
      </c>
      <c r="K259" s="6" t="str">
        <f t="shared" si="9"/>
        <v>Jan-2025</v>
      </c>
      <c r="L259" s="6">
        <f>_xlfn.XLOOKUP(B259,orders!A:A,orders!B:B)</f>
        <v>237</v>
      </c>
      <c r="M259" s="6" t="str">
        <f>_xlfn.XLOOKUP("C"&amp;TEXT(L259,"000"),customers!A:A,customers!B:B,"Not Found")</f>
        <v>Manoj I.</v>
      </c>
    </row>
    <row r="260" spans="1:13">
      <c r="A260">
        <v>259</v>
      </c>
      <c r="B260">
        <v>230</v>
      </c>
      <c r="C260">
        <v>11</v>
      </c>
      <c r="D260" s="4">
        <v>3</v>
      </c>
      <c r="E260">
        <f>_xlfn.XLOOKUP(C260,products!A:A,products!D:D)</f>
        <v>2007</v>
      </c>
      <c r="F260">
        <f t="shared" si="8"/>
        <v>6021</v>
      </c>
      <c r="G260">
        <f>D260*(E260-_xlfn.XLOOKUP(C260,products!A:A,products!E:E))</f>
        <v>2619.12</v>
      </c>
      <c r="H260" s="6" t="str">
        <f>_xlfn.XLOOKUP(C260,products!A:A,products!C:C)</f>
        <v>Fashion</v>
      </c>
      <c r="I260" s="6" t="str">
        <f>_xlfn.XLOOKUP(C260,products!A:A,products!B:B)</f>
        <v>T-Shirt</v>
      </c>
      <c r="J260" s="6">
        <f>_xlfn.XLOOKUP(B260,orders!A:A,orders!C:C)</f>
        <v>45680</v>
      </c>
      <c r="K260" s="6" t="str">
        <f t="shared" si="9"/>
        <v>Jan-2025</v>
      </c>
      <c r="L260" s="6">
        <f>_xlfn.XLOOKUP(B260,orders!A:A,orders!B:B)</f>
        <v>274</v>
      </c>
      <c r="M260" s="6" t="str">
        <f>_xlfn.XLOOKUP("C"&amp;TEXT(L260,"000"),customers!A:A,customers!B:B,"Not Found")</f>
        <v>Suresh V.</v>
      </c>
    </row>
    <row r="261" spans="1:13">
      <c r="A261">
        <v>260</v>
      </c>
      <c r="B261">
        <v>230</v>
      </c>
      <c r="C261">
        <v>24</v>
      </c>
      <c r="D261" s="4">
        <v>4</v>
      </c>
      <c r="E261">
        <f>_xlfn.XLOOKUP(C261,products!A:A,products!D:D)</f>
        <v>3788</v>
      </c>
      <c r="F261">
        <f t="shared" si="8"/>
        <v>15152</v>
      </c>
      <c r="G261">
        <f>D261*(E261-_xlfn.XLOOKUP(C261,products!A:A,products!E:E))</f>
        <v>5909.2800000000007</v>
      </c>
      <c r="H261" s="6" t="str">
        <f>_xlfn.XLOOKUP(C261,products!A:A,products!C:C)</f>
        <v>Home Appliances</v>
      </c>
      <c r="I261" s="6" t="str">
        <f>_xlfn.XLOOKUP(C261,products!A:A,products!B:B)</f>
        <v>Iron</v>
      </c>
      <c r="J261" s="6">
        <f>_xlfn.XLOOKUP(B261,orders!A:A,orders!C:C)</f>
        <v>45680</v>
      </c>
      <c r="K261" s="6" t="str">
        <f t="shared" si="9"/>
        <v>Jan-2025</v>
      </c>
      <c r="L261" s="6">
        <f>_xlfn.XLOOKUP(B261,orders!A:A,orders!B:B)</f>
        <v>274</v>
      </c>
      <c r="M261" s="6" t="str">
        <f>_xlfn.XLOOKUP("C"&amp;TEXT(L261,"000"),customers!A:A,customers!B:B,"Not Found")</f>
        <v>Suresh V.</v>
      </c>
    </row>
    <row r="262" spans="1:13">
      <c r="A262">
        <v>261</v>
      </c>
      <c r="B262">
        <v>231</v>
      </c>
      <c r="C262">
        <v>18</v>
      </c>
      <c r="D262" s="4">
        <v>4</v>
      </c>
      <c r="E262">
        <f>_xlfn.XLOOKUP(C262,products!A:A,products!D:D)</f>
        <v>2966</v>
      </c>
      <c r="F262">
        <f t="shared" si="8"/>
        <v>11864</v>
      </c>
      <c r="G262">
        <f>D262*(E262-_xlfn.XLOOKUP(C262,products!A:A,products!E:E))</f>
        <v>3915.12</v>
      </c>
      <c r="H262" s="6" t="str">
        <f>_xlfn.XLOOKUP(C262,products!A:A,products!C:C)</f>
        <v>Fashion</v>
      </c>
      <c r="I262" s="6" t="str">
        <f>_xlfn.XLOOKUP(C262,products!A:A,products!B:B)</f>
        <v>Backpack</v>
      </c>
      <c r="J262" s="6">
        <f>_xlfn.XLOOKUP(B262,orders!A:A,orders!C:C)</f>
        <v>45683</v>
      </c>
      <c r="K262" s="6" t="str">
        <f t="shared" si="9"/>
        <v>Jan-2025</v>
      </c>
      <c r="L262" s="6">
        <f>_xlfn.XLOOKUP(B262,orders!A:A,orders!B:B)</f>
        <v>311</v>
      </c>
      <c r="M262" s="6" t="str">
        <f>_xlfn.XLOOKUP("C"&amp;TEXT(L262,"000"),customers!A:A,customers!B:B,"Not Found")</f>
        <v>Sneha T.</v>
      </c>
    </row>
    <row r="263" spans="1:13">
      <c r="A263">
        <v>262</v>
      </c>
      <c r="B263">
        <v>231</v>
      </c>
      <c r="C263">
        <v>31</v>
      </c>
      <c r="D263" s="4">
        <v>1</v>
      </c>
      <c r="E263">
        <f>_xlfn.XLOOKUP(C263,products!A:A,products!D:D)</f>
        <v>4747</v>
      </c>
      <c r="F263">
        <f t="shared" si="8"/>
        <v>4747</v>
      </c>
      <c r="G263">
        <f>D263*(E263-_xlfn.XLOOKUP(C263,products!A:A,products!E:E))</f>
        <v>2064.94</v>
      </c>
      <c r="H263" s="6" t="str">
        <f>_xlfn.XLOOKUP(C263,products!A:A,products!C:C)</f>
        <v>Books</v>
      </c>
      <c r="I263" s="6" t="str">
        <f>_xlfn.XLOOKUP(C263,products!A:A,products!B:B)</f>
        <v>Book</v>
      </c>
      <c r="J263" s="6">
        <f>_xlfn.XLOOKUP(B263,orders!A:A,orders!C:C)</f>
        <v>45683</v>
      </c>
      <c r="K263" s="6" t="str">
        <f t="shared" si="9"/>
        <v>Jan-2025</v>
      </c>
      <c r="L263" s="6">
        <f>_xlfn.XLOOKUP(B263,orders!A:A,orders!B:B)</f>
        <v>311</v>
      </c>
      <c r="M263" s="6" t="str">
        <f>_xlfn.XLOOKUP("C"&amp;TEXT(L263,"000"),customers!A:A,customers!B:B,"Not Found")</f>
        <v>Sneha T.</v>
      </c>
    </row>
    <row r="264" spans="1:13">
      <c r="A264">
        <v>263</v>
      </c>
      <c r="B264">
        <v>232</v>
      </c>
      <c r="C264">
        <v>25</v>
      </c>
      <c r="D264" s="4">
        <v>1</v>
      </c>
      <c r="E264">
        <f>_xlfn.XLOOKUP(C264,products!A:A,products!D:D)</f>
        <v>3925</v>
      </c>
      <c r="F264">
        <f t="shared" si="8"/>
        <v>3925</v>
      </c>
      <c r="G264">
        <f>D264*(E264-_xlfn.XLOOKUP(C264,products!A:A,products!E:E))</f>
        <v>1471.88</v>
      </c>
      <c r="H264" s="6" t="str">
        <f>_xlfn.XLOOKUP(C264,products!A:A,products!C:C)</f>
        <v>Home Appliances</v>
      </c>
      <c r="I264" s="6" t="str">
        <f>_xlfn.XLOOKUP(C264,products!A:A,products!B:B)</f>
        <v>Vacuum Cleaner</v>
      </c>
      <c r="J264" s="6">
        <f>_xlfn.XLOOKUP(B264,orders!A:A,orders!C:C)</f>
        <v>45686</v>
      </c>
      <c r="K264" s="6" t="str">
        <f t="shared" si="9"/>
        <v>Jan-2025</v>
      </c>
      <c r="L264" s="6">
        <f>_xlfn.XLOOKUP(B264,orders!A:A,orders!B:B)</f>
        <v>348</v>
      </c>
      <c r="M264" s="6" t="str">
        <f>_xlfn.XLOOKUP("C"&amp;TEXT(L264,"000"),customers!A:A,customers!B:B,"Not Found")</f>
        <v>Manoj E.</v>
      </c>
    </row>
    <row r="265" spans="1:13">
      <c r="A265">
        <v>264</v>
      </c>
      <c r="B265">
        <v>232</v>
      </c>
      <c r="C265">
        <v>38</v>
      </c>
      <c r="D265" s="4">
        <v>2</v>
      </c>
      <c r="E265">
        <f>_xlfn.XLOOKUP(C265,products!A:A,products!D:D)</f>
        <v>5706</v>
      </c>
      <c r="F265">
        <f t="shared" si="8"/>
        <v>11412</v>
      </c>
      <c r="G265">
        <f>D265*(E265-_xlfn.XLOOKUP(C265,products!A:A,products!E:E))</f>
        <v>3765.96</v>
      </c>
      <c r="H265" s="6" t="str">
        <f>_xlfn.XLOOKUP(C265,products!A:A,products!C:C)</f>
        <v>Sports</v>
      </c>
      <c r="I265" s="6" t="str">
        <f>_xlfn.XLOOKUP(C265,products!A:A,products!B:B)</f>
        <v>Badminton Racket</v>
      </c>
      <c r="J265" s="6">
        <f>_xlfn.XLOOKUP(B265,orders!A:A,orders!C:C)</f>
        <v>45686</v>
      </c>
      <c r="K265" s="6" t="str">
        <f t="shared" si="9"/>
        <v>Jan-2025</v>
      </c>
      <c r="L265" s="6">
        <f>_xlfn.XLOOKUP(B265,orders!A:A,orders!B:B)</f>
        <v>348</v>
      </c>
      <c r="M265" s="6" t="str">
        <f>_xlfn.XLOOKUP("C"&amp;TEXT(L265,"000"),customers!A:A,customers!B:B,"Not Found")</f>
        <v>Manoj E.</v>
      </c>
    </row>
    <row r="266" spans="1:13">
      <c r="A266">
        <v>265</v>
      </c>
      <c r="B266">
        <v>233</v>
      </c>
      <c r="C266">
        <v>32</v>
      </c>
      <c r="D266" s="4">
        <v>2</v>
      </c>
      <c r="E266">
        <f>_xlfn.XLOOKUP(C266,products!A:A,products!D:D)</f>
        <v>4884</v>
      </c>
      <c r="F266">
        <f t="shared" si="8"/>
        <v>9768</v>
      </c>
      <c r="G266">
        <f>D266*(E266-_xlfn.XLOOKUP(C266,products!A:A,products!E:E))</f>
        <v>4102.5600000000004</v>
      </c>
      <c r="H266" s="6" t="str">
        <f>_xlfn.XLOOKUP(C266,products!A:A,products!C:C)</f>
        <v>Books</v>
      </c>
      <c r="I266" s="6" t="str">
        <f>_xlfn.XLOOKUP(C266,products!A:A,products!B:B)</f>
        <v>Notebook</v>
      </c>
      <c r="J266" s="6">
        <f>_xlfn.XLOOKUP(B266,orders!A:A,orders!C:C)</f>
        <v>45689</v>
      </c>
      <c r="K266" s="6" t="str">
        <f t="shared" si="9"/>
        <v>Feb-2025</v>
      </c>
      <c r="L266" s="6">
        <f>_xlfn.XLOOKUP(B266,orders!A:A,orders!B:B)</f>
        <v>385</v>
      </c>
      <c r="M266" s="6" t="str">
        <f>_xlfn.XLOOKUP("C"&amp;TEXT(L266,"000"),customers!A:A,customers!B:B,"Not Found")</f>
        <v>Amit S.</v>
      </c>
    </row>
    <row r="267" spans="1:13">
      <c r="A267">
        <v>266</v>
      </c>
      <c r="B267">
        <v>233</v>
      </c>
      <c r="C267">
        <v>45</v>
      </c>
      <c r="D267" s="4">
        <v>3</v>
      </c>
      <c r="E267">
        <f>_xlfn.XLOOKUP(C267,products!A:A,products!D:D)</f>
        <v>6665</v>
      </c>
      <c r="F267">
        <f t="shared" si="8"/>
        <v>19995</v>
      </c>
      <c r="G267">
        <f>D267*(E267-_xlfn.XLOOKUP(C267,products!A:A,products!E:E))</f>
        <v>7498.14</v>
      </c>
      <c r="H267" s="6" t="str">
        <f>_xlfn.XLOOKUP(C267,products!A:A,products!C:C)</f>
        <v>Beauty</v>
      </c>
      <c r="I267" s="6" t="str">
        <f>_xlfn.XLOOKUP(C267,products!A:A,products!B:B)</f>
        <v>Sunscreen</v>
      </c>
      <c r="J267" s="6">
        <f>_xlfn.XLOOKUP(B267,orders!A:A,orders!C:C)</f>
        <v>45689</v>
      </c>
      <c r="K267" s="6" t="str">
        <f t="shared" si="9"/>
        <v>Feb-2025</v>
      </c>
      <c r="L267" s="6">
        <f>_xlfn.XLOOKUP(B267,orders!A:A,orders!B:B)</f>
        <v>385</v>
      </c>
      <c r="M267" s="6" t="str">
        <f>_xlfn.XLOOKUP("C"&amp;TEXT(L267,"000"),customers!A:A,customers!B:B,"Not Found")</f>
        <v>Amit S.</v>
      </c>
    </row>
    <row r="268" spans="1:13">
      <c r="A268">
        <v>267</v>
      </c>
      <c r="B268">
        <v>234</v>
      </c>
      <c r="C268">
        <v>39</v>
      </c>
      <c r="D268" s="4">
        <v>3</v>
      </c>
      <c r="E268">
        <f>_xlfn.XLOOKUP(C268,products!A:A,products!D:D)</f>
        <v>5843</v>
      </c>
      <c r="F268">
        <f t="shared" si="8"/>
        <v>17529</v>
      </c>
      <c r="G268">
        <f>D268*(E268-_xlfn.XLOOKUP(C268,products!A:A,products!E:E))</f>
        <v>5521.62</v>
      </c>
      <c r="H268" s="6" t="str">
        <f>_xlfn.XLOOKUP(C268,products!A:A,products!C:C)</f>
        <v>Sports</v>
      </c>
      <c r="I268" s="6" t="str">
        <f>_xlfn.XLOOKUP(C268,products!A:A,products!B:B)</f>
        <v>Yoga Mat</v>
      </c>
      <c r="J268" s="6">
        <f>_xlfn.XLOOKUP(B268,orders!A:A,orders!C:C)</f>
        <v>45692</v>
      </c>
      <c r="K268" s="6" t="str">
        <f t="shared" si="9"/>
        <v>Feb-2025</v>
      </c>
      <c r="L268" s="6">
        <f>_xlfn.XLOOKUP(B268,orders!A:A,orders!B:B)</f>
        <v>422</v>
      </c>
      <c r="M268" s="6" t="str">
        <f>_xlfn.XLOOKUP("C"&amp;TEXT(L268,"000"),customers!A:A,customers!B:B,"Not Found")</f>
        <v>Swathi Q.</v>
      </c>
    </row>
    <row r="269" spans="1:13">
      <c r="A269">
        <v>268</v>
      </c>
      <c r="B269">
        <v>234</v>
      </c>
      <c r="C269">
        <v>2</v>
      </c>
      <c r="D269" s="4">
        <v>4</v>
      </c>
      <c r="E269">
        <f>_xlfn.XLOOKUP(C269,products!A:A,products!D:D)</f>
        <v>774</v>
      </c>
      <c r="F269">
        <f t="shared" si="8"/>
        <v>3096</v>
      </c>
      <c r="G269">
        <f>D269*(E269-_xlfn.XLOOKUP(C269,products!A:A,products!E:E))</f>
        <v>1300.32</v>
      </c>
      <c r="H269" s="6" t="str">
        <f>_xlfn.XLOOKUP(C269,products!A:A,products!C:C)</f>
        <v>Electronics</v>
      </c>
      <c r="I269" s="6" t="str">
        <f>_xlfn.XLOOKUP(C269,products!A:A,products!B:B)</f>
        <v>Mobile</v>
      </c>
      <c r="J269" s="6">
        <f>_xlfn.XLOOKUP(B269,orders!A:A,orders!C:C)</f>
        <v>45692</v>
      </c>
      <c r="K269" s="6" t="str">
        <f t="shared" si="9"/>
        <v>Feb-2025</v>
      </c>
      <c r="L269" s="6">
        <f>_xlfn.XLOOKUP(B269,orders!A:A,orders!B:B)</f>
        <v>422</v>
      </c>
      <c r="M269" s="6" t="str">
        <f>_xlfn.XLOOKUP("C"&amp;TEXT(L269,"000"),customers!A:A,customers!B:B,"Not Found")</f>
        <v>Swathi Q.</v>
      </c>
    </row>
    <row r="270" spans="1:13">
      <c r="A270">
        <v>269</v>
      </c>
      <c r="B270">
        <v>235</v>
      </c>
      <c r="C270">
        <v>46</v>
      </c>
      <c r="D270" s="4">
        <v>4</v>
      </c>
      <c r="E270">
        <f>_xlfn.XLOOKUP(C270,products!A:A,products!D:D)</f>
        <v>6802</v>
      </c>
      <c r="F270">
        <f t="shared" si="8"/>
        <v>27208</v>
      </c>
      <c r="G270">
        <f>D270*(E270-_xlfn.XLOOKUP(C270,products!A:A,products!E:E))</f>
        <v>9794.880000000001</v>
      </c>
      <c r="H270" s="6" t="str">
        <f>_xlfn.XLOOKUP(C270,products!A:A,products!C:C)</f>
        <v>Toys</v>
      </c>
      <c r="I270" s="6" t="str">
        <f>_xlfn.XLOOKUP(C270,products!A:A,products!B:B)</f>
        <v>Toys Car</v>
      </c>
      <c r="J270" s="6">
        <f>_xlfn.XLOOKUP(B270,orders!A:A,orders!C:C)</f>
        <v>45695</v>
      </c>
      <c r="K270" s="6" t="str">
        <f t="shared" si="9"/>
        <v>Feb-2025</v>
      </c>
      <c r="L270" s="6">
        <f>_xlfn.XLOOKUP(B270,orders!A:A,orders!B:B)</f>
        <v>459</v>
      </c>
      <c r="M270" s="6" t="str">
        <f>_xlfn.XLOOKUP("C"&amp;TEXT(L270,"000"),customers!A:A,customers!B:B,"Not Found")</f>
        <v>Priya V.</v>
      </c>
    </row>
    <row r="271" spans="1:13">
      <c r="A271">
        <v>270</v>
      </c>
      <c r="B271">
        <v>235</v>
      </c>
      <c r="C271">
        <v>9</v>
      </c>
      <c r="D271" s="4">
        <v>1</v>
      </c>
      <c r="E271">
        <f>_xlfn.XLOOKUP(C271,products!A:A,products!D:D)</f>
        <v>1733</v>
      </c>
      <c r="F271">
        <f t="shared" si="8"/>
        <v>1733</v>
      </c>
      <c r="G271">
        <f>D271*(E271-_xlfn.XLOOKUP(C271,products!A:A,products!E:E))</f>
        <v>545.8900000000001</v>
      </c>
      <c r="H271" s="6" t="str">
        <f>_xlfn.XLOOKUP(C271,products!A:A,products!C:C)</f>
        <v>Electronics</v>
      </c>
      <c r="I271" s="6" t="str">
        <f>_xlfn.XLOOKUP(C271,products!A:A,products!B:B)</f>
        <v>Power Bank</v>
      </c>
      <c r="J271" s="6">
        <f>_xlfn.XLOOKUP(B271,orders!A:A,orders!C:C)</f>
        <v>45695</v>
      </c>
      <c r="K271" s="6" t="str">
        <f t="shared" si="9"/>
        <v>Feb-2025</v>
      </c>
      <c r="L271" s="6">
        <f>_xlfn.XLOOKUP(B271,orders!A:A,orders!B:B)</f>
        <v>459</v>
      </c>
      <c r="M271" s="6" t="str">
        <f>_xlfn.XLOOKUP("C"&amp;TEXT(L271,"000"),customers!A:A,customers!B:B,"Not Found")</f>
        <v>Priya V.</v>
      </c>
    </row>
    <row r="272" spans="1:13">
      <c r="A272">
        <v>271</v>
      </c>
      <c r="B272">
        <v>236</v>
      </c>
      <c r="C272">
        <v>3</v>
      </c>
      <c r="D272" s="4">
        <v>1</v>
      </c>
      <c r="E272">
        <f>_xlfn.XLOOKUP(C272,products!A:A,products!D:D)</f>
        <v>911</v>
      </c>
      <c r="F272">
        <f t="shared" si="8"/>
        <v>911</v>
      </c>
      <c r="G272">
        <f>D272*(E272-_xlfn.XLOOKUP(C272,products!A:A,products!E:E))</f>
        <v>368.95000000000005</v>
      </c>
      <c r="H272" s="6" t="str">
        <f>_xlfn.XLOOKUP(C272,products!A:A,products!C:C)</f>
        <v>Electronics</v>
      </c>
      <c r="I272" s="6" t="str">
        <f>_xlfn.XLOOKUP(C272,products!A:A,products!B:B)</f>
        <v>Headphones</v>
      </c>
      <c r="J272" s="6">
        <f>_xlfn.XLOOKUP(B272,orders!A:A,orders!C:C)</f>
        <v>45698</v>
      </c>
      <c r="K272" s="6" t="str">
        <f t="shared" si="9"/>
        <v>Feb-2025</v>
      </c>
      <c r="L272" s="6">
        <f>_xlfn.XLOOKUP(B272,orders!A:A,orders!B:B)</f>
        <v>496</v>
      </c>
      <c r="M272" s="6" t="str">
        <f>_xlfn.XLOOKUP("C"&amp;TEXT(L272,"000"),customers!A:A,customers!B:B,"Not Found")</f>
        <v>Anjali F.</v>
      </c>
    </row>
    <row r="273" spans="1:13">
      <c r="A273">
        <v>272</v>
      </c>
      <c r="B273">
        <v>236</v>
      </c>
      <c r="C273">
        <v>16</v>
      </c>
      <c r="D273" s="4">
        <v>2</v>
      </c>
      <c r="E273">
        <f>_xlfn.XLOOKUP(C273,products!A:A,products!D:D)</f>
        <v>2692</v>
      </c>
      <c r="F273">
        <f t="shared" si="8"/>
        <v>5384</v>
      </c>
      <c r="G273">
        <f>D273*(E273-_xlfn.XLOOKUP(C273,products!A:A,products!E:E))</f>
        <v>1938.2399999999998</v>
      </c>
      <c r="H273" s="6" t="str">
        <f>_xlfn.XLOOKUP(C273,products!A:A,products!C:C)</f>
        <v>Fashion</v>
      </c>
      <c r="I273" s="6" t="str">
        <f>_xlfn.XLOOKUP(C273,products!A:A,products!B:B)</f>
        <v>Saree</v>
      </c>
      <c r="J273" s="6">
        <f>_xlfn.XLOOKUP(B273,orders!A:A,orders!C:C)</f>
        <v>45698</v>
      </c>
      <c r="K273" s="6" t="str">
        <f t="shared" si="9"/>
        <v>Feb-2025</v>
      </c>
      <c r="L273" s="6">
        <f>_xlfn.XLOOKUP(B273,orders!A:A,orders!B:B)</f>
        <v>496</v>
      </c>
      <c r="M273" s="6" t="str">
        <f>_xlfn.XLOOKUP("C"&amp;TEXT(L273,"000"),customers!A:A,customers!B:B,"Not Found")</f>
        <v>Anjali F.</v>
      </c>
    </row>
    <row r="274" spans="1:13">
      <c r="A274">
        <v>273</v>
      </c>
      <c r="B274">
        <v>237</v>
      </c>
      <c r="C274">
        <v>10</v>
      </c>
      <c r="D274" s="4">
        <v>2</v>
      </c>
      <c r="E274">
        <f>_xlfn.XLOOKUP(C274,products!A:A,products!D:D)</f>
        <v>1870</v>
      </c>
      <c r="F274">
        <f t="shared" si="8"/>
        <v>3740</v>
      </c>
      <c r="G274">
        <f>D274*(E274-_xlfn.XLOOKUP(C274,products!A:A,products!E:E))</f>
        <v>1683</v>
      </c>
      <c r="H274" s="6" t="str">
        <f>_xlfn.XLOOKUP(C274,products!A:A,products!C:C)</f>
        <v>Electronics</v>
      </c>
      <c r="I274" s="6" t="str">
        <f>_xlfn.XLOOKUP(C274,products!A:A,products!B:B)</f>
        <v>Earbuds</v>
      </c>
      <c r="J274" s="6">
        <f>_xlfn.XLOOKUP(B274,orders!A:A,orders!C:C)</f>
        <v>45701</v>
      </c>
      <c r="K274" s="6" t="str">
        <f t="shared" si="9"/>
        <v>Feb-2025</v>
      </c>
      <c r="L274" s="6">
        <f>_xlfn.XLOOKUP(B274,orders!A:A,orders!B:B)</f>
        <v>33</v>
      </c>
      <c r="M274" s="6" t="str">
        <f>_xlfn.XLOOKUP("C"&amp;TEXT(L274,"000"),customers!A:A,customers!B:B,"Not Found")</f>
        <v>Divya H.</v>
      </c>
    </row>
    <row r="275" spans="1:13">
      <c r="A275">
        <v>274</v>
      </c>
      <c r="B275">
        <v>237</v>
      </c>
      <c r="C275">
        <v>23</v>
      </c>
      <c r="D275" s="4">
        <v>3</v>
      </c>
      <c r="E275">
        <f>_xlfn.XLOOKUP(C275,products!A:A,products!D:D)</f>
        <v>3651</v>
      </c>
      <c r="F275">
        <f t="shared" si="8"/>
        <v>10953</v>
      </c>
      <c r="G275">
        <f>D275*(E275-_xlfn.XLOOKUP(C275,products!A:A,products!E:E))</f>
        <v>4435.9500000000007</v>
      </c>
      <c r="H275" s="6" t="str">
        <f>_xlfn.XLOOKUP(C275,products!A:A,products!C:C)</f>
        <v>Home Appliances</v>
      </c>
      <c r="I275" s="6" t="str">
        <f>_xlfn.XLOOKUP(C275,products!A:A,products!B:B)</f>
        <v>Fan</v>
      </c>
      <c r="J275" s="6">
        <f>_xlfn.XLOOKUP(B275,orders!A:A,orders!C:C)</f>
        <v>45701</v>
      </c>
      <c r="K275" s="6" t="str">
        <f t="shared" si="9"/>
        <v>Feb-2025</v>
      </c>
      <c r="L275" s="6">
        <f>_xlfn.XLOOKUP(B275,orders!A:A,orders!B:B)</f>
        <v>33</v>
      </c>
      <c r="M275" s="6" t="str">
        <f>_xlfn.XLOOKUP("C"&amp;TEXT(L275,"000"),customers!A:A,customers!B:B,"Not Found")</f>
        <v>Divya H.</v>
      </c>
    </row>
    <row r="276" spans="1:13">
      <c r="A276">
        <v>275</v>
      </c>
      <c r="B276">
        <v>238</v>
      </c>
      <c r="C276">
        <v>17</v>
      </c>
      <c r="D276" s="4">
        <v>3</v>
      </c>
      <c r="E276">
        <f>_xlfn.XLOOKUP(C276,products!A:A,products!D:D)</f>
        <v>2829</v>
      </c>
      <c r="F276">
        <f t="shared" si="8"/>
        <v>8487</v>
      </c>
      <c r="G276">
        <f>D276*(E276-_xlfn.XLOOKUP(C276,products!A:A,products!E:E))</f>
        <v>2928</v>
      </c>
      <c r="H276" s="6" t="str">
        <f>_xlfn.XLOOKUP(C276,products!A:A,products!C:C)</f>
        <v>Fashion</v>
      </c>
      <c r="I276" s="6" t="str">
        <f>_xlfn.XLOOKUP(C276,products!A:A,products!B:B)</f>
        <v>Dress</v>
      </c>
      <c r="J276" s="6">
        <f>_xlfn.XLOOKUP(B276,orders!A:A,orders!C:C)</f>
        <v>45704</v>
      </c>
      <c r="K276" s="6" t="str">
        <f t="shared" si="9"/>
        <v>Feb-2025</v>
      </c>
      <c r="L276" s="6">
        <f>_xlfn.XLOOKUP(B276,orders!A:A,orders!B:B)</f>
        <v>70</v>
      </c>
      <c r="M276" s="6" t="str">
        <f>_xlfn.XLOOKUP("C"&amp;TEXT(L276,"000"),customers!A:A,customers!B:B,"Not Found")</f>
        <v>Divya V.</v>
      </c>
    </row>
    <row r="277" spans="1:13">
      <c r="A277">
        <v>276</v>
      </c>
      <c r="B277">
        <v>238</v>
      </c>
      <c r="C277">
        <v>30</v>
      </c>
      <c r="D277" s="4">
        <v>4</v>
      </c>
      <c r="E277">
        <f>_xlfn.XLOOKUP(C277,products!A:A,products!D:D)</f>
        <v>4610</v>
      </c>
      <c r="F277">
        <f t="shared" si="8"/>
        <v>18440</v>
      </c>
      <c r="G277">
        <f>D277*(E277-_xlfn.XLOOKUP(C277,products!A:A,products!E:E))</f>
        <v>8298</v>
      </c>
      <c r="H277" s="6" t="str">
        <f>_xlfn.XLOOKUP(C277,products!A:A,products!C:C)</f>
        <v>Furniture</v>
      </c>
      <c r="I277" s="6" t="str">
        <f>_xlfn.XLOOKUP(C277,products!A:A,products!B:B)</f>
        <v>Table</v>
      </c>
      <c r="J277" s="6">
        <f>_xlfn.XLOOKUP(B277,orders!A:A,orders!C:C)</f>
        <v>45704</v>
      </c>
      <c r="K277" s="6" t="str">
        <f t="shared" si="9"/>
        <v>Feb-2025</v>
      </c>
      <c r="L277" s="6">
        <f>_xlfn.XLOOKUP(B277,orders!A:A,orders!B:B)</f>
        <v>70</v>
      </c>
      <c r="M277" s="6" t="str">
        <f>_xlfn.XLOOKUP("C"&amp;TEXT(L277,"000"),customers!A:A,customers!B:B,"Not Found")</f>
        <v>Divya V.</v>
      </c>
    </row>
    <row r="278" spans="1:13">
      <c r="A278">
        <v>277</v>
      </c>
      <c r="B278">
        <v>239</v>
      </c>
      <c r="C278">
        <v>24</v>
      </c>
      <c r="D278" s="4">
        <v>4</v>
      </c>
      <c r="E278">
        <f>_xlfn.XLOOKUP(C278,products!A:A,products!D:D)</f>
        <v>3788</v>
      </c>
      <c r="F278">
        <f t="shared" si="8"/>
        <v>15152</v>
      </c>
      <c r="G278">
        <f>D278*(E278-_xlfn.XLOOKUP(C278,products!A:A,products!E:E))</f>
        <v>5909.2800000000007</v>
      </c>
      <c r="H278" s="6" t="str">
        <f>_xlfn.XLOOKUP(C278,products!A:A,products!C:C)</f>
        <v>Home Appliances</v>
      </c>
      <c r="I278" s="6" t="str">
        <f>_xlfn.XLOOKUP(C278,products!A:A,products!B:B)</f>
        <v>Iron</v>
      </c>
      <c r="J278" s="6">
        <f>_xlfn.XLOOKUP(B278,orders!A:A,orders!C:C)</f>
        <v>45707</v>
      </c>
      <c r="K278" s="6" t="str">
        <f t="shared" si="9"/>
        <v>Feb-2025</v>
      </c>
      <c r="L278" s="6">
        <f>_xlfn.XLOOKUP(B278,orders!A:A,orders!B:B)</f>
        <v>107</v>
      </c>
      <c r="M278" s="6" t="str">
        <f>_xlfn.XLOOKUP("C"&amp;TEXT(L278,"000"),customers!A:A,customers!B:B,"Not Found")</f>
        <v>Nikhil G.</v>
      </c>
    </row>
    <row r="279" spans="1:13">
      <c r="A279">
        <v>278</v>
      </c>
      <c r="B279">
        <v>239</v>
      </c>
      <c r="C279">
        <v>37</v>
      </c>
      <c r="D279" s="4">
        <v>1</v>
      </c>
      <c r="E279">
        <f>_xlfn.XLOOKUP(C279,products!A:A,products!D:D)</f>
        <v>5569</v>
      </c>
      <c r="F279">
        <f t="shared" si="8"/>
        <v>5569</v>
      </c>
      <c r="G279">
        <f>D279*(E279-_xlfn.XLOOKUP(C279,products!A:A,products!E:E))</f>
        <v>1921.3000000000002</v>
      </c>
      <c r="H279" s="6" t="str">
        <f>_xlfn.XLOOKUP(C279,products!A:A,products!C:C)</f>
        <v>Sports</v>
      </c>
      <c r="I279" s="6" t="str">
        <f>_xlfn.XLOOKUP(C279,products!A:A,products!B:B)</f>
        <v>Football</v>
      </c>
      <c r="J279" s="6">
        <f>_xlfn.XLOOKUP(B279,orders!A:A,orders!C:C)</f>
        <v>45707</v>
      </c>
      <c r="K279" s="6" t="str">
        <f t="shared" si="9"/>
        <v>Feb-2025</v>
      </c>
      <c r="L279" s="6">
        <f>_xlfn.XLOOKUP(B279,orders!A:A,orders!B:B)</f>
        <v>107</v>
      </c>
      <c r="M279" s="6" t="str">
        <f>_xlfn.XLOOKUP("C"&amp;TEXT(L279,"000"),customers!A:A,customers!B:B,"Not Found")</f>
        <v>Nikhil G.</v>
      </c>
    </row>
    <row r="280" spans="1:13">
      <c r="A280">
        <v>279</v>
      </c>
      <c r="B280">
        <v>240</v>
      </c>
      <c r="C280">
        <v>31</v>
      </c>
      <c r="D280" s="4">
        <v>1</v>
      </c>
      <c r="E280">
        <f>_xlfn.XLOOKUP(C280,products!A:A,products!D:D)</f>
        <v>4747</v>
      </c>
      <c r="F280">
        <f t="shared" si="8"/>
        <v>4747</v>
      </c>
      <c r="G280">
        <f>D280*(E280-_xlfn.XLOOKUP(C280,products!A:A,products!E:E))</f>
        <v>2064.94</v>
      </c>
      <c r="H280" s="6" t="str">
        <f>_xlfn.XLOOKUP(C280,products!A:A,products!C:C)</f>
        <v>Books</v>
      </c>
      <c r="I280" s="6" t="str">
        <f>_xlfn.XLOOKUP(C280,products!A:A,products!B:B)</f>
        <v>Book</v>
      </c>
      <c r="J280" s="6">
        <f>_xlfn.XLOOKUP(B280,orders!A:A,orders!C:C)</f>
        <v>45710</v>
      </c>
      <c r="K280" s="6" t="str">
        <f t="shared" si="9"/>
        <v>Feb-2025</v>
      </c>
      <c r="L280" s="6">
        <f>_xlfn.XLOOKUP(B280,orders!A:A,orders!B:B)</f>
        <v>144</v>
      </c>
      <c r="M280" s="6" t="str">
        <f>_xlfn.XLOOKUP("C"&amp;TEXT(L280,"000"),customers!A:A,customers!B:B,"Not Found")</f>
        <v>Manoj U.</v>
      </c>
    </row>
    <row r="281" spans="1:13">
      <c r="A281">
        <v>280</v>
      </c>
      <c r="B281">
        <v>240</v>
      </c>
      <c r="C281">
        <v>44</v>
      </c>
      <c r="D281" s="4">
        <v>2</v>
      </c>
      <c r="E281">
        <f>_xlfn.XLOOKUP(C281,products!A:A,products!D:D)</f>
        <v>6528</v>
      </c>
      <c r="F281">
        <f t="shared" si="8"/>
        <v>13056</v>
      </c>
      <c r="G281">
        <f>D281*(E281-_xlfn.XLOOKUP(C281,products!A:A,products!E:E))</f>
        <v>5091.84</v>
      </c>
      <c r="H281" s="6" t="str">
        <f>_xlfn.XLOOKUP(C281,products!A:A,products!C:C)</f>
        <v>Beauty</v>
      </c>
      <c r="I281" s="6" t="str">
        <f>_xlfn.XLOOKUP(C281,products!A:A,products!B:B)</f>
        <v>Moisturizer</v>
      </c>
      <c r="J281" s="6">
        <f>_xlfn.XLOOKUP(B281,orders!A:A,orders!C:C)</f>
        <v>45710</v>
      </c>
      <c r="K281" s="6" t="str">
        <f t="shared" si="9"/>
        <v>Feb-2025</v>
      </c>
      <c r="L281" s="6">
        <f>_xlfn.XLOOKUP(B281,orders!A:A,orders!B:B)</f>
        <v>144</v>
      </c>
      <c r="M281" s="6" t="str">
        <f>_xlfn.XLOOKUP("C"&amp;TEXT(L281,"000"),customers!A:A,customers!B:B,"Not Found")</f>
        <v>Manoj U.</v>
      </c>
    </row>
    <row r="282" spans="1:13">
      <c r="A282">
        <v>281</v>
      </c>
      <c r="B282">
        <v>241</v>
      </c>
      <c r="C282">
        <v>38</v>
      </c>
      <c r="D282" s="4">
        <v>2</v>
      </c>
      <c r="E282">
        <f>_xlfn.XLOOKUP(C282,products!A:A,products!D:D)</f>
        <v>5706</v>
      </c>
      <c r="F282">
        <f t="shared" si="8"/>
        <v>11412</v>
      </c>
      <c r="G282">
        <f>D282*(E282-_xlfn.XLOOKUP(C282,products!A:A,products!E:E))</f>
        <v>3765.96</v>
      </c>
      <c r="H282" s="6" t="str">
        <f>_xlfn.XLOOKUP(C282,products!A:A,products!C:C)</f>
        <v>Sports</v>
      </c>
      <c r="I282" s="6" t="str">
        <f>_xlfn.XLOOKUP(C282,products!A:A,products!B:B)</f>
        <v>Badminton Racket</v>
      </c>
      <c r="J282" s="6">
        <f>_xlfn.XLOOKUP(B282,orders!A:A,orders!C:C)</f>
        <v>45713</v>
      </c>
      <c r="K282" s="6" t="str">
        <f t="shared" si="9"/>
        <v>Feb-2025</v>
      </c>
      <c r="L282" s="6">
        <f>_xlfn.XLOOKUP(B282,orders!A:A,orders!B:B)</f>
        <v>181</v>
      </c>
      <c r="M282" s="6" t="str">
        <f>_xlfn.XLOOKUP("C"&amp;TEXT(L282,"000"),customers!A:A,customers!B:B,"Not Found")</f>
        <v>Meena X.</v>
      </c>
    </row>
    <row r="283" spans="1:13">
      <c r="A283">
        <v>282</v>
      </c>
      <c r="B283">
        <v>241</v>
      </c>
      <c r="C283">
        <v>1</v>
      </c>
      <c r="D283" s="4">
        <v>3</v>
      </c>
      <c r="E283">
        <f>_xlfn.XLOOKUP(C283,products!A:A,products!D:D)</f>
        <v>637</v>
      </c>
      <c r="F283">
        <f t="shared" si="8"/>
        <v>1911</v>
      </c>
      <c r="G283">
        <f>D283*(E283-_xlfn.XLOOKUP(C283,products!A:A,products!E:E))</f>
        <v>831.27</v>
      </c>
      <c r="H283" s="6" t="str">
        <f>_xlfn.XLOOKUP(C283,products!A:A,products!C:C)</f>
        <v>Electronics</v>
      </c>
      <c r="I283" s="6" t="str">
        <f>_xlfn.XLOOKUP(C283,products!A:A,products!B:B)</f>
        <v>Laptop</v>
      </c>
      <c r="J283" s="6">
        <f>_xlfn.XLOOKUP(B283,orders!A:A,orders!C:C)</f>
        <v>45713</v>
      </c>
      <c r="K283" s="6" t="str">
        <f t="shared" si="9"/>
        <v>Feb-2025</v>
      </c>
      <c r="L283" s="6">
        <f>_xlfn.XLOOKUP(B283,orders!A:A,orders!B:B)</f>
        <v>181</v>
      </c>
      <c r="M283" s="6" t="str">
        <f>_xlfn.XLOOKUP("C"&amp;TEXT(L283,"000"),customers!A:A,customers!B:B,"Not Found")</f>
        <v>Meena X.</v>
      </c>
    </row>
    <row r="284" spans="1:13">
      <c r="A284">
        <v>283</v>
      </c>
      <c r="B284">
        <v>242</v>
      </c>
      <c r="C284">
        <v>45</v>
      </c>
      <c r="D284" s="4">
        <v>3</v>
      </c>
      <c r="E284">
        <f>_xlfn.XLOOKUP(C284,products!A:A,products!D:D)</f>
        <v>6665</v>
      </c>
      <c r="F284">
        <f t="shared" si="8"/>
        <v>19995</v>
      </c>
      <c r="G284">
        <f>D284*(E284-_xlfn.XLOOKUP(C284,products!A:A,products!E:E))</f>
        <v>7498.14</v>
      </c>
      <c r="H284" s="6" t="str">
        <f>_xlfn.XLOOKUP(C284,products!A:A,products!C:C)</f>
        <v>Beauty</v>
      </c>
      <c r="I284" s="6" t="str">
        <f>_xlfn.XLOOKUP(C284,products!A:A,products!B:B)</f>
        <v>Sunscreen</v>
      </c>
      <c r="J284" s="6">
        <f>_xlfn.XLOOKUP(B284,orders!A:A,orders!C:C)</f>
        <v>45716</v>
      </c>
      <c r="K284" s="6" t="str">
        <f t="shared" si="9"/>
        <v>Feb-2025</v>
      </c>
      <c r="L284" s="6">
        <f>_xlfn.XLOOKUP(B284,orders!A:A,orders!B:B)</f>
        <v>218</v>
      </c>
      <c r="M284" s="6" t="str">
        <f>_xlfn.XLOOKUP("C"&amp;TEXT(L284,"000"),customers!A:A,customers!B:B,"Not Found")</f>
        <v>Anjali O.</v>
      </c>
    </row>
    <row r="285" spans="1:13">
      <c r="A285">
        <v>284</v>
      </c>
      <c r="B285">
        <v>242</v>
      </c>
      <c r="C285">
        <v>8</v>
      </c>
      <c r="D285" s="4">
        <v>4</v>
      </c>
      <c r="E285">
        <f>_xlfn.XLOOKUP(C285,products!A:A,products!D:D)</f>
        <v>1596</v>
      </c>
      <c r="F285">
        <f t="shared" si="8"/>
        <v>6384</v>
      </c>
      <c r="G285">
        <f>D285*(E285-_xlfn.XLOOKUP(C285,products!A:A,products!E:E))</f>
        <v>2106.7200000000003</v>
      </c>
      <c r="H285" s="6" t="str">
        <f>_xlfn.XLOOKUP(C285,products!A:A,products!C:C)</f>
        <v>Electronics</v>
      </c>
      <c r="I285" s="6" t="str">
        <f>_xlfn.XLOOKUP(C285,products!A:A,products!B:B)</f>
        <v>Tablet</v>
      </c>
      <c r="J285" s="6">
        <f>_xlfn.XLOOKUP(B285,orders!A:A,orders!C:C)</f>
        <v>45716</v>
      </c>
      <c r="K285" s="6" t="str">
        <f t="shared" si="9"/>
        <v>Feb-2025</v>
      </c>
      <c r="L285" s="6">
        <f>_xlfn.XLOOKUP(B285,orders!A:A,orders!B:B)</f>
        <v>218</v>
      </c>
      <c r="M285" s="6" t="str">
        <f>_xlfn.XLOOKUP("C"&amp;TEXT(L285,"000"),customers!A:A,customers!B:B,"Not Found")</f>
        <v>Anjali O.</v>
      </c>
    </row>
    <row r="286" spans="1:13">
      <c r="A286">
        <v>285</v>
      </c>
      <c r="B286">
        <v>243</v>
      </c>
      <c r="C286">
        <v>2</v>
      </c>
      <c r="D286" s="4">
        <v>4</v>
      </c>
      <c r="E286">
        <f>_xlfn.XLOOKUP(C286,products!A:A,products!D:D)</f>
        <v>774</v>
      </c>
      <c r="F286">
        <f t="shared" si="8"/>
        <v>3096</v>
      </c>
      <c r="G286">
        <f>D286*(E286-_xlfn.XLOOKUP(C286,products!A:A,products!E:E))</f>
        <v>1300.32</v>
      </c>
      <c r="H286" s="6" t="str">
        <f>_xlfn.XLOOKUP(C286,products!A:A,products!C:C)</f>
        <v>Electronics</v>
      </c>
      <c r="I286" s="6" t="str">
        <f>_xlfn.XLOOKUP(C286,products!A:A,products!B:B)</f>
        <v>Mobile</v>
      </c>
      <c r="J286" s="6">
        <f>_xlfn.XLOOKUP(B286,orders!A:A,orders!C:C)</f>
        <v>45719</v>
      </c>
      <c r="K286" s="6" t="str">
        <f t="shared" si="9"/>
        <v>Mar-2025</v>
      </c>
      <c r="L286" s="6">
        <f>_xlfn.XLOOKUP(B286,orders!A:A,orders!B:B)</f>
        <v>255</v>
      </c>
      <c r="M286" s="6" t="str">
        <f>_xlfn.XLOOKUP("C"&amp;TEXT(L286,"000"),customers!A:A,customers!B:B,"Not Found")</f>
        <v>Suresh H.</v>
      </c>
    </row>
    <row r="287" spans="1:13">
      <c r="A287">
        <v>286</v>
      </c>
      <c r="B287">
        <v>243</v>
      </c>
      <c r="C287">
        <v>15</v>
      </c>
      <c r="D287" s="4">
        <v>1</v>
      </c>
      <c r="E287">
        <f>_xlfn.XLOOKUP(C287,products!A:A,products!D:D)</f>
        <v>2555</v>
      </c>
      <c r="F287">
        <f t="shared" si="8"/>
        <v>2555</v>
      </c>
      <c r="G287">
        <f>D287*(E287-_xlfn.XLOOKUP(C287,products!A:A,products!E:E))</f>
        <v>958.11999999999989</v>
      </c>
      <c r="H287" s="6" t="str">
        <f>_xlfn.XLOOKUP(C287,products!A:A,products!C:C)</f>
        <v>Fashion</v>
      </c>
      <c r="I287" s="6" t="str">
        <f>_xlfn.XLOOKUP(C287,products!A:A,products!B:B)</f>
        <v>Shoes</v>
      </c>
      <c r="J287" s="6">
        <f>_xlfn.XLOOKUP(B287,orders!A:A,orders!C:C)</f>
        <v>45719</v>
      </c>
      <c r="K287" s="6" t="str">
        <f t="shared" si="9"/>
        <v>Mar-2025</v>
      </c>
      <c r="L287" s="6">
        <f>_xlfn.XLOOKUP(B287,orders!A:A,orders!B:B)</f>
        <v>255</v>
      </c>
      <c r="M287" s="6" t="str">
        <f>_xlfn.XLOOKUP("C"&amp;TEXT(L287,"000"),customers!A:A,customers!B:B,"Not Found")</f>
        <v>Suresh H.</v>
      </c>
    </row>
    <row r="288" spans="1:13">
      <c r="A288">
        <v>287</v>
      </c>
      <c r="B288">
        <v>244</v>
      </c>
      <c r="C288">
        <v>9</v>
      </c>
      <c r="D288" s="4">
        <v>1</v>
      </c>
      <c r="E288">
        <f>_xlfn.XLOOKUP(C288,products!A:A,products!D:D)</f>
        <v>1733</v>
      </c>
      <c r="F288">
        <f t="shared" si="8"/>
        <v>1733</v>
      </c>
      <c r="G288">
        <f>D288*(E288-_xlfn.XLOOKUP(C288,products!A:A,products!E:E))</f>
        <v>545.8900000000001</v>
      </c>
      <c r="H288" s="6" t="str">
        <f>_xlfn.XLOOKUP(C288,products!A:A,products!C:C)</f>
        <v>Electronics</v>
      </c>
      <c r="I288" s="6" t="str">
        <f>_xlfn.XLOOKUP(C288,products!A:A,products!B:B)</f>
        <v>Power Bank</v>
      </c>
      <c r="J288" s="6">
        <f>_xlfn.XLOOKUP(B288,orders!A:A,orders!C:C)</f>
        <v>45722</v>
      </c>
      <c r="K288" s="6" t="str">
        <f t="shared" si="9"/>
        <v>Mar-2025</v>
      </c>
      <c r="L288" s="6">
        <f>_xlfn.XLOOKUP(B288,orders!A:A,orders!B:B)</f>
        <v>292</v>
      </c>
      <c r="M288" s="6" t="str">
        <f>_xlfn.XLOOKUP("C"&amp;TEXT(L288,"000"),customers!A:A,customers!B:B,"Not Found")</f>
        <v>Meena O.</v>
      </c>
    </row>
    <row r="289" spans="1:13">
      <c r="A289">
        <v>288</v>
      </c>
      <c r="B289">
        <v>244</v>
      </c>
      <c r="C289">
        <v>22</v>
      </c>
      <c r="D289" s="4">
        <v>2</v>
      </c>
      <c r="E289">
        <f>_xlfn.XLOOKUP(C289,products!A:A,products!D:D)</f>
        <v>3514</v>
      </c>
      <c r="F289">
        <f t="shared" si="8"/>
        <v>7028</v>
      </c>
      <c r="G289">
        <f>D289*(E289-_xlfn.XLOOKUP(C289,products!A:A,products!E:E))</f>
        <v>2951.76</v>
      </c>
      <c r="H289" s="6" t="str">
        <f>_xlfn.XLOOKUP(C289,products!A:A,products!C:C)</f>
        <v>Home Appliances</v>
      </c>
      <c r="I289" s="6" t="str">
        <f>_xlfn.XLOOKUP(C289,products!A:A,products!B:B)</f>
        <v>Microwave</v>
      </c>
      <c r="J289" s="6">
        <f>_xlfn.XLOOKUP(B289,orders!A:A,orders!C:C)</f>
        <v>45722</v>
      </c>
      <c r="K289" s="6" t="str">
        <f t="shared" si="9"/>
        <v>Mar-2025</v>
      </c>
      <c r="L289" s="6">
        <f>_xlfn.XLOOKUP(B289,orders!A:A,orders!B:B)</f>
        <v>292</v>
      </c>
      <c r="M289" s="6" t="str">
        <f>_xlfn.XLOOKUP("C"&amp;TEXT(L289,"000"),customers!A:A,customers!B:B,"Not Found")</f>
        <v>Meena O.</v>
      </c>
    </row>
    <row r="290" spans="1:13">
      <c r="A290">
        <v>289</v>
      </c>
      <c r="B290">
        <v>245</v>
      </c>
      <c r="C290">
        <v>16</v>
      </c>
      <c r="D290" s="4">
        <v>2</v>
      </c>
      <c r="E290">
        <f>_xlfn.XLOOKUP(C290,products!A:A,products!D:D)</f>
        <v>2692</v>
      </c>
      <c r="F290">
        <f t="shared" si="8"/>
        <v>5384</v>
      </c>
      <c r="G290">
        <f>D290*(E290-_xlfn.XLOOKUP(C290,products!A:A,products!E:E))</f>
        <v>1938.2399999999998</v>
      </c>
      <c r="H290" s="6" t="str">
        <f>_xlfn.XLOOKUP(C290,products!A:A,products!C:C)</f>
        <v>Fashion</v>
      </c>
      <c r="I290" s="6" t="str">
        <f>_xlfn.XLOOKUP(C290,products!A:A,products!B:B)</f>
        <v>Saree</v>
      </c>
      <c r="J290" s="6">
        <f>_xlfn.XLOOKUP(B290,orders!A:A,orders!C:C)</f>
        <v>45725</v>
      </c>
      <c r="K290" s="6" t="str">
        <f t="shared" si="9"/>
        <v>Mar-2025</v>
      </c>
      <c r="L290" s="6">
        <f>_xlfn.XLOOKUP(B290,orders!A:A,orders!B:B)</f>
        <v>329</v>
      </c>
      <c r="M290" s="6" t="str">
        <f>_xlfn.XLOOKUP("C"&amp;TEXT(L290,"000"),customers!A:A,customers!B:B,"Not Found")</f>
        <v>Kiran S.</v>
      </c>
    </row>
    <row r="291" spans="1:13">
      <c r="A291">
        <v>290</v>
      </c>
      <c r="B291">
        <v>245</v>
      </c>
      <c r="C291">
        <v>29</v>
      </c>
      <c r="D291" s="4">
        <v>3</v>
      </c>
      <c r="E291">
        <f>_xlfn.XLOOKUP(C291,products!A:A,products!D:D)</f>
        <v>4473</v>
      </c>
      <c r="F291">
        <f t="shared" si="8"/>
        <v>13419</v>
      </c>
      <c r="G291">
        <f>D291*(E291-_xlfn.XLOOKUP(C291,products!A:A,products!E:E))</f>
        <v>4226.9699999999993</v>
      </c>
      <c r="H291" s="6" t="str">
        <f>_xlfn.XLOOKUP(C291,products!A:A,products!C:C)</f>
        <v>Furniture</v>
      </c>
      <c r="I291" s="6" t="str">
        <f>_xlfn.XLOOKUP(C291,products!A:A,products!B:B)</f>
        <v>Chair</v>
      </c>
      <c r="J291" s="6">
        <f>_xlfn.XLOOKUP(B291,orders!A:A,orders!C:C)</f>
        <v>45725</v>
      </c>
      <c r="K291" s="6" t="str">
        <f t="shared" si="9"/>
        <v>Mar-2025</v>
      </c>
      <c r="L291" s="6">
        <f>_xlfn.XLOOKUP(B291,orders!A:A,orders!B:B)</f>
        <v>329</v>
      </c>
      <c r="M291" s="6" t="str">
        <f>_xlfn.XLOOKUP("C"&amp;TEXT(L291,"000"),customers!A:A,customers!B:B,"Not Found")</f>
        <v>Kiran S.</v>
      </c>
    </row>
    <row r="292" spans="1:13">
      <c r="A292">
        <v>291</v>
      </c>
      <c r="B292">
        <v>246</v>
      </c>
      <c r="C292">
        <v>23</v>
      </c>
      <c r="D292" s="4">
        <v>3</v>
      </c>
      <c r="E292">
        <f>_xlfn.XLOOKUP(C292,products!A:A,products!D:D)</f>
        <v>3651</v>
      </c>
      <c r="F292">
        <f t="shared" si="8"/>
        <v>10953</v>
      </c>
      <c r="G292">
        <f>D292*(E292-_xlfn.XLOOKUP(C292,products!A:A,products!E:E))</f>
        <v>4435.9500000000007</v>
      </c>
      <c r="H292" s="6" t="str">
        <f>_xlfn.XLOOKUP(C292,products!A:A,products!C:C)</f>
        <v>Home Appliances</v>
      </c>
      <c r="I292" s="6" t="str">
        <f>_xlfn.XLOOKUP(C292,products!A:A,products!B:B)</f>
        <v>Fan</v>
      </c>
      <c r="J292" s="6">
        <f>_xlfn.XLOOKUP(B292,orders!A:A,orders!C:C)</f>
        <v>45728</v>
      </c>
      <c r="K292" s="6" t="str">
        <f t="shared" si="9"/>
        <v>Mar-2025</v>
      </c>
      <c r="L292" s="6">
        <f>_xlfn.XLOOKUP(B292,orders!A:A,orders!B:B)</f>
        <v>366</v>
      </c>
      <c r="M292" s="6" t="str">
        <f>_xlfn.XLOOKUP("C"&amp;TEXT(L292,"000"),customers!A:A,customers!B:B,"Not Found")</f>
        <v>Neha H.</v>
      </c>
    </row>
    <row r="293" spans="1:13">
      <c r="A293">
        <v>292</v>
      </c>
      <c r="B293">
        <v>246</v>
      </c>
      <c r="C293">
        <v>36</v>
      </c>
      <c r="D293" s="4">
        <v>4</v>
      </c>
      <c r="E293">
        <f>_xlfn.XLOOKUP(C293,products!A:A,products!D:D)</f>
        <v>5432</v>
      </c>
      <c r="F293">
        <f t="shared" si="8"/>
        <v>21728</v>
      </c>
      <c r="G293">
        <f>D293*(E293-_xlfn.XLOOKUP(C293,products!A:A,products!E:E))</f>
        <v>7822.08</v>
      </c>
      <c r="H293" s="6" t="str">
        <f>_xlfn.XLOOKUP(C293,products!A:A,products!C:C)</f>
        <v>Sports</v>
      </c>
      <c r="I293" s="6" t="str">
        <f>_xlfn.XLOOKUP(C293,products!A:A,products!B:B)</f>
        <v>Cricket Bat</v>
      </c>
      <c r="J293" s="6">
        <f>_xlfn.XLOOKUP(B293,orders!A:A,orders!C:C)</f>
        <v>45728</v>
      </c>
      <c r="K293" s="6" t="str">
        <f t="shared" si="9"/>
        <v>Mar-2025</v>
      </c>
      <c r="L293" s="6">
        <f>_xlfn.XLOOKUP(B293,orders!A:A,orders!B:B)</f>
        <v>366</v>
      </c>
      <c r="M293" s="6" t="str">
        <f>_xlfn.XLOOKUP("C"&amp;TEXT(L293,"000"),customers!A:A,customers!B:B,"Not Found")</f>
        <v>Neha H.</v>
      </c>
    </row>
    <row r="294" spans="1:13">
      <c r="A294">
        <v>293</v>
      </c>
      <c r="B294">
        <v>247</v>
      </c>
      <c r="C294">
        <v>30</v>
      </c>
      <c r="D294" s="4">
        <v>4</v>
      </c>
      <c r="E294">
        <f>_xlfn.XLOOKUP(C294,products!A:A,products!D:D)</f>
        <v>4610</v>
      </c>
      <c r="F294">
        <f t="shared" si="8"/>
        <v>18440</v>
      </c>
      <c r="G294">
        <f>D294*(E294-_xlfn.XLOOKUP(C294,products!A:A,products!E:E))</f>
        <v>8298</v>
      </c>
      <c r="H294" s="6" t="str">
        <f>_xlfn.XLOOKUP(C294,products!A:A,products!C:C)</f>
        <v>Furniture</v>
      </c>
      <c r="I294" s="6" t="str">
        <f>_xlfn.XLOOKUP(C294,products!A:A,products!B:B)</f>
        <v>Table</v>
      </c>
      <c r="J294" s="6">
        <f>_xlfn.XLOOKUP(B294,orders!A:A,orders!C:C)</f>
        <v>45731</v>
      </c>
      <c r="K294" s="6" t="str">
        <f t="shared" si="9"/>
        <v>Mar-2025</v>
      </c>
      <c r="L294" s="6">
        <f>_xlfn.XLOOKUP(B294,orders!A:A,orders!B:B)</f>
        <v>403</v>
      </c>
      <c r="M294" s="6" t="str">
        <f>_xlfn.XLOOKUP("C"&amp;TEXT(L294,"000"),customers!A:A,customers!B:B,"Not Found")</f>
        <v>Kavya Q.</v>
      </c>
    </row>
    <row r="295" spans="1:13">
      <c r="A295">
        <v>294</v>
      </c>
      <c r="B295">
        <v>247</v>
      </c>
      <c r="C295">
        <v>43</v>
      </c>
      <c r="D295" s="4">
        <v>1</v>
      </c>
      <c r="E295">
        <f>_xlfn.XLOOKUP(C295,products!A:A,products!D:D)</f>
        <v>6391</v>
      </c>
      <c r="F295">
        <f t="shared" si="8"/>
        <v>6391</v>
      </c>
      <c r="G295">
        <f>D295*(E295-_xlfn.XLOOKUP(C295,products!A:A,products!E:E))</f>
        <v>2588.35</v>
      </c>
      <c r="H295" s="6" t="str">
        <f>_xlfn.XLOOKUP(C295,products!A:A,products!C:C)</f>
        <v>Beauty</v>
      </c>
      <c r="I295" s="6" t="str">
        <f>_xlfn.XLOOKUP(C295,products!A:A,products!B:B)</f>
        <v>Perfume</v>
      </c>
      <c r="J295" s="6">
        <f>_xlfn.XLOOKUP(B295,orders!A:A,orders!C:C)</f>
        <v>45731</v>
      </c>
      <c r="K295" s="6" t="str">
        <f t="shared" si="9"/>
        <v>Mar-2025</v>
      </c>
      <c r="L295" s="6">
        <f>_xlfn.XLOOKUP(B295,orders!A:A,orders!B:B)</f>
        <v>403</v>
      </c>
      <c r="M295" s="6" t="str">
        <f>_xlfn.XLOOKUP("C"&amp;TEXT(L295,"000"),customers!A:A,customers!B:B,"Not Found")</f>
        <v>Kavya Q.</v>
      </c>
    </row>
    <row r="296" spans="1:13">
      <c r="A296">
        <v>295</v>
      </c>
      <c r="B296">
        <v>248</v>
      </c>
      <c r="C296">
        <v>37</v>
      </c>
      <c r="D296" s="4">
        <v>1</v>
      </c>
      <c r="E296">
        <f>_xlfn.XLOOKUP(C296,products!A:A,products!D:D)</f>
        <v>5569</v>
      </c>
      <c r="F296">
        <f t="shared" si="8"/>
        <v>5569</v>
      </c>
      <c r="G296">
        <f>D296*(E296-_xlfn.XLOOKUP(C296,products!A:A,products!E:E))</f>
        <v>1921.3000000000002</v>
      </c>
      <c r="H296" s="6" t="str">
        <f>_xlfn.XLOOKUP(C296,products!A:A,products!C:C)</f>
        <v>Sports</v>
      </c>
      <c r="I296" s="6" t="str">
        <f>_xlfn.XLOOKUP(C296,products!A:A,products!B:B)</f>
        <v>Football</v>
      </c>
      <c r="J296" s="6">
        <f>_xlfn.XLOOKUP(B296,orders!A:A,orders!C:C)</f>
        <v>45734</v>
      </c>
      <c r="K296" s="6" t="str">
        <f t="shared" si="9"/>
        <v>Mar-2025</v>
      </c>
      <c r="L296" s="6">
        <f>_xlfn.XLOOKUP(B296,orders!A:A,orders!B:B)</f>
        <v>440</v>
      </c>
      <c r="M296" s="6" t="str">
        <f>_xlfn.XLOOKUP("C"&amp;TEXT(L296,"000"),customers!A:A,customers!B:B,"Not Found")</f>
        <v>Nikhil J.</v>
      </c>
    </row>
    <row r="297" spans="1:13">
      <c r="A297">
        <v>296</v>
      </c>
      <c r="B297">
        <v>248</v>
      </c>
      <c r="C297">
        <v>50</v>
      </c>
      <c r="D297" s="4">
        <v>2</v>
      </c>
      <c r="E297">
        <f>_xlfn.XLOOKUP(C297,products!A:A,products!D:D)</f>
        <v>7350</v>
      </c>
      <c r="F297">
        <f t="shared" si="8"/>
        <v>14700</v>
      </c>
      <c r="G297">
        <f>D297*(E297-_xlfn.XLOOKUP(C297,products!A:A,products!E:E))</f>
        <v>6615</v>
      </c>
      <c r="H297" s="6" t="str">
        <f>_xlfn.XLOOKUP(C297,products!A:A,products!C:C)</f>
        <v>Toys</v>
      </c>
      <c r="I297" s="6" t="str">
        <f>_xlfn.XLOOKUP(C297,products!A:A,products!B:B)</f>
        <v>Building Blocks</v>
      </c>
      <c r="J297" s="6">
        <f>_xlfn.XLOOKUP(B297,orders!A:A,orders!C:C)</f>
        <v>45734</v>
      </c>
      <c r="K297" s="6" t="str">
        <f t="shared" si="9"/>
        <v>Mar-2025</v>
      </c>
      <c r="L297" s="6">
        <f>_xlfn.XLOOKUP(B297,orders!A:A,orders!B:B)</f>
        <v>440</v>
      </c>
      <c r="M297" s="6" t="str">
        <f>_xlfn.XLOOKUP("C"&amp;TEXT(L297,"000"),customers!A:A,customers!B:B,"Not Found")</f>
        <v>Nikhil J.</v>
      </c>
    </row>
    <row r="298" spans="1:13">
      <c r="A298">
        <v>297</v>
      </c>
      <c r="B298">
        <v>249</v>
      </c>
      <c r="C298">
        <v>44</v>
      </c>
      <c r="D298" s="4">
        <v>2</v>
      </c>
      <c r="E298">
        <f>_xlfn.XLOOKUP(C298,products!A:A,products!D:D)</f>
        <v>6528</v>
      </c>
      <c r="F298">
        <f t="shared" si="8"/>
        <v>13056</v>
      </c>
      <c r="G298">
        <f>D298*(E298-_xlfn.XLOOKUP(C298,products!A:A,products!E:E))</f>
        <v>5091.84</v>
      </c>
      <c r="H298" s="6" t="str">
        <f>_xlfn.XLOOKUP(C298,products!A:A,products!C:C)</f>
        <v>Beauty</v>
      </c>
      <c r="I298" s="6" t="str">
        <f>_xlfn.XLOOKUP(C298,products!A:A,products!B:B)</f>
        <v>Moisturizer</v>
      </c>
      <c r="J298" s="6">
        <f>_xlfn.XLOOKUP(B298,orders!A:A,orders!C:C)</f>
        <v>45737</v>
      </c>
      <c r="K298" s="6" t="str">
        <f t="shared" si="9"/>
        <v>Mar-2025</v>
      </c>
      <c r="L298" s="6">
        <f>_xlfn.XLOOKUP(B298,orders!A:A,orders!B:B)</f>
        <v>477</v>
      </c>
      <c r="M298" s="6" t="str">
        <f>_xlfn.XLOOKUP("C"&amp;TEXT(L298,"000"),customers!A:A,customers!B:B,"Not Found")</f>
        <v>Neha W.</v>
      </c>
    </row>
    <row r="299" spans="1:13">
      <c r="A299">
        <v>298</v>
      </c>
      <c r="B299">
        <v>249</v>
      </c>
      <c r="C299">
        <v>7</v>
      </c>
      <c r="D299" s="4">
        <v>3</v>
      </c>
      <c r="E299">
        <f>_xlfn.XLOOKUP(C299,products!A:A,products!D:D)</f>
        <v>1459</v>
      </c>
      <c r="F299">
        <f t="shared" si="8"/>
        <v>4377</v>
      </c>
      <c r="G299">
        <f>D299*(E299-_xlfn.XLOOKUP(C299,products!A:A,products!E:E))</f>
        <v>1510.0500000000002</v>
      </c>
      <c r="H299" s="6" t="str">
        <f>_xlfn.XLOOKUP(C299,products!A:A,products!C:C)</f>
        <v>Electronics</v>
      </c>
      <c r="I299" s="6" t="str">
        <f>_xlfn.XLOOKUP(C299,products!A:A,products!B:B)</f>
        <v>Monitor</v>
      </c>
      <c r="J299" s="6">
        <f>_xlfn.XLOOKUP(B299,orders!A:A,orders!C:C)</f>
        <v>45737</v>
      </c>
      <c r="K299" s="6" t="str">
        <f t="shared" si="9"/>
        <v>Mar-2025</v>
      </c>
      <c r="L299" s="6">
        <f>_xlfn.XLOOKUP(B299,orders!A:A,orders!B:B)</f>
        <v>477</v>
      </c>
      <c r="M299" s="6" t="str">
        <f>_xlfn.XLOOKUP("C"&amp;TEXT(L299,"000"),customers!A:A,customers!B:B,"Not Found")</f>
        <v>Neha W.</v>
      </c>
    </row>
    <row r="300" spans="1:13">
      <c r="A300">
        <v>299</v>
      </c>
      <c r="B300">
        <v>250</v>
      </c>
      <c r="C300">
        <v>1</v>
      </c>
      <c r="D300" s="4">
        <v>3</v>
      </c>
      <c r="E300">
        <f>_xlfn.XLOOKUP(C300,products!A:A,products!D:D)</f>
        <v>637</v>
      </c>
      <c r="F300">
        <f t="shared" si="8"/>
        <v>1911</v>
      </c>
      <c r="G300">
        <f>D300*(E300-_xlfn.XLOOKUP(C300,products!A:A,products!E:E))</f>
        <v>831.27</v>
      </c>
      <c r="H300" s="6" t="str">
        <f>_xlfn.XLOOKUP(C300,products!A:A,products!C:C)</f>
        <v>Electronics</v>
      </c>
      <c r="I300" s="6" t="str">
        <f>_xlfn.XLOOKUP(C300,products!A:A,products!B:B)</f>
        <v>Laptop</v>
      </c>
      <c r="J300" s="6">
        <f>_xlfn.XLOOKUP(B300,orders!A:A,orders!C:C)</f>
        <v>45740</v>
      </c>
      <c r="K300" s="6" t="str">
        <f t="shared" si="9"/>
        <v>Mar-2025</v>
      </c>
      <c r="L300" s="6">
        <f>_xlfn.XLOOKUP(B300,orders!A:A,orders!B:B)</f>
        <v>14</v>
      </c>
      <c r="M300" s="6" t="str">
        <f>_xlfn.XLOOKUP("C"&amp;TEXT(L300,"000"),customers!A:A,customers!B:B,"Not Found")</f>
        <v>Vikram O.</v>
      </c>
    </row>
    <row r="301" spans="1:13">
      <c r="A301">
        <v>300</v>
      </c>
      <c r="B301">
        <v>250</v>
      </c>
      <c r="C301">
        <v>14</v>
      </c>
      <c r="D301" s="4">
        <v>4</v>
      </c>
      <c r="E301">
        <f>_xlfn.XLOOKUP(C301,products!A:A,products!D:D)</f>
        <v>2418</v>
      </c>
      <c r="F301">
        <f t="shared" si="8"/>
        <v>9672</v>
      </c>
      <c r="G301">
        <f>D301*(E301-_xlfn.XLOOKUP(C301,products!A:A,products!E:E))</f>
        <v>3772.08</v>
      </c>
      <c r="H301" s="6" t="str">
        <f>_xlfn.XLOOKUP(C301,products!A:A,products!C:C)</f>
        <v>Fashion</v>
      </c>
      <c r="I301" s="6" t="str">
        <f>_xlfn.XLOOKUP(C301,products!A:A,products!B:B)</f>
        <v>Jacket</v>
      </c>
      <c r="J301" s="6">
        <f>_xlfn.XLOOKUP(B301,orders!A:A,orders!C:C)</f>
        <v>45740</v>
      </c>
      <c r="K301" s="6" t="str">
        <f t="shared" si="9"/>
        <v>Mar-2025</v>
      </c>
      <c r="L301" s="6">
        <f>_xlfn.XLOOKUP(B301,orders!A:A,orders!B:B)</f>
        <v>14</v>
      </c>
      <c r="M301" s="6" t="str">
        <f>_xlfn.XLOOKUP("C"&amp;TEXT(L301,"000"),customers!A:A,customers!B:B,"Not Found")</f>
        <v>Vikram O.</v>
      </c>
    </row>
    <row r="302" spans="1:13">
      <c r="A302">
        <v>301</v>
      </c>
      <c r="B302">
        <v>251</v>
      </c>
      <c r="C302">
        <v>8</v>
      </c>
      <c r="D302" s="4">
        <v>4</v>
      </c>
      <c r="E302">
        <f>_xlfn.XLOOKUP(C302,products!A:A,products!D:D)</f>
        <v>1596</v>
      </c>
      <c r="F302">
        <f t="shared" si="8"/>
        <v>6384</v>
      </c>
      <c r="G302">
        <f>D302*(E302-_xlfn.XLOOKUP(C302,products!A:A,products!E:E))</f>
        <v>2106.7200000000003</v>
      </c>
      <c r="H302" s="6" t="str">
        <f>_xlfn.XLOOKUP(C302,products!A:A,products!C:C)</f>
        <v>Electronics</v>
      </c>
      <c r="I302" s="6" t="str">
        <f>_xlfn.XLOOKUP(C302,products!A:A,products!B:B)</f>
        <v>Tablet</v>
      </c>
      <c r="J302" s="6">
        <f>_xlfn.XLOOKUP(B302,orders!A:A,orders!C:C)</f>
        <v>45743</v>
      </c>
      <c r="K302" s="6" t="str">
        <f t="shared" si="9"/>
        <v>Mar-2025</v>
      </c>
      <c r="L302" s="6">
        <f>_xlfn.XLOOKUP(B302,orders!A:A,orders!B:B)</f>
        <v>51</v>
      </c>
      <c r="M302" s="6" t="str">
        <f>_xlfn.XLOOKUP("C"&amp;TEXT(L302,"000"),customers!A:A,customers!B:B,"Not Found")</f>
        <v>Kiran O.</v>
      </c>
    </row>
    <row r="303" spans="1:13">
      <c r="A303">
        <v>302</v>
      </c>
      <c r="B303">
        <v>251</v>
      </c>
      <c r="C303">
        <v>21</v>
      </c>
      <c r="D303" s="4">
        <v>1</v>
      </c>
      <c r="E303">
        <f>_xlfn.XLOOKUP(C303,products!A:A,products!D:D)</f>
        <v>3377</v>
      </c>
      <c r="F303">
        <f t="shared" si="8"/>
        <v>3377</v>
      </c>
      <c r="G303">
        <f>D303*(E303-_xlfn.XLOOKUP(C303,products!A:A,products!E:E))</f>
        <v>1468.99</v>
      </c>
      <c r="H303" s="6" t="str">
        <f>_xlfn.XLOOKUP(C303,products!A:A,products!C:C)</f>
        <v>Home Appliances</v>
      </c>
      <c r="I303" s="6" t="str">
        <f>_xlfn.XLOOKUP(C303,products!A:A,products!B:B)</f>
        <v>Mixer</v>
      </c>
      <c r="J303" s="6">
        <f>_xlfn.XLOOKUP(B303,orders!A:A,orders!C:C)</f>
        <v>45743</v>
      </c>
      <c r="K303" s="6" t="str">
        <f t="shared" si="9"/>
        <v>Mar-2025</v>
      </c>
      <c r="L303" s="6">
        <f>_xlfn.XLOOKUP(B303,orders!A:A,orders!B:B)</f>
        <v>51</v>
      </c>
      <c r="M303" s="6" t="str">
        <f>_xlfn.XLOOKUP("C"&amp;TEXT(L303,"000"),customers!A:A,customers!B:B,"Not Found")</f>
        <v>Kiran O.</v>
      </c>
    </row>
    <row r="304" spans="1:13">
      <c r="A304">
        <v>303</v>
      </c>
      <c r="B304">
        <v>252</v>
      </c>
      <c r="C304">
        <v>15</v>
      </c>
      <c r="D304" s="4">
        <v>1</v>
      </c>
      <c r="E304">
        <f>_xlfn.XLOOKUP(C304,products!A:A,products!D:D)</f>
        <v>2555</v>
      </c>
      <c r="F304">
        <f t="shared" si="8"/>
        <v>2555</v>
      </c>
      <c r="G304">
        <f>D304*(E304-_xlfn.XLOOKUP(C304,products!A:A,products!E:E))</f>
        <v>958.11999999999989</v>
      </c>
      <c r="H304" s="6" t="str">
        <f>_xlfn.XLOOKUP(C304,products!A:A,products!C:C)</f>
        <v>Fashion</v>
      </c>
      <c r="I304" s="6" t="str">
        <f>_xlfn.XLOOKUP(C304,products!A:A,products!B:B)</f>
        <v>Shoes</v>
      </c>
      <c r="J304" s="6">
        <f>_xlfn.XLOOKUP(B304,orders!A:A,orders!C:C)</f>
        <v>45746</v>
      </c>
      <c r="K304" s="6" t="str">
        <f t="shared" si="9"/>
        <v>Mar-2025</v>
      </c>
      <c r="L304" s="6">
        <f>_xlfn.XLOOKUP(B304,orders!A:A,orders!B:B)</f>
        <v>88</v>
      </c>
      <c r="M304" s="6" t="str">
        <f>_xlfn.XLOOKUP("C"&amp;TEXT(L304,"000"),customers!A:A,customers!B:B,"Not Found")</f>
        <v>Vikram L.</v>
      </c>
    </row>
    <row r="305" spans="1:13">
      <c r="A305">
        <v>304</v>
      </c>
      <c r="B305">
        <v>252</v>
      </c>
      <c r="C305">
        <v>28</v>
      </c>
      <c r="D305" s="4">
        <v>2</v>
      </c>
      <c r="E305">
        <f>_xlfn.XLOOKUP(C305,products!A:A,products!D:D)</f>
        <v>4336</v>
      </c>
      <c r="F305">
        <f t="shared" si="8"/>
        <v>8672</v>
      </c>
      <c r="G305">
        <f>D305*(E305-_xlfn.XLOOKUP(C305,products!A:A,products!E:E))</f>
        <v>2861.76</v>
      </c>
      <c r="H305" s="6" t="str">
        <f>_xlfn.XLOOKUP(C305,products!A:A,products!C:C)</f>
        <v>Home &amp; Kitchen</v>
      </c>
      <c r="I305" s="6" t="str">
        <f>_xlfn.XLOOKUP(C305,products!A:A,products!B:B)</f>
        <v>Bottle</v>
      </c>
      <c r="J305" s="6">
        <f>_xlfn.XLOOKUP(B305,orders!A:A,orders!C:C)</f>
        <v>45746</v>
      </c>
      <c r="K305" s="6" t="str">
        <f t="shared" si="9"/>
        <v>Mar-2025</v>
      </c>
      <c r="L305" s="6">
        <f>_xlfn.XLOOKUP(B305,orders!A:A,orders!B:B)</f>
        <v>88</v>
      </c>
      <c r="M305" s="6" t="str">
        <f>_xlfn.XLOOKUP("C"&amp;TEXT(L305,"000"),customers!A:A,customers!B:B,"Not Found")</f>
        <v>Vikram L.</v>
      </c>
    </row>
    <row r="306" spans="1:13">
      <c r="A306">
        <v>305</v>
      </c>
      <c r="B306">
        <v>253</v>
      </c>
      <c r="C306">
        <v>22</v>
      </c>
      <c r="D306" s="4">
        <v>2</v>
      </c>
      <c r="E306">
        <f>_xlfn.XLOOKUP(C306,products!A:A,products!D:D)</f>
        <v>3514</v>
      </c>
      <c r="F306">
        <f t="shared" si="8"/>
        <v>7028</v>
      </c>
      <c r="G306">
        <f>D306*(E306-_xlfn.XLOOKUP(C306,products!A:A,products!E:E))</f>
        <v>2951.76</v>
      </c>
      <c r="H306" s="6" t="str">
        <f>_xlfn.XLOOKUP(C306,products!A:A,products!C:C)</f>
        <v>Home Appliances</v>
      </c>
      <c r="I306" s="6" t="str">
        <f>_xlfn.XLOOKUP(C306,products!A:A,products!B:B)</f>
        <v>Microwave</v>
      </c>
      <c r="J306" s="6">
        <f>_xlfn.XLOOKUP(B306,orders!A:A,orders!C:C)</f>
        <v>45749</v>
      </c>
      <c r="K306" s="6" t="str">
        <f t="shared" si="9"/>
        <v>Apr-2025</v>
      </c>
      <c r="L306" s="6">
        <f>_xlfn.XLOOKUP(B306,orders!A:A,orders!B:B)</f>
        <v>125</v>
      </c>
      <c r="M306" s="6" t="str">
        <f>_xlfn.XLOOKUP("C"&amp;TEXT(L306,"000"),customers!A:A,customers!B:B,"Not Found")</f>
        <v>Rohit E.</v>
      </c>
    </row>
    <row r="307" spans="1:13">
      <c r="A307">
        <v>306</v>
      </c>
      <c r="B307">
        <v>253</v>
      </c>
      <c r="C307">
        <v>35</v>
      </c>
      <c r="D307" s="4">
        <v>3</v>
      </c>
      <c r="E307">
        <f>_xlfn.XLOOKUP(C307,products!A:A,products!D:D)</f>
        <v>5295</v>
      </c>
      <c r="F307">
        <f t="shared" si="8"/>
        <v>15885</v>
      </c>
      <c r="G307">
        <f>D307*(E307-_xlfn.XLOOKUP(C307,products!A:A,products!E:E))</f>
        <v>5956.86</v>
      </c>
      <c r="H307" s="6" t="str">
        <f>_xlfn.XLOOKUP(C307,products!A:A,products!C:C)</f>
        <v>Books</v>
      </c>
      <c r="I307" s="6" t="str">
        <f>_xlfn.XLOOKUP(C307,products!A:A,products!B:B)</f>
        <v>Novel</v>
      </c>
      <c r="J307" s="6">
        <f>_xlfn.XLOOKUP(B307,orders!A:A,orders!C:C)</f>
        <v>45749</v>
      </c>
      <c r="K307" s="6" t="str">
        <f t="shared" si="9"/>
        <v>Apr-2025</v>
      </c>
      <c r="L307" s="6">
        <f>_xlfn.XLOOKUP(B307,orders!A:A,orders!B:B)</f>
        <v>125</v>
      </c>
      <c r="M307" s="6" t="str">
        <f>_xlfn.XLOOKUP("C"&amp;TEXT(L307,"000"),customers!A:A,customers!B:B,"Not Found")</f>
        <v>Rohit E.</v>
      </c>
    </row>
    <row r="308" spans="1:13">
      <c r="A308">
        <v>307</v>
      </c>
      <c r="B308">
        <v>254</v>
      </c>
      <c r="C308">
        <v>29</v>
      </c>
      <c r="D308" s="4">
        <v>3</v>
      </c>
      <c r="E308">
        <f>_xlfn.XLOOKUP(C308,products!A:A,products!D:D)</f>
        <v>4473</v>
      </c>
      <c r="F308">
        <f t="shared" si="8"/>
        <v>13419</v>
      </c>
      <c r="G308">
        <f>D308*(E308-_xlfn.XLOOKUP(C308,products!A:A,products!E:E))</f>
        <v>4226.9699999999993</v>
      </c>
      <c r="H308" s="6" t="str">
        <f>_xlfn.XLOOKUP(C308,products!A:A,products!C:C)</f>
        <v>Furniture</v>
      </c>
      <c r="I308" s="6" t="str">
        <f>_xlfn.XLOOKUP(C308,products!A:A,products!B:B)</f>
        <v>Chair</v>
      </c>
      <c r="J308" s="6">
        <f>_xlfn.XLOOKUP(B308,orders!A:A,orders!C:C)</f>
        <v>45752</v>
      </c>
      <c r="K308" s="6" t="str">
        <f t="shared" si="9"/>
        <v>Apr-2025</v>
      </c>
      <c r="L308" s="6">
        <f>_xlfn.XLOOKUP(B308,orders!A:A,orders!B:B)</f>
        <v>162</v>
      </c>
      <c r="M308" s="6" t="str">
        <f>_xlfn.XLOOKUP("C"&amp;TEXT(L308,"000"),customers!A:A,customers!B:B,"Not Found")</f>
        <v>Rahul W.</v>
      </c>
    </row>
    <row r="309" spans="1:13">
      <c r="A309">
        <v>308</v>
      </c>
      <c r="B309">
        <v>254</v>
      </c>
      <c r="C309">
        <v>42</v>
      </c>
      <c r="D309" s="4">
        <v>4</v>
      </c>
      <c r="E309">
        <f>_xlfn.XLOOKUP(C309,products!A:A,products!D:D)</f>
        <v>6254</v>
      </c>
      <c r="F309">
        <f t="shared" si="8"/>
        <v>25016</v>
      </c>
      <c r="G309">
        <f>D309*(E309-_xlfn.XLOOKUP(C309,products!A:A,products!E:E))</f>
        <v>10506.72</v>
      </c>
      <c r="H309" s="6" t="str">
        <f>_xlfn.XLOOKUP(C309,products!A:A,products!C:C)</f>
        <v>Beauty</v>
      </c>
      <c r="I309" s="6" t="str">
        <f>_xlfn.XLOOKUP(C309,products!A:A,products!B:B)</f>
        <v>Shampoo</v>
      </c>
      <c r="J309" s="6">
        <f>_xlfn.XLOOKUP(B309,orders!A:A,orders!C:C)</f>
        <v>45752</v>
      </c>
      <c r="K309" s="6" t="str">
        <f t="shared" si="9"/>
        <v>Apr-2025</v>
      </c>
      <c r="L309" s="6">
        <f>_xlfn.XLOOKUP(B309,orders!A:A,orders!B:B)</f>
        <v>162</v>
      </c>
      <c r="M309" s="6" t="str">
        <f>_xlfn.XLOOKUP("C"&amp;TEXT(L309,"000"),customers!A:A,customers!B:B,"Not Found")</f>
        <v>Rahul W.</v>
      </c>
    </row>
    <row r="310" spans="1:13">
      <c r="A310">
        <v>309</v>
      </c>
      <c r="B310">
        <v>255</v>
      </c>
      <c r="C310">
        <v>36</v>
      </c>
      <c r="D310" s="4">
        <v>4</v>
      </c>
      <c r="E310">
        <f>_xlfn.XLOOKUP(C310,products!A:A,products!D:D)</f>
        <v>5432</v>
      </c>
      <c r="F310">
        <f t="shared" si="8"/>
        <v>21728</v>
      </c>
      <c r="G310">
        <f>D310*(E310-_xlfn.XLOOKUP(C310,products!A:A,products!E:E))</f>
        <v>7822.08</v>
      </c>
      <c r="H310" s="6" t="str">
        <f>_xlfn.XLOOKUP(C310,products!A:A,products!C:C)</f>
        <v>Sports</v>
      </c>
      <c r="I310" s="6" t="str">
        <f>_xlfn.XLOOKUP(C310,products!A:A,products!B:B)</f>
        <v>Cricket Bat</v>
      </c>
      <c r="J310" s="6">
        <f>_xlfn.XLOOKUP(B310,orders!A:A,orders!C:C)</f>
        <v>45755</v>
      </c>
      <c r="K310" s="6" t="str">
        <f t="shared" si="9"/>
        <v>Apr-2025</v>
      </c>
      <c r="L310" s="6">
        <f>_xlfn.XLOOKUP(B310,orders!A:A,orders!B:B)</f>
        <v>199</v>
      </c>
      <c r="M310" s="6" t="str">
        <f>_xlfn.XLOOKUP("C"&amp;TEXT(L310,"000"),customers!A:A,customers!B:B,"Not Found")</f>
        <v>Pooja D.</v>
      </c>
    </row>
    <row r="311" spans="1:13">
      <c r="A311">
        <v>310</v>
      </c>
      <c r="B311">
        <v>255</v>
      </c>
      <c r="C311">
        <v>49</v>
      </c>
      <c r="D311" s="4">
        <v>1</v>
      </c>
      <c r="E311">
        <f>_xlfn.XLOOKUP(C311,products!A:A,products!D:D)</f>
        <v>7213</v>
      </c>
      <c r="F311">
        <f t="shared" si="8"/>
        <v>7213</v>
      </c>
      <c r="G311">
        <f>D311*(E311-_xlfn.XLOOKUP(C311,products!A:A,products!E:E))</f>
        <v>2272.09</v>
      </c>
      <c r="H311" s="6" t="str">
        <f>_xlfn.XLOOKUP(C311,products!A:A,products!C:C)</f>
        <v>Toys</v>
      </c>
      <c r="I311" s="6" t="str">
        <f>_xlfn.XLOOKUP(C311,products!A:A,products!B:B)</f>
        <v>Remote Car</v>
      </c>
      <c r="J311" s="6">
        <f>_xlfn.XLOOKUP(B311,orders!A:A,orders!C:C)</f>
        <v>45755</v>
      </c>
      <c r="K311" s="6" t="str">
        <f t="shared" si="9"/>
        <v>Apr-2025</v>
      </c>
      <c r="L311" s="6">
        <f>_xlfn.XLOOKUP(B311,orders!A:A,orders!B:B)</f>
        <v>199</v>
      </c>
      <c r="M311" s="6" t="str">
        <f>_xlfn.XLOOKUP("C"&amp;TEXT(L311,"000"),customers!A:A,customers!B:B,"Not Found")</f>
        <v>Pooja D.</v>
      </c>
    </row>
    <row r="312" spans="1:13">
      <c r="A312">
        <v>311</v>
      </c>
      <c r="B312">
        <v>256</v>
      </c>
      <c r="C312">
        <v>43</v>
      </c>
      <c r="D312" s="4">
        <v>1</v>
      </c>
      <c r="E312">
        <f>_xlfn.XLOOKUP(C312,products!A:A,products!D:D)</f>
        <v>6391</v>
      </c>
      <c r="F312">
        <f t="shared" si="8"/>
        <v>6391</v>
      </c>
      <c r="G312">
        <f>D312*(E312-_xlfn.XLOOKUP(C312,products!A:A,products!E:E))</f>
        <v>2588.35</v>
      </c>
      <c r="H312" s="6" t="str">
        <f>_xlfn.XLOOKUP(C312,products!A:A,products!C:C)</f>
        <v>Beauty</v>
      </c>
      <c r="I312" s="6" t="str">
        <f>_xlfn.XLOOKUP(C312,products!A:A,products!B:B)</f>
        <v>Perfume</v>
      </c>
      <c r="J312" s="6">
        <f>_xlfn.XLOOKUP(B312,orders!A:A,orders!C:C)</f>
        <v>45758</v>
      </c>
      <c r="K312" s="6" t="str">
        <f t="shared" si="9"/>
        <v>Apr-2025</v>
      </c>
      <c r="L312" s="6">
        <f>_xlfn.XLOOKUP(B312,orders!A:A,orders!B:B)</f>
        <v>236</v>
      </c>
      <c r="M312" s="6" t="str">
        <f>_xlfn.XLOOKUP("C"&amp;TEXT(L312,"000"),customers!A:A,customers!B:B,"Not Found")</f>
        <v>Arjun Z.</v>
      </c>
    </row>
    <row r="313" spans="1:13">
      <c r="A313">
        <v>312</v>
      </c>
      <c r="B313">
        <v>256</v>
      </c>
      <c r="C313">
        <v>6</v>
      </c>
      <c r="D313" s="4">
        <v>2</v>
      </c>
      <c r="E313">
        <f>_xlfn.XLOOKUP(C313,products!A:A,products!D:D)</f>
        <v>1322</v>
      </c>
      <c r="F313">
        <f t="shared" si="8"/>
        <v>2644</v>
      </c>
      <c r="G313">
        <f>D313*(E313-_xlfn.XLOOKUP(C313,products!A:A,products!E:E))</f>
        <v>951.83999999999992</v>
      </c>
      <c r="H313" s="6" t="str">
        <f>_xlfn.XLOOKUP(C313,products!A:A,products!C:C)</f>
        <v>Electronics</v>
      </c>
      <c r="I313" s="6" t="str">
        <f>_xlfn.XLOOKUP(C313,products!A:A,products!B:B)</f>
        <v>Mouse</v>
      </c>
      <c r="J313" s="6">
        <f>_xlfn.XLOOKUP(B313,orders!A:A,orders!C:C)</f>
        <v>45758</v>
      </c>
      <c r="K313" s="6" t="str">
        <f t="shared" si="9"/>
        <v>Apr-2025</v>
      </c>
      <c r="L313" s="6">
        <f>_xlfn.XLOOKUP(B313,orders!A:A,orders!B:B)</f>
        <v>236</v>
      </c>
      <c r="M313" s="6" t="str">
        <f>_xlfn.XLOOKUP("C"&amp;TEXT(L313,"000"),customers!A:A,customers!B:B,"Not Found")</f>
        <v>Arjun Z.</v>
      </c>
    </row>
    <row r="314" spans="1:13">
      <c r="A314">
        <v>313</v>
      </c>
      <c r="B314">
        <v>257</v>
      </c>
      <c r="C314">
        <v>50</v>
      </c>
      <c r="D314" s="4">
        <v>2</v>
      </c>
      <c r="E314">
        <f>_xlfn.XLOOKUP(C314,products!A:A,products!D:D)</f>
        <v>7350</v>
      </c>
      <c r="F314">
        <f t="shared" si="8"/>
        <v>14700</v>
      </c>
      <c r="G314">
        <f>D314*(E314-_xlfn.XLOOKUP(C314,products!A:A,products!E:E))</f>
        <v>6615</v>
      </c>
      <c r="H314" s="6" t="str">
        <f>_xlfn.XLOOKUP(C314,products!A:A,products!C:C)</f>
        <v>Toys</v>
      </c>
      <c r="I314" s="6" t="str">
        <f>_xlfn.XLOOKUP(C314,products!A:A,products!B:B)</f>
        <v>Building Blocks</v>
      </c>
      <c r="J314" s="6">
        <f>_xlfn.XLOOKUP(B314,orders!A:A,orders!C:C)</f>
        <v>45761</v>
      </c>
      <c r="K314" s="6" t="str">
        <f t="shared" si="9"/>
        <v>Apr-2025</v>
      </c>
      <c r="L314" s="6">
        <f>_xlfn.XLOOKUP(B314,orders!A:A,orders!B:B)</f>
        <v>273</v>
      </c>
      <c r="M314" s="6" t="str">
        <f>_xlfn.XLOOKUP("C"&amp;TEXT(L314,"000"),customers!A:A,customers!B:B,"Not Found")</f>
        <v>Amit N.</v>
      </c>
    </row>
    <row r="315" spans="1:13">
      <c r="A315">
        <v>314</v>
      </c>
      <c r="B315">
        <v>257</v>
      </c>
      <c r="C315">
        <v>13</v>
      </c>
      <c r="D315" s="4">
        <v>3</v>
      </c>
      <c r="E315">
        <f>_xlfn.XLOOKUP(C315,products!A:A,products!D:D)</f>
        <v>2281</v>
      </c>
      <c r="F315">
        <f t="shared" si="8"/>
        <v>6843</v>
      </c>
      <c r="G315">
        <f>D315*(E315-_xlfn.XLOOKUP(C315,products!A:A,products!E:E))</f>
        <v>2771.3999999999996</v>
      </c>
      <c r="H315" s="6" t="str">
        <f>_xlfn.XLOOKUP(C315,products!A:A,products!C:C)</f>
        <v>Fashion</v>
      </c>
      <c r="I315" s="6" t="str">
        <f>_xlfn.XLOOKUP(C315,products!A:A,products!B:B)</f>
        <v>Shirt</v>
      </c>
      <c r="J315" s="6">
        <f>_xlfn.XLOOKUP(B315,orders!A:A,orders!C:C)</f>
        <v>45761</v>
      </c>
      <c r="K315" s="6" t="str">
        <f t="shared" si="9"/>
        <v>Apr-2025</v>
      </c>
      <c r="L315" s="6">
        <f>_xlfn.XLOOKUP(B315,orders!A:A,orders!B:B)</f>
        <v>273</v>
      </c>
      <c r="M315" s="6" t="str">
        <f>_xlfn.XLOOKUP("C"&amp;TEXT(L315,"000"),customers!A:A,customers!B:B,"Not Found")</f>
        <v>Amit N.</v>
      </c>
    </row>
    <row r="316" spans="1:13">
      <c r="A316">
        <v>315</v>
      </c>
      <c r="B316">
        <v>258</v>
      </c>
      <c r="C316">
        <v>7</v>
      </c>
      <c r="D316" s="4">
        <v>3</v>
      </c>
      <c r="E316">
        <f>_xlfn.XLOOKUP(C316,products!A:A,products!D:D)</f>
        <v>1459</v>
      </c>
      <c r="F316">
        <f t="shared" si="8"/>
        <v>4377</v>
      </c>
      <c r="G316">
        <f>D316*(E316-_xlfn.XLOOKUP(C316,products!A:A,products!E:E))</f>
        <v>1510.0500000000002</v>
      </c>
      <c r="H316" s="6" t="str">
        <f>_xlfn.XLOOKUP(C316,products!A:A,products!C:C)</f>
        <v>Electronics</v>
      </c>
      <c r="I316" s="6" t="str">
        <f>_xlfn.XLOOKUP(C316,products!A:A,products!B:B)</f>
        <v>Monitor</v>
      </c>
      <c r="J316" s="6">
        <f>_xlfn.XLOOKUP(B316,orders!A:A,orders!C:C)</f>
        <v>45764</v>
      </c>
      <c r="K316" s="6" t="str">
        <f t="shared" si="9"/>
        <v>Apr-2025</v>
      </c>
      <c r="L316" s="6">
        <f>_xlfn.XLOOKUP(B316,orders!A:A,orders!B:B)</f>
        <v>310</v>
      </c>
      <c r="M316" s="6" t="str">
        <f>_xlfn.XLOOKUP("C"&amp;TEXT(L316,"000"),customers!A:A,customers!B:B,"Not Found")</f>
        <v>Pooja D.</v>
      </c>
    </row>
    <row r="317" spans="1:13">
      <c r="A317">
        <v>316</v>
      </c>
      <c r="B317">
        <v>258</v>
      </c>
      <c r="C317">
        <v>20</v>
      </c>
      <c r="D317" s="4">
        <v>4</v>
      </c>
      <c r="E317">
        <f>_xlfn.XLOOKUP(C317,products!A:A,products!D:D)</f>
        <v>3240</v>
      </c>
      <c r="F317">
        <f t="shared" si="8"/>
        <v>12960</v>
      </c>
      <c r="G317">
        <f>D317*(E317-_xlfn.XLOOKUP(C317,products!A:A,products!E:E))</f>
        <v>5832</v>
      </c>
      <c r="H317" s="6" t="str">
        <f>_xlfn.XLOOKUP(C317,products!A:A,products!C:C)</f>
        <v>Fashion</v>
      </c>
      <c r="I317" s="6" t="str">
        <f>_xlfn.XLOOKUP(C317,products!A:A,products!B:B)</f>
        <v>Belt</v>
      </c>
      <c r="J317" s="6">
        <f>_xlfn.XLOOKUP(B317,orders!A:A,orders!C:C)</f>
        <v>45764</v>
      </c>
      <c r="K317" s="6" t="str">
        <f t="shared" si="9"/>
        <v>Apr-2025</v>
      </c>
      <c r="L317" s="6">
        <f>_xlfn.XLOOKUP(B317,orders!A:A,orders!B:B)</f>
        <v>310</v>
      </c>
      <c r="M317" s="6" t="str">
        <f>_xlfn.XLOOKUP("C"&amp;TEXT(L317,"000"),customers!A:A,customers!B:B,"Not Found")</f>
        <v>Pooja D.</v>
      </c>
    </row>
    <row r="318" spans="1:13">
      <c r="A318">
        <v>317</v>
      </c>
      <c r="B318">
        <v>259</v>
      </c>
      <c r="C318">
        <v>14</v>
      </c>
      <c r="D318" s="4">
        <v>4</v>
      </c>
      <c r="E318">
        <f>_xlfn.XLOOKUP(C318,products!A:A,products!D:D)</f>
        <v>2418</v>
      </c>
      <c r="F318">
        <f t="shared" si="8"/>
        <v>9672</v>
      </c>
      <c r="G318">
        <f>D318*(E318-_xlfn.XLOOKUP(C318,products!A:A,products!E:E))</f>
        <v>3772.08</v>
      </c>
      <c r="H318" s="6" t="str">
        <f>_xlfn.XLOOKUP(C318,products!A:A,products!C:C)</f>
        <v>Fashion</v>
      </c>
      <c r="I318" s="6" t="str">
        <f>_xlfn.XLOOKUP(C318,products!A:A,products!B:B)</f>
        <v>Jacket</v>
      </c>
      <c r="J318" s="6">
        <f>_xlfn.XLOOKUP(B318,orders!A:A,orders!C:C)</f>
        <v>45767</v>
      </c>
      <c r="K318" s="6" t="str">
        <f t="shared" si="9"/>
        <v>Apr-2025</v>
      </c>
      <c r="L318" s="6">
        <f>_xlfn.XLOOKUP(B318,orders!A:A,orders!B:B)</f>
        <v>347</v>
      </c>
      <c r="M318" s="6" t="str">
        <f>_xlfn.XLOOKUP("C"&amp;TEXT(L318,"000"),customers!A:A,customers!B:B,"Not Found")</f>
        <v>Kiran Y.</v>
      </c>
    </row>
    <row r="319" spans="1:13">
      <c r="A319">
        <v>318</v>
      </c>
      <c r="B319">
        <v>259</v>
      </c>
      <c r="C319">
        <v>27</v>
      </c>
      <c r="D319" s="4">
        <v>1</v>
      </c>
      <c r="E319">
        <f>_xlfn.XLOOKUP(C319,products!A:A,products!D:D)</f>
        <v>4199</v>
      </c>
      <c r="F319">
        <f t="shared" si="8"/>
        <v>4199</v>
      </c>
      <c r="G319">
        <f>D319*(E319-_xlfn.XLOOKUP(C319,products!A:A,products!E:E))</f>
        <v>1448.65</v>
      </c>
      <c r="H319" s="6" t="str">
        <f>_xlfn.XLOOKUP(C319,products!A:A,products!C:C)</f>
        <v>Home &amp; Kitchen</v>
      </c>
      <c r="I319" s="6" t="str">
        <f>_xlfn.XLOOKUP(C319,products!A:A,products!B:B)</f>
        <v>Cookware Set</v>
      </c>
      <c r="J319" s="6">
        <f>_xlfn.XLOOKUP(B319,orders!A:A,orders!C:C)</f>
        <v>45767</v>
      </c>
      <c r="K319" s="6" t="str">
        <f t="shared" si="9"/>
        <v>Apr-2025</v>
      </c>
      <c r="L319" s="6">
        <f>_xlfn.XLOOKUP(B319,orders!A:A,orders!B:B)</f>
        <v>347</v>
      </c>
      <c r="M319" s="6" t="str">
        <f>_xlfn.XLOOKUP("C"&amp;TEXT(L319,"000"),customers!A:A,customers!B:B,"Not Found")</f>
        <v>Kiran Y.</v>
      </c>
    </row>
    <row r="320" spans="1:13">
      <c r="A320">
        <v>319</v>
      </c>
      <c r="B320">
        <v>260</v>
      </c>
      <c r="C320">
        <v>21</v>
      </c>
      <c r="D320" s="4">
        <v>1</v>
      </c>
      <c r="E320">
        <f>_xlfn.XLOOKUP(C320,products!A:A,products!D:D)</f>
        <v>3377</v>
      </c>
      <c r="F320">
        <f t="shared" si="8"/>
        <v>3377</v>
      </c>
      <c r="G320">
        <f>D320*(E320-_xlfn.XLOOKUP(C320,products!A:A,products!E:E))</f>
        <v>1468.99</v>
      </c>
      <c r="H320" s="6" t="str">
        <f>_xlfn.XLOOKUP(C320,products!A:A,products!C:C)</f>
        <v>Home Appliances</v>
      </c>
      <c r="I320" s="6" t="str">
        <f>_xlfn.XLOOKUP(C320,products!A:A,products!B:B)</f>
        <v>Mixer</v>
      </c>
      <c r="J320" s="6">
        <f>_xlfn.XLOOKUP(B320,orders!A:A,orders!C:C)</f>
        <v>45770</v>
      </c>
      <c r="K320" s="6" t="str">
        <f t="shared" si="9"/>
        <v>Apr-2025</v>
      </c>
      <c r="L320" s="6">
        <f>_xlfn.XLOOKUP(B320,orders!A:A,orders!B:B)</f>
        <v>384</v>
      </c>
      <c r="M320" s="6" t="str">
        <f>_xlfn.XLOOKUP("C"&amp;TEXT(L320,"000"),customers!A:A,customers!B:B,"Not Found")</f>
        <v>Kiran H.</v>
      </c>
    </row>
    <row r="321" spans="1:13">
      <c r="A321">
        <v>320</v>
      </c>
      <c r="B321">
        <v>260</v>
      </c>
      <c r="C321">
        <v>34</v>
      </c>
      <c r="D321" s="4">
        <v>2</v>
      </c>
      <c r="E321">
        <f>_xlfn.XLOOKUP(C321,products!A:A,products!D:D)</f>
        <v>5158</v>
      </c>
      <c r="F321">
        <f t="shared" si="8"/>
        <v>10316</v>
      </c>
      <c r="G321">
        <f>D321*(E321-_xlfn.XLOOKUP(C321,products!A:A,products!E:E))</f>
        <v>4023.24</v>
      </c>
      <c r="H321" s="6" t="str">
        <f>_xlfn.XLOOKUP(C321,products!A:A,products!C:C)</f>
        <v>Books</v>
      </c>
      <c r="I321" s="6" t="str">
        <f>_xlfn.XLOOKUP(C321,products!A:A,products!B:B)</f>
        <v>Cookbook</v>
      </c>
      <c r="J321" s="6">
        <f>_xlfn.XLOOKUP(B321,orders!A:A,orders!C:C)</f>
        <v>45770</v>
      </c>
      <c r="K321" s="6" t="str">
        <f t="shared" si="9"/>
        <v>Apr-2025</v>
      </c>
      <c r="L321" s="6">
        <f>_xlfn.XLOOKUP(B321,orders!A:A,orders!B:B)</f>
        <v>384</v>
      </c>
      <c r="M321" s="6" t="str">
        <f>_xlfn.XLOOKUP("C"&amp;TEXT(L321,"000"),customers!A:A,customers!B:B,"Not Found")</f>
        <v>Kiran H.</v>
      </c>
    </row>
    <row r="322" spans="1:13">
      <c r="A322">
        <v>321</v>
      </c>
      <c r="B322">
        <v>261</v>
      </c>
      <c r="C322">
        <v>28</v>
      </c>
      <c r="D322" s="4">
        <v>2</v>
      </c>
      <c r="E322">
        <f>_xlfn.XLOOKUP(C322,products!A:A,products!D:D)</f>
        <v>4336</v>
      </c>
      <c r="F322">
        <f t="shared" ref="F322:F385" si="10">D322*E322</f>
        <v>8672</v>
      </c>
      <c r="G322">
        <f>D322*(E322-_xlfn.XLOOKUP(C322,products!A:A,products!E:E))</f>
        <v>2861.76</v>
      </c>
      <c r="H322" s="6" t="str">
        <f>_xlfn.XLOOKUP(C322,products!A:A,products!C:C)</f>
        <v>Home &amp; Kitchen</v>
      </c>
      <c r="I322" s="6" t="str">
        <f>_xlfn.XLOOKUP(C322,products!A:A,products!B:B)</f>
        <v>Bottle</v>
      </c>
      <c r="J322" s="6">
        <f>_xlfn.XLOOKUP(B322,orders!A:A,orders!C:C)</f>
        <v>45773</v>
      </c>
      <c r="K322" s="6" t="str">
        <f t="shared" ref="K322:K385" si="11">TEXT(J322,"mmm-yyyy")</f>
        <v>Apr-2025</v>
      </c>
      <c r="L322" s="6">
        <f>_xlfn.XLOOKUP(B322,orders!A:A,orders!B:B)</f>
        <v>421</v>
      </c>
      <c r="M322" s="6" t="str">
        <f>_xlfn.XLOOKUP("C"&amp;TEXT(L322,"000"),customers!A:A,customers!B:B,"Not Found")</f>
        <v>Suresh S.</v>
      </c>
    </row>
    <row r="323" spans="1:13">
      <c r="A323">
        <v>322</v>
      </c>
      <c r="B323">
        <v>261</v>
      </c>
      <c r="C323">
        <v>41</v>
      </c>
      <c r="D323" s="4">
        <v>3</v>
      </c>
      <c r="E323">
        <f>_xlfn.XLOOKUP(C323,products!A:A,products!D:D)</f>
        <v>6117</v>
      </c>
      <c r="F323">
        <f t="shared" si="10"/>
        <v>18351</v>
      </c>
      <c r="G323">
        <f>D323*(E323-_xlfn.XLOOKUP(C323,products!A:A,products!E:E))</f>
        <v>7982.67</v>
      </c>
      <c r="H323" s="6" t="str">
        <f>_xlfn.XLOOKUP(C323,products!A:A,products!C:C)</f>
        <v>Beauty</v>
      </c>
      <c r="I323" s="6" t="str">
        <f>_xlfn.XLOOKUP(C323,products!A:A,products!B:B)</f>
        <v>Face Wash</v>
      </c>
      <c r="J323" s="6">
        <f>_xlfn.XLOOKUP(B323,orders!A:A,orders!C:C)</f>
        <v>45773</v>
      </c>
      <c r="K323" s="6" t="str">
        <f t="shared" si="11"/>
        <v>Apr-2025</v>
      </c>
      <c r="L323" s="6">
        <f>_xlfn.XLOOKUP(B323,orders!A:A,orders!B:B)</f>
        <v>421</v>
      </c>
      <c r="M323" s="6" t="str">
        <f>_xlfn.XLOOKUP("C"&amp;TEXT(L323,"000"),customers!A:A,customers!B:B,"Not Found")</f>
        <v>Suresh S.</v>
      </c>
    </row>
    <row r="324" spans="1:13">
      <c r="A324">
        <v>323</v>
      </c>
      <c r="B324">
        <v>262</v>
      </c>
      <c r="C324">
        <v>35</v>
      </c>
      <c r="D324" s="4">
        <v>3</v>
      </c>
      <c r="E324">
        <f>_xlfn.XLOOKUP(C324,products!A:A,products!D:D)</f>
        <v>5295</v>
      </c>
      <c r="F324">
        <f t="shared" si="10"/>
        <v>15885</v>
      </c>
      <c r="G324">
        <f>D324*(E324-_xlfn.XLOOKUP(C324,products!A:A,products!E:E))</f>
        <v>5956.86</v>
      </c>
      <c r="H324" s="6" t="str">
        <f>_xlfn.XLOOKUP(C324,products!A:A,products!C:C)</f>
        <v>Books</v>
      </c>
      <c r="I324" s="6" t="str">
        <f>_xlfn.XLOOKUP(C324,products!A:A,products!B:B)</f>
        <v>Novel</v>
      </c>
      <c r="J324" s="6">
        <f>_xlfn.XLOOKUP(B324,orders!A:A,orders!C:C)</f>
        <v>45776</v>
      </c>
      <c r="K324" s="6" t="str">
        <f t="shared" si="11"/>
        <v>Apr-2025</v>
      </c>
      <c r="L324" s="6">
        <f>_xlfn.XLOOKUP(B324,orders!A:A,orders!B:B)</f>
        <v>458</v>
      </c>
      <c r="M324" s="6" t="str">
        <f>_xlfn.XLOOKUP("C"&amp;TEXT(L324,"000"),customers!A:A,customers!B:B,"Not Found")</f>
        <v>Anjali T.</v>
      </c>
    </row>
    <row r="325" spans="1:13">
      <c r="A325">
        <v>324</v>
      </c>
      <c r="B325">
        <v>262</v>
      </c>
      <c r="C325">
        <v>48</v>
      </c>
      <c r="D325" s="4">
        <v>4</v>
      </c>
      <c r="E325">
        <f>_xlfn.XLOOKUP(C325,products!A:A,products!D:D)</f>
        <v>7076</v>
      </c>
      <c r="F325">
        <f t="shared" si="10"/>
        <v>28304</v>
      </c>
      <c r="G325">
        <f>D325*(E325-_xlfn.XLOOKUP(C325,products!A:A,products!E:E))</f>
        <v>9340.32</v>
      </c>
      <c r="H325" s="6" t="str">
        <f>_xlfn.XLOOKUP(C325,products!A:A,products!C:C)</f>
        <v>Toys</v>
      </c>
      <c r="I325" s="6" t="str">
        <f>_xlfn.XLOOKUP(C325,products!A:A,products!B:B)</f>
        <v>Board Game</v>
      </c>
      <c r="J325" s="6">
        <f>_xlfn.XLOOKUP(B325,orders!A:A,orders!C:C)</f>
        <v>45776</v>
      </c>
      <c r="K325" s="6" t="str">
        <f t="shared" si="11"/>
        <v>Apr-2025</v>
      </c>
      <c r="L325" s="6">
        <f>_xlfn.XLOOKUP(B325,orders!A:A,orders!B:B)</f>
        <v>458</v>
      </c>
      <c r="M325" s="6" t="str">
        <f>_xlfn.XLOOKUP("C"&amp;TEXT(L325,"000"),customers!A:A,customers!B:B,"Not Found")</f>
        <v>Anjali T.</v>
      </c>
    </row>
    <row r="326" spans="1:13">
      <c r="A326">
        <v>325</v>
      </c>
      <c r="B326">
        <v>263</v>
      </c>
      <c r="C326">
        <v>42</v>
      </c>
      <c r="D326" s="4">
        <v>4</v>
      </c>
      <c r="E326">
        <f>_xlfn.XLOOKUP(C326,products!A:A,products!D:D)</f>
        <v>6254</v>
      </c>
      <c r="F326">
        <f t="shared" si="10"/>
        <v>25016</v>
      </c>
      <c r="G326">
        <f>D326*(E326-_xlfn.XLOOKUP(C326,products!A:A,products!E:E))</f>
        <v>10506.72</v>
      </c>
      <c r="H326" s="6" t="str">
        <f>_xlfn.XLOOKUP(C326,products!A:A,products!C:C)</f>
        <v>Beauty</v>
      </c>
      <c r="I326" s="6" t="str">
        <f>_xlfn.XLOOKUP(C326,products!A:A,products!B:B)</f>
        <v>Shampoo</v>
      </c>
      <c r="J326" s="6">
        <f>_xlfn.XLOOKUP(B326,orders!A:A,orders!C:C)</f>
        <v>45779</v>
      </c>
      <c r="K326" s="6" t="str">
        <f t="shared" si="11"/>
        <v>May-2025</v>
      </c>
      <c r="L326" s="6">
        <f>_xlfn.XLOOKUP(B326,orders!A:A,orders!B:B)</f>
        <v>495</v>
      </c>
      <c r="M326" s="6" t="str">
        <f>_xlfn.XLOOKUP("C"&amp;TEXT(L326,"000"),customers!A:A,customers!B:B,"Not Found")</f>
        <v>Amit C.</v>
      </c>
    </row>
    <row r="327" spans="1:13">
      <c r="A327">
        <v>326</v>
      </c>
      <c r="B327">
        <v>263</v>
      </c>
      <c r="C327">
        <v>5</v>
      </c>
      <c r="D327" s="4">
        <v>1</v>
      </c>
      <c r="E327">
        <f>_xlfn.XLOOKUP(C327,products!A:A,products!D:D)</f>
        <v>1185</v>
      </c>
      <c r="F327">
        <f t="shared" si="10"/>
        <v>1185</v>
      </c>
      <c r="G327">
        <f>D327*(E327-_xlfn.XLOOKUP(C327,products!A:A,products!E:E))</f>
        <v>444.38</v>
      </c>
      <c r="H327" s="6" t="str">
        <f>_xlfn.XLOOKUP(C327,products!A:A,products!C:C)</f>
        <v>Electronics</v>
      </c>
      <c r="I327" s="6" t="str">
        <f>_xlfn.XLOOKUP(C327,products!A:A,products!B:B)</f>
        <v>Keyboard</v>
      </c>
      <c r="J327" s="6">
        <f>_xlfn.XLOOKUP(B327,orders!A:A,orders!C:C)</f>
        <v>45779</v>
      </c>
      <c r="K327" s="6" t="str">
        <f t="shared" si="11"/>
        <v>May-2025</v>
      </c>
      <c r="L327" s="6">
        <f>_xlfn.XLOOKUP(B327,orders!A:A,orders!B:B)</f>
        <v>495</v>
      </c>
      <c r="M327" s="6" t="str">
        <f>_xlfn.XLOOKUP("C"&amp;TEXT(L327,"000"),customers!A:A,customers!B:B,"Not Found")</f>
        <v>Amit C.</v>
      </c>
    </row>
    <row r="328" spans="1:13">
      <c r="A328">
        <v>327</v>
      </c>
      <c r="B328">
        <v>264</v>
      </c>
      <c r="C328">
        <v>49</v>
      </c>
      <c r="D328" s="4">
        <v>1</v>
      </c>
      <c r="E328">
        <f>_xlfn.XLOOKUP(C328,products!A:A,products!D:D)</f>
        <v>7213</v>
      </c>
      <c r="F328">
        <f t="shared" si="10"/>
        <v>7213</v>
      </c>
      <c r="G328">
        <f>D328*(E328-_xlfn.XLOOKUP(C328,products!A:A,products!E:E))</f>
        <v>2272.09</v>
      </c>
      <c r="H328" s="6" t="str">
        <f>_xlfn.XLOOKUP(C328,products!A:A,products!C:C)</f>
        <v>Toys</v>
      </c>
      <c r="I328" s="6" t="str">
        <f>_xlfn.XLOOKUP(C328,products!A:A,products!B:B)</f>
        <v>Remote Car</v>
      </c>
      <c r="J328" s="6">
        <f>_xlfn.XLOOKUP(B328,orders!A:A,orders!C:C)</f>
        <v>45782</v>
      </c>
      <c r="K328" s="6" t="str">
        <f t="shared" si="11"/>
        <v>May-2025</v>
      </c>
      <c r="L328" s="6">
        <f>_xlfn.XLOOKUP(B328,orders!A:A,orders!B:B)</f>
        <v>32</v>
      </c>
      <c r="M328" s="6" t="str">
        <f>_xlfn.XLOOKUP("C"&amp;TEXT(L328,"000"),customers!A:A,customers!B:B,"Not Found")</f>
        <v>Suresh P.</v>
      </c>
    </row>
    <row r="329" spans="1:13">
      <c r="A329">
        <v>328</v>
      </c>
      <c r="B329">
        <v>264</v>
      </c>
      <c r="C329">
        <v>12</v>
      </c>
      <c r="D329" s="4">
        <v>2</v>
      </c>
      <c r="E329">
        <f>_xlfn.XLOOKUP(C329,products!A:A,products!D:D)</f>
        <v>2144</v>
      </c>
      <c r="F329">
        <f t="shared" si="10"/>
        <v>4288</v>
      </c>
      <c r="G329">
        <f>D329*(E329-_xlfn.XLOOKUP(C329,products!A:A,products!E:E))</f>
        <v>1800.96</v>
      </c>
      <c r="H329" s="6" t="str">
        <f>_xlfn.XLOOKUP(C329,products!A:A,products!C:C)</f>
        <v>Fashion</v>
      </c>
      <c r="I329" s="6" t="str">
        <f>_xlfn.XLOOKUP(C329,products!A:A,products!B:B)</f>
        <v>Jeans</v>
      </c>
      <c r="J329" s="6">
        <f>_xlfn.XLOOKUP(B329,orders!A:A,orders!C:C)</f>
        <v>45782</v>
      </c>
      <c r="K329" s="6" t="str">
        <f t="shared" si="11"/>
        <v>May-2025</v>
      </c>
      <c r="L329" s="6">
        <f>_xlfn.XLOOKUP(B329,orders!A:A,orders!B:B)</f>
        <v>32</v>
      </c>
      <c r="M329" s="6" t="str">
        <f>_xlfn.XLOOKUP("C"&amp;TEXT(L329,"000"),customers!A:A,customers!B:B,"Not Found")</f>
        <v>Suresh P.</v>
      </c>
    </row>
    <row r="330" spans="1:13">
      <c r="A330">
        <v>329</v>
      </c>
      <c r="B330">
        <v>265</v>
      </c>
      <c r="C330">
        <v>6</v>
      </c>
      <c r="D330" s="4">
        <v>2</v>
      </c>
      <c r="E330">
        <f>_xlfn.XLOOKUP(C330,products!A:A,products!D:D)</f>
        <v>1322</v>
      </c>
      <c r="F330">
        <f t="shared" si="10"/>
        <v>2644</v>
      </c>
      <c r="G330">
        <f>D330*(E330-_xlfn.XLOOKUP(C330,products!A:A,products!E:E))</f>
        <v>951.83999999999992</v>
      </c>
      <c r="H330" s="6" t="str">
        <f>_xlfn.XLOOKUP(C330,products!A:A,products!C:C)</f>
        <v>Electronics</v>
      </c>
      <c r="I330" s="6" t="str">
        <f>_xlfn.XLOOKUP(C330,products!A:A,products!B:B)</f>
        <v>Mouse</v>
      </c>
      <c r="J330" s="6">
        <f>_xlfn.XLOOKUP(B330,orders!A:A,orders!C:C)</f>
        <v>45785</v>
      </c>
      <c r="K330" s="6" t="str">
        <f t="shared" si="11"/>
        <v>May-2025</v>
      </c>
      <c r="L330" s="6">
        <f>_xlfn.XLOOKUP(B330,orders!A:A,orders!B:B)</f>
        <v>69</v>
      </c>
      <c r="M330" s="6" t="str">
        <f>_xlfn.XLOOKUP("C"&amp;TEXT(L330,"000"),customers!A:A,customers!B:B,"Not Found")</f>
        <v>Rohit R.</v>
      </c>
    </row>
    <row r="331" spans="1:13">
      <c r="A331">
        <v>330</v>
      </c>
      <c r="B331">
        <v>265</v>
      </c>
      <c r="C331">
        <v>19</v>
      </c>
      <c r="D331" s="4">
        <v>3</v>
      </c>
      <c r="E331">
        <f>_xlfn.XLOOKUP(C331,products!A:A,products!D:D)</f>
        <v>3103</v>
      </c>
      <c r="F331">
        <f t="shared" si="10"/>
        <v>9309</v>
      </c>
      <c r="G331">
        <f>D331*(E331-_xlfn.XLOOKUP(C331,products!A:A,products!E:E))</f>
        <v>2932.32</v>
      </c>
      <c r="H331" s="6" t="str">
        <f>_xlfn.XLOOKUP(C331,products!A:A,products!C:C)</f>
        <v>Fashion</v>
      </c>
      <c r="I331" s="6" t="str">
        <f>_xlfn.XLOOKUP(C331,products!A:A,products!B:B)</f>
        <v>Wallet</v>
      </c>
      <c r="J331" s="6">
        <f>_xlfn.XLOOKUP(B331,orders!A:A,orders!C:C)</f>
        <v>45785</v>
      </c>
      <c r="K331" s="6" t="str">
        <f t="shared" si="11"/>
        <v>May-2025</v>
      </c>
      <c r="L331" s="6">
        <f>_xlfn.XLOOKUP(B331,orders!A:A,orders!B:B)</f>
        <v>69</v>
      </c>
      <c r="M331" s="6" t="str">
        <f>_xlfn.XLOOKUP("C"&amp;TEXT(L331,"000"),customers!A:A,customers!B:B,"Not Found")</f>
        <v>Rohit R.</v>
      </c>
    </row>
    <row r="332" spans="1:13">
      <c r="A332">
        <v>331</v>
      </c>
      <c r="B332">
        <v>266</v>
      </c>
      <c r="C332">
        <v>13</v>
      </c>
      <c r="D332" s="4">
        <v>3</v>
      </c>
      <c r="E332">
        <f>_xlfn.XLOOKUP(C332,products!A:A,products!D:D)</f>
        <v>2281</v>
      </c>
      <c r="F332">
        <f t="shared" si="10"/>
        <v>6843</v>
      </c>
      <c r="G332">
        <f>D332*(E332-_xlfn.XLOOKUP(C332,products!A:A,products!E:E))</f>
        <v>2771.3999999999996</v>
      </c>
      <c r="H332" s="6" t="str">
        <f>_xlfn.XLOOKUP(C332,products!A:A,products!C:C)</f>
        <v>Fashion</v>
      </c>
      <c r="I332" s="6" t="str">
        <f>_xlfn.XLOOKUP(C332,products!A:A,products!B:B)</f>
        <v>Shirt</v>
      </c>
      <c r="J332" s="6">
        <f>_xlfn.XLOOKUP(B332,orders!A:A,orders!C:C)</f>
        <v>45788</v>
      </c>
      <c r="K332" s="6" t="str">
        <f t="shared" si="11"/>
        <v>May-2025</v>
      </c>
      <c r="L332" s="6">
        <f>_xlfn.XLOOKUP(B332,orders!A:A,orders!B:B)</f>
        <v>106</v>
      </c>
      <c r="M332" s="6" t="str">
        <f>_xlfn.XLOOKUP("C"&amp;TEXT(L332,"000"),customers!A:A,customers!B:B,"Not Found")</f>
        <v>Meena Y.</v>
      </c>
    </row>
    <row r="333" spans="1:13">
      <c r="A333">
        <v>332</v>
      </c>
      <c r="B333">
        <v>266</v>
      </c>
      <c r="C333">
        <v>26</v>
      </c>
      <c r="D333" s="4">
        <v>4</v>
      </c>
      <c r="E333">
        <f>_xlfn.XLOOKUP(C333,products!A:A,products!D:D)</f>
        <v>4062</v>
      </c>
      <c r="F333">
        <f t="shared" si="10"/>
        <v>16248</v>
      </c>
      <c r="G333">
        <f>D333*(E333-_xlfn.XLOOKUP(C333,products!A:A,products!E:E))</f>
        <v>5849.2800000000007</v>
      </c>
      <c r="H333" s="6" t="str">
        <f>_xlfn.XLOOKUP(C333,products!A:A,products!C:C)</f>
        <v>Home &amp; Kitchen</v>
      </c>
      <c r="I333" s="6" t="str">
        <f>_xlfn.XLOOKUP(C333,products!A:A,products!B:B)</f>
        <v>Bedsheet</v>
      </c>
      <c r="J333" s="6">
        <f>_xlfn.XLOOKUP(B333,orders!A:A,orders!C:C)</f>
        <v>45788</v>
      </c>
      <c r="K333" s="6" t="str">
        <f t="shared" si="11"/>
        <v>May-2025</v>
      </c>
      <c r="L333" s="6">
        <f>_xlfn.XLOOKUP(B333,orders!A:A,orders!B:B)</f>
        <v>106</v>
      </c>
      <c r="M333" s="6" t="str">
        <f>_xlfn.XLOOKUP("C"&amp;TEXT(L333,"000"),customers!A:A,customers!B:B,"Not Found")</f>
        <v>Meena Y.</v>
      </c>
    </row>
    <row r="334" spans="1:13">
      <c r="A334">
        <v>333</v>
      </c>
      <c r="B334">
        <v>267</v>
      </c>
      <c r="C334">
        <v>20</v>
      </c>
      <c r="D334" s="4">
        <v>4</v>
      </c>
      <c r="E334">
        <f>_xlfn.XLOOKUP(C334,products!A:A,products!D:D)</f>
        <v>3240</v>
      </c>
      <c r="F334">
        <f t="shared" si="10"/>
        <v>12960</v>
      </c>
      <c r="G334">
        <f>D334*(E334-_xlfn.XLOOKUP(C334,products!A:A,products!E:E))</f>
        <v>5832</v>
      </c>
      <c r="H334" s="6" t="str">
        <f>_xlfn.XLOOKUP(C334,products!A:A,products!C:C)</f>
        <v>Fashion</v>
      </c>
      <c r="I334" s="6" t="str">
        <f>_xlfn.XLOOKUP(C334,products!A:A,products!B:B)</f>
        <v>Belt</v>
      </c>
      <c r="J334" s="6">
        <f>_xlfn.XLOOKUP(B334,orders!A:A,orders!C:C)</f>
        <v>45791</v>
      </c>
      <c r="K334" s="6" t="str">
        <f t="shared" si="11"/>
        <v>May-2025</v>
      </c>
      <c r="L334" s="6">
        <f>_xlfn.XLOOKUP(B334,orders!A:A,orders!B:B)</f>
        <v>143</v>
      </c>
      <c r="M334" s="6" t="str">
        <f>_xlfn.XLOOKUP("C"&amp;TEXT(L334,"000"),customers!A:A,customers!B:B,"Not Found")</f>
        <v>Rohit W.</v>
      </c>
    </row>
    <row r="335" spans="1:13">
      <c r="A335">
        <v>334</v>
      </c>
      <c r="B335">
        <v>267</v>
      </c>
      <c r="C335">
        <v>33</v>
      </c>
      <c r="D335" s="4">
        <v>1</v>
      </c>
      <c r="E335">
        <f>_xlfn.XLOOKUP(C335,products!A:A,products!D:D)</f>
        <v>5021</v>
      </c>
      <c r="F335">
        <f t="shared" si="10"/>
        <v>5021</v>
      </c>
      <c r="G335">
        <f>D335*(E335-_xlfn.XLOOKUP(C335,products!A:A,products!E:E))</f>
        <v>2033.5</v>
      </c>
      <c r="H335" s="6" t="str">
        <f>_xlfn.XLOOKUP(C335,products!A:A,products!C:C)</f>
        <v>Books</v>
      </c>
      <c r="I335" s="6" t="str">
        <f>_xlfn.XLOOKUP(C335,products!A:A,products!B:B)</f>
        <v>Pen Set</v>
      </c>
      <c r="J335" s="6">
        <f>_xlfn.XLOOKUP(B335,orders!A:A,orders!C:C)</f>
        <v>45791</v>
      </c>
      <c r="K335" s="6" t="str">
        <f t="shared" si="11"/>
        <v>May-2025</v>
      </c>
      <c r="L335" s="6">
        <f>_xlfn.XLOOKUP(B335,orders!A:A,orders!B:B)</f>
        <v>143</v>
      </c>
      <c r="M335" s="6" t="str">
        <f>_xlfn.XLOOKUP("C"&amp;TEXT(L335,"000"),customers!A:A,customers!B:B,"Not Found")</f>
        <v>Rohit W.</v>
      </c>
    </row>
    <row r="336" spans="1:13">
      <c r="A336">
        <v>335</v>
      </c>
      <c r="B336">
        <v>268</v>
      </c>
      <c r="C336">
        <v>27</v>
      </c>
      <c r="D336" s="4">
        <v>1</v>
      </c>
      <c r="E336">
        <f>_xlfn.XLOOKUP(C336,products!A:A,products!D:D)</f>
        <v>4199</v>
      </c>
      <c r="F336">
        <f t="shared" si="10"/>
        <v>4199</v>
      </c>
      <c r="G336">
        <f>D336*(E336-_xlfn.XLOOKUP(C336,products!A:A,products!E:E))</f>
        <v>1448.65</v>
      </c>
      <c r="H336" s="6" t="str">
        <f>_xlfn.XLOOKUP(C336,products!A:A,products!C:C)</f>
        <v>Home &amp; Kitchen</v>
      </c>
      <c r="I336" s="6" t="str">
        <f>_xlfn.XLOOKUP(C336,products!A:A,products!B:B)</f>
        <v>Cookware Set</v>
      </c>
      <c r="J336" s="6">
        <f>_xlfn.XLOOKUP(B336,orders!A:A,orders!C:C)</f>
        <v>45794</v>
      </c>
      <c r="K336" s="6" t="str">
        <f t="shared" si="11"/>
        <v>May-2025</v>
      </c>
      <c r="L336" s="6">
        <f>_xlfn.XLOOKUP(B336,orders!A:A,orders!B:B)</f>
        <v>180</v>
      </c>
      <c r="M336" s="6" t="str">
        <f>_xlfn.XLOOKUP("C"&amp;TEXT(L336,"000"),customers!A:A,customers!B:B,"Not Found")</f>
        <v>Arjun C.</v>
      </c>
    </row>
    <row r="337" spans="1:13">
      <c r="A337">
        <v>336</v>
      </c>
      <c r="B337">
        <v>268</v>
      </c>
      <c r="C337">
        <v>40</v>
      </c>
      <c r="D337" s="4">
        <v>2</v>
      </c>
      <c r="E337">
        <f>_xlfn.XLOOKUP(C337,products!A:A,products!D:D)</f>
        <v>5980</v>
      </c>
      <c r="F337">
        <f t="shared" si="10"/>
        <v>11960</v>
      </c>
      <c r="G337">
        <f>D337*(E337-_xlfn.XLOOKUP(C337,products!A:A,products!E:E))</f>
        <v>5382</v>
      </c>
      <c r="H337" s="6" t="str">
        <f>_xlfn.XLOOKUP(C337,products!A:A,products!C:C)</f>
        <v>Sports</v>
      </c>
      <c r="I337" s="6" t="str">
        <f>_xlfn.XLOOKUP(C337,products!A:A,products!B:B)</f>
        <v>Dumbbells</v>
      </c>
      <c r="J337" s="6">
        <f>_xlfn.XLOOKUP(B337,orders!A:A,orders!C:C)</f>
        <v>45794</v>
      </c>
      <c r="K337" s="6" t="str">
        <f t="shared" si="11"/>
        <v>May-2025</v>
      </c>
      <c r="L337" s="6">
        <f>_xlfn.XLOOKUP(B337,orders!A:A,orders!B:B)</f>
        <v>180</v>
      </c>
      <c r="M337" s="6" t="str">
        <f>_xlfn.XLOOKUP("C"&amp;TEXT(L337,"000"),customers!A:A,customers!B:B,"Not Found")</f>
        <v>Arjun C.</v>
      </c>
    </row>
    <row r="338" spans="1:13">
      <c r="A338">
        <v>337</v>
      </c>
      <c r="B338">
        <v>269</v>
      </c>
      <c r="C338">
        <v>34</v>
      </c>
      <c r="D338" s="4">
        <v>2</v>
      </c>
      <c r="E338">
        <f>_xlfn.XLOOKUP(C338,products!A:A,products!D:D)</f>
        <v>5158</v>
      </c>
      <c r="F338">
        <f t="shared" si="10"/>
        <v>10316</v>
      </c>
      <c r="G338">
        <f>D338*(E338-_xlfn.XLOOKUP(C338,products!A:A,products!E:E))</f>
        <v>4023.24</v>
      </c>
      <c r="H338" s="6" t="str">
        <f>_xlfn.XLOOKUP(C338,products!A:A,products!C:C)</f>
        <v>Books</v>
      </c>
      <c r="I338" s="6" t="str">
        <f>_xlfn.XLOOKUP(C338,products!A:A,products!B:B)</f>
        <v>Cookbook</v>
      </c>
      <c r="J338" s="6">
        <f>_xlfn.XLOOKUP(B338,orders!A:A,orders!C:C)</f>
        <v>45797</v>
      </c>
      <c r="K338" s="6" t="str">
        <f t="shared" si="11"/>
        <v>May-2025</v>
      </c>
      <c r="L338" s="6">
        <f>_xlfn.XLOOKUP(B338,orders!A:A,orders!B:B)</f>
        <v>217</v>
      </c>
      <c r="M338" s="6" t="str">
        <f>_xlfn.XLOOKUP("C"&amp;TEXT(L338,"000"),customers!A:A,customers!B:B,"Not Found")</f>
        <v>Pooja X.</v>
      </c>
    </row>
    <row r="339" spans="1:13">
      <c r="A339">
        <v>338</v>
      </c>
      <c r="B339">
        <v>269</v>
      </c>
      <c r="C339">
        <v>47</v>
      </c>
      <c r="D339" s="4">
        <v>3</v>
      </c>
      <c r="E339">
        <f>_xlfn.XLOOKUP(C339,products!A:A,products!D:D)</f>
        <v>6939</v>
      </c>
      <c r="F339">
        <f t="shared" si="10"/>
        <v>20817</v>
      </c>
      <c r="G339">
        <f>D339*(E339-_xlfn.XLOOKUP(C339,products!A:A,products!E:E))</f>
        <v>7181.8499999999995</v>
      </c>
      <c r="H339" s="6" t="str">
        <f>_xlfn.XLOOKUP(C339,products!A:A,products!C:C)</f>
        <v>Toys</v>
      </c>
      <c r="I339" s="6" t="str">
        <f>_xlfn.XLOOKUP(C339,products!A:A,products!B:B)</f>
        <v>Puzzle</v>
      </c>
      <c r="J339" s="6">
        <f>_xlfn.XLOOKUP(B339,orders!A:A,orders!C:C)</f>
        <v>45797</v>
      </c>
      <c r="K339" s="6" t="str">
        <f t="shared" si="11"/>
        <v>May-2025</v>
      </c>
      <c r="L339" s="6">
        <f>_xlfn.XLOOKUP(B339,orders!A:A,orders!B:B)</f>
        <v>217</v>
      </c>
      <c r="M339" s="6" t="str">
        <f>_xlfn.XLOOKUP("C"&amp;TEXT(L339,"000"),customers!A:A,customers!B:B,"Not Found")</f>
        <v>Pooja X.</v>
      </c>
    </row>
    <row r="340" spans="1:13">
      <c r="A340">
        <v>339</v>
      </c>
      <c r="B340">
        <v>270</v>
      </c>
      <c r="C340">
        <v>41</v>
      </c>
      <c r="D340" s="4">
        <v>3</v>
      </c>
      <c r="E340">
        <f>_xlfn.XLOOKUP(C340,products!A:A,products!D:D)</f>
        <v>6117</v>
      </c>
      <c r="F340">
        <f t="shared" si="10"/>
        <v>18351</v>
      </c>
      <c r="G340">
        <f>D340*(E340-_xlfn.XLOOKUP(C340,products!A:A,products!E:E))</f>
        <v>7982.67</v>
      </c>
      <c r="H340" s="6" t="str">
        <f>_xlfn.XLOOKUP(C340,products!A:A,products!C:C)</f>
        <v>Beauty</v>
      </c>
      <c r="I340" s="6" t="str">
        <f>_xlfn.XLOOKUP(C340,products!A:A,products!B:B)</f>
        <v>Face Wash</v>
      </c>
      <c r="J340" s="6">
        <f>_xlfn.XLOOKUP(B340,orders!A:A,orders!C:C)</f>
        <v>45800</v>
      </c>
      <c r="K340" s="6" t="str">
        <f t="shared" si="11"/>
        <v>May-2025</v>
      </c>
      <c r="L340" s="6">
        <f>_xlfn.XLOOKUP(B340,orders!A:A,orders!B:B)</f>
        <v>254</v>
      </c>
      <c r="M340" s="6" t="str">
        <f>_xlfn.XLOOKUP("C"&amp;TEXT(L340,"000"),customers!A:A,customers!B:B,"Not Found")</f>
        <v>Ravi U.</v>
      </c>
    </row>
    <row r="341" spans="1:13">
      <c r="A341">
        <v>340</v>
      </c>
      <c r="B341">
        <v>270</v>
      </c>
      <c r="C341">
        <v>4</v>
      </c>
      <c r="D341" s="4">
        <v>4</v>
      </c>
      <c r="E341">
        <f>_xlfn.XLOOKUP(C341,products!A:A,products!D:D)</f>
        <v>1048</v>
      </c>
      <c r="F341">
        <f t="shared" si="10"/>
        <v>4192</v>
      </c>
      <c r="G341">
        <f>D341*(E341-_xlfn.XLOOKUP(C341,products!A:A,products!E:E))</f>
        <v>1634.88</v>
      </c>
      <c r="H341" s="6" t="str">
        <f>_xlfn.XLOOKUP(C341,products!A:A,products!C:C)</f>
        <v>Electronics</v>
      </c>
      <c r="I341" s="6" t="str">
        <f>_xlfn.XLOOKUP(C341,products!A:A,products!B:B)</f>
        <v>Smart Watch</v>
      </c>
      <c r="J341" s="6">
        <f>_xlfn.XLOOKUP(B341,orders!A:A,orders!C:C)</f>
        <v>45800</v>
      </c>
      <c r="K341" s="6" t="str">
        <f t="shared" si="11"/>
        <v>May-2025</v>
      </c>
      <c r="L341" s="6">
        <f>_xlfn.XLOOKUP(B341,orders!A:A,orders!B:B)</f>
        <v>254</v>
      </c>
      <c r="M341" s="6" t="str">
        <f>_xlfn.XLOOKUP("C"&amp;TEXT(L341,"000"),customers!A:A,customers!B:B,"Not Found")</f>
        <v>Ravi U.</v>
      </c>
    </row>
    <row r="342" spans="1:13">
      <c r="A342">
        <v>341</v>
      </c>
      <c r="B342">
        <v>271</v>
      </c>
      <c r="C342">
        <v>48</v>
      </c>
      <c r="D342" s="4">
        <v>4</v>
      </c>
      <c r="E342">
        <f>_xlfn.XLOOKUP(C342,products!A:A,products!D:D)</f>
        <v>7076</v>
      </c>
      <c r="F342">
        <f t="shared" si="10"/>
        <v>28304</v>
      </c>
      <c r="G342">
        <f>D342*(E342-_xlfn.XLOOKUP(C342,products!A:A,products!E:E))</f>
        <v>9340.32</v>
      </c>
      <c r="H342" s="6" t="str">
        <f>_xlfn.XLOOKUP(C342,products!A:A,products!C:C)</f>
        <v>Toys</v>
      </c>
      <c r="I342" s="6" t="str">
        <f>_xlfn.XLOOKUP(C342,products!A:A,products!B:B)</f>
        <v>Board Game</v>
      </c>
      <c r="J342" s="6">
        <f>_xlfn.XLOOKUP(B342,orders!A:A,orders!C:C)</f>
        <v>45803</v>
      </c>
      <c r="K342" s="6" t="str">
        <f t="shared" si="11"/>
        <v>May-2025</v>
      </c>
      <c r="L342" s="6">
        <f>_xlfn.XLOOKUP(B342,orders!A:A,orders!B:B)</f>
        <v>291</v>
      </c>
      <c r="M342" s="6" t="str">
        <f>_xlfn.XLOOKUP("C"&amp;TEXT(L342,"000"),customers!A:A,customers!B:B,"Not Found")</f>
        <v>Vikram O.</v>
      </c>
    </row>
    <row r="343" spans="1:13">
      <c r="A343">
        <v>342</v>
      </c>
      <c r="B343">
        <v>271</v>
      </c>
      <c r="C343">
        <v>11</v>
      </c>
      <c r="D343" s="4">
        <v>1</v>
      </c>
      <c r="E343">
        <f>_xlfn.XLOOKUP(C343,products!A:A,products!D:D)</f>
        <v>2007</v>
      </c>
      <c r="F343">
        <f t="shared" si="10"/>
        <v>2007</v>
      </c>
      <c r="G343">
        <f>D343*(E343-_xlfn.XLOOKUP(C343,products!A:A,products!E:E))</f>
        <v>873.04</v>
      </c>
      <c r="H343" s="6" t="str">
        <f>_xlfn.XLOOKUP(C343,products!A:A,products!C:C)</f>
        <v>Fashion</v>
      </c>
      <c r="I343" s="6" t="str">
        <f>_xlfn.XLOOKUP(C343,products!A:A,products!B:B)</f>
        <v>T-Shirt</v>
      </c>
      <c r="J343" s="6">
        <f>_xlfn.XLOOKUP(B343,orders!A:A,orders!C:C)</f>
        <v>45803</v>
      </c>
      <c r="K343" s="6" t="str">
        <f t="shared" si="11"/>
        <v>May-2025</v>
      </c>
      <c r="L343" s="6">
        <f>_xlfn.XLOOKUP(B343,orders!A:A,orders!B:B)</f>
        <v>291</v>
      </c>
      <c r="M343" s="6" t="str">
        <f>_xlfn.XLOOKUP("C"&amp;TEXT(L343,"000"),customers!A:A,customers!B:B,"Not Found")</f>
        <v>Vikram O.</v>
      </c>
    </row>
    <row r="344" spans="1:13">
      <c r="A344">
        <v>343</v>
      </c>
      <c r="B344">
        <v>272</v>
      </c>
      <c r="C344">
        <v>5</v>
      </c>
      <c r="D344" s="4">
        <v>1</v>
      </c>
      <c r="E344">
        <f>_xlfn.XLOOKUP(C344,products!A:A,products!D:D)</f>
        <v>1185</v>
      </c>
      <c r="F344">
        <f t="shared" si="10"/>
        <v>1185</v>
      </c>
      <c r="G344">
        <f>D344*(E344-_xlfn.XLOOKUP(C344,products!A:A,products!E:E))</f>
        <v>444.38</v>
      </c>
      <c r="H344" s="6" t="str">
        <f>_xlfn.XLOOKUP(C344,products!A:A,products!C:C)</f>
        <v>Electronics</v>
      </c>
      <c r="I344" s="6" t="str">
        <f>_xlfn.XLOOKUP(C344,products!A:A,products!B:B)</f>
        <v>Keyboard</v>
      </c>
      <c r="J344" s="6">
        <f>_xlfn.XLOOKUP(B344,orders!A:A,orders!C:C)</f>
        <v>45806</v>
      </c>
      <c r="K344" s="6" t="str">
        <f t="shared" si="11"/>
        <v>May-2025</v>
      </c>
      <c r="L344" s="6">
        <f>_xlfn.XLOOKUP(B344,orders!A:A,orders!B:B)</f>
        <v>328</v>
      </c>
      <c r="M344" s="6" t="str">
        <f>_xlfn.XLOOKUP("C"&amp;TEXT(L344,"000"),customers!A:A,customers!B:B,"Not Found")</f>
        <v>Vikram X.</v>
      </c>
    </row>
    <row r="345" spans="1:13">
      <c r="A345">
        <v>344</v>
      </c>
      <c r="B345">
        <v>272</v>
      </c>
      <c r="C345">
        <v>18</v>
      </c>
      <c r="D345" s="4">
        <v>2</v>
      </c>
      <c r="E345">
        <f>_xlfn.XLOOKUP(C345,products!A:A,products!D:D)</f>
        <v>2966</v>
      </c>
      <c r="F345">
        <f t="shared" si="10"/>
        <v>5932</v>
      </c>
      <c r="G345">
        <f>D345*(E345-_xlfn.XLOOKUP(C345,products!A:A,products!E:E))</f>
        <v>1957.56</v>
      </c>
      <c r="H345" s="6" t="str">
        <f>_xlfn.XLOOKUP(C345,products!A:A,products!C:C)</f>
        <v>Fashion</v>
      </c>
      <c r="I345" s="6" t="str">
        <f>_xlfn.XLOOKUP(C345,products!A:A,products!B:B)</f>
        <v>Backpack</v>
      </c>
      <c r="J345" s="6">
        <f>_xlfn.XLOOKUP(B345,orders!A:A,orders!C:C)</f>
        <v>45806</v>
      </c>
      <c r="K345" s="6" t="str">
        <f t="shared" si="11"/>
        <v>May-2025</v>
      </c>
      <c r="L345" s="6">
        <f>_xlfn.XLOOKUP(B345,orders!A:A,orders!B:B)</f>
        <v>328</v>
      </c>
      <c r="M345" s="6" t="str">
        <f>_xlfn.XLOOKUP("C"&amp;TEXT(L345,"000"),customers!A:A,customers!B:B,"Not Found")</f>
        <v>Vikram X.</v>
      </c>
    </row>
    <row r="346" spans="1:13">
      <c r="A346">
        <v>345</v>
      </c>
      <c r="B346">
        <v>273</v>
      </c>
      <c r="C346">
        <v>12</v>
      </c>
      <c r="D346" s="4">
        <v>2</v>
      </c>
      <c r="E346">
        <f>_xlfn.XLOOKUP(C346,products!A:A,products!D:D)</f>
        <v>2144</v>
      </c>
      <c r="F346">
        <f t="shared" si="10"/>
        <v>4288</v>
      </c>
      <c r="G346">
        <f>D346*(E346-_xlfn.XLOOKUP(C346,products!A:A,products!E:E))</f>
        <v>1800.96</v>
      </c>
      <c r="H346" s="6" t="str">
        <f>_xlfn.XLOOKUP(C346,products!A:A,products!C:C)</f>
        <v>Fashion</v>
      </c>
      <c r="I346" s="6" t="str">
        <f>_xlfn.XLOOKUP(C346,products!A:A,products!B:B)</f>
        <v>Jeans</v>
      </c>
      <c r="J346" s="6">
        <f>_xlfn.XLOOKUP(B346,orders!A:A,orders!C:C)</f>
        <v>45809</v>
      </c>
      <c r="K346" s="6" t="str">
        <f t="shared" si="11"/>
        <v>Jun-2025</v>
      </c>
      <c r="L346" s="6">
        <f>_xlfn.XLOOKUP(B346,orders!A:A,orders!B:B)</f>
        <v>365</v>
      </c>
      <c r="M346" s="6" t="str">
        <f>_xlfn.XLOOKUP("C"&amp;TEXT(L346,"000"),customers!A:A,customers!B:B,"Not Found")</f>
        <v>Vikram X.</v>
      </c>
    </row>
    <row r="347" spans="1:13">
      <c r="A347">
        <v>346</v>
      </c>
      <c r="B347">
        <v>273</v>
      </c>
      <c r="C347">
        <v>25</v>
      </c>
      <c r="D347" s="4">
        <v>3</v>
      </c>
      <c r="E347">
        <f>_xlfn.XLOOKUP(C347,products!A:A,products!D:D)</f>
        <v>3925</v>
      </c>
      <c r="F347">
        <f t="shared" si="10"/>
        <v>11775</v>
      </c>
      <c r="G347">
        <f>D347*(E347-_xlfn.XLOOKUP(C347,products!A:A,products!E:E))</f>
        <v>4415.6400000000003</v>
      </c>
      <c r="H347" s="6" t="str">
        <f>_xlfn.XLOOKUP(C347,products!A:A,products!C:C)</f>
        <v>Home Appliances</v>
      </c>
      <c r="I347" s="6" t="str">
        <f>_xlfn.XLOOKUP(C347,products!A:A,products!B:B)</f>
        <v>Vacuum Cleaner</v>
      </c>
      <c r="J347" s="6">
        <f>_xlfn.XLOOKUP(B347,orders!A:A,orders!C:C)</f>
        <v>45809</v>
      </c>
      <c r="K347" s="6" t="str">
        <f t="shared" si="11"/>
        <v>Jun-2025</v>
      </c>
      <c r="L347" s="6">
        <f>_xlfn.XLOOKUP(B347,orders!A:A,orders!B:B)</f>
        <v>365</v>
      </c>
      <c r="M347" s="6" t="str">
        <f>_xlfn.XLOOKUP("C"&amp;TEXT(L347,"000"),customers!A:A,customers!B:B,"Not Found")</f>
        <v>Vikram X.</v>
      </c>
    </row>
    <row r="348" spans="1:13">
      <c r="A348">
        <v>347</v>
      </c>
      <c r="B348">
        <v>274</v>
      </c>
      <c r="C348">
        <v>19</v>
      </c>
      <c r="D348" s="4">
        <v>3</v>
      </c>
      <c r="E348">
        <f>_xlfn.XLOOKUP(C348,products!A:A,products!D:D)</f>
        <v>3103</v>
      </c>
      <c r="F348">
        <f t="shared" si="10"/>
        <v>9309</v>
      </c>
      <c r="G348">
        <f>D348*(E348-_xlfn.XLOOKUP(C348,products!A:A,products!E:E))</f>
        <v>2932.32</v>
      </c>
      <c r="H348" s="6" t="str">
        <f>_xlfn.XLOOKUP(C348,products!A:A,products!C:C)</f>
        <v>Fashion</v>
      </c>
      <c r="I348" s="6" t="str">
        <f>_xlfn.XLOOKUP(C348,products!A:A,products!B:B)</f>
        <v>Wallet</v>
      </c>
      <c r="J348" s="6">
        <f>_xlfn.XLOOKUP(B348,orders!A:A,orders!C:C)</f>
        <v>45812</v>
      </c>
      <c r="K348" s="6" t="str">
        <f t="shared" si="11"/>
        <v>Jun-2025</v>
      </c>
      <c r="L348" s="6">
        <f>_xlfn.XLOOKUP(B348,orders!A:A,orders!B:B)</f>
        <v>402</v>
      </c>
      <c r="M348" s="6" t="str">
        <f>_xlfn.XLOOKUP("C"&amp;TEXT(L348,"000"),customers!A:A,customers!B:B,"Not Found")</f>
        <v>Lakshmi U.</v>
      </c>
    </row>
    <row r="349" spans="1:13">
      <c r="A349">
        <v>348</v>
      </c>
      <c r="B349">
        <v>274</v>
      </c>
      <c r="C349">
        <v>32</v>
      </c>
      <c r="D349" s="4">
        <v>4</v>
      </c>
      <c r="E349">
        <f>_xlfn.XLOOKUP(C349,products!A:A,products!D:D)</f>
        <v>4884</v>
      </c>
      <c r="F349">
        <f t="shared" si="10"/>
        <v>19536</v>
      </c>
      <c r="G349">
        <f>D349*(E349-_xlfn.XLOOKUP(C349,products!A:A,products!E:E))</f>
        <v>8205.1200000000008</v>
      </c>
      <c r="H349" s="6" t="str">
        <f>_xlfn.XLOOKUP(C349,products!A:A,products!C:C)</f>
        <v>Books</v>
      </c>
      <c r="I349" s="6" t="str">
        <f>_xlfn.XLOOKUP(C349,products!A:A,products!B:B)</f>
        <v>Notebook</v>
      </c>
      <c r="J349" s="6">
        <f>_xlfn.XLOOKUP(B349,orders!A:A,orders!C:C)</f>
        <v>45812</v>
      </c>
      <c r="K349" s="6" t="str">
        <f t="shared" si="11"/>
        <v>Jun-2025</v>
      </c>
      <c r="L349" s="6">
        <f>_xlfn.XLOOKUP(B349,orders!A:A,orders!B:B)</f>
        <v>402</v>
      </c>
      <c r="M349" s="6" t="str">
        <f>_xlfn.XLOOKUP("C"&amp;TEXT(L349,"000"),customers!A:A,customers!B:B,"Not Found")</f>
        <v>Lakshmi U.</v>
      </c>
    </row>
    <row r="350" spans="1:13">
      <c r="A350">
        <v>349</v>
      </c>
      <c r="B350">
        <v>275</v>
      </c>
      <c r="C350">
        <v>26</v>
      </c>
      <c r="D350" s="4">
        <v>4</v>
      </c>
      <c r="E350">
        <f>_xlfn.XLOOKUP(C350,products!A:A,products!D:D)</f>
        <v>4062</v>
      </c>
      <c r="F350">
        <f t="shared" si="10"/>
        <v>16248</v>
      </c>
      <c r="G350">
        <f>D350*(E350-_xlfn.XLOOKUP(C350,products!A:A,products!E:E))</f>
        <v>5849.2800000000007</v>
      </c>
      <c r="H350" s="6" t="str">
        <f>_xlfn.XLOOKUP(C350,products!A:A,products!C:C)</f>
        <v>Home &amp; Kitchen</v>
      </c>
      <c r="I350" s="6" t="str">
        <f>_xlfn.XLOOKUP(C350,products!A:A,products!B:B)</f>
        <v>Bedsheet</v>
      </c>
      <c r="J350" s="6">
        <f>_xlfn.XLOOKUP(B350,orders!A:A,orders!C:C)</f>
        <v>45815</v>
      </c>
      <c r="K350" s="6" t="str">
        <f t="shared" si="11"/>
        <v>Jun-2025</v>
      </c>
      <c r="L350" s="6">
        <f>_xlfn.XLOOKUP(B350,orders!A:A,orders!B:B)</f>
        <v>439</v>
      </c>
      <c r="M350" s="6" t="str">
        <f>_xlfn.XLOOKUP("C"&amp;TEXT(L350,"000"),customers!A:A,customers!B:B,"Not Found")</f>
        <v>Rahul L.</v>
      </c>
    </row>
    <row r="351" spans="1:13">
      <c r="A351">
        <v>350</v>
      </c>
      <c r="B351">
        <v>275</v>
      </c>
      <c r="C351">
        <v>39</v>
      </c>
      <c r="D351" s="4">
        <v>1</v>
      </c>
      <c r="E351">
        <f>_xlfn.XLOOKUP(C351,products!A:A,products!D:D)</f>
        <v>5843</v>
      </c>
      <c r="F351">
        <f t="shared" si="10"/>
        <v>5843</v>
      </c>
      <c r="G351">
        <f>D351*(E351-_xlfn.XLOOKUP(C351,products!A:A,products!E:E))</f>
        <v>1840.54</v>
      </c>
      <c r="H351" s="6" t="str">
        <f>_xlfn.XLOOKUP(C351,products!A:A,products!C:C)</f>
        <v>Sports</v>
      </c>
      <c r="I351" s="6" t="str">
        <f>_xlfn.XLOOKUP(C351,products!A:A,products!B:B)</f>
        <v>Yoga Mat</v>
      </c>
      <c r="J351" s="6">
        <f>_xlfn.XLOOKUP(B351,orders!A:A,orders!C:C)</f>
        <v>45815</v>
      </c>
      <c r="K351" s="6" t="str">
        <f t="shared" si="11"/>
        <v>Jun-2025</v>
      </c>
      <c r="L351" s="6">
        <f>_xlfn.XLOOKUP(B351,orders!A:A,orders!B:B)</f>
        <v>439</v>
      </c>
      <c r="M351" s="6" t="str">
        <f>_xlfn.XLOOKUP("C"&amp;TEXT(L351,"000"),customers!A:A,customers!B:B,"Not Found")</f>
        <v>Rahul L.</v>
      </c>
    </row>
    <row r="352" spans="1:13">
      <c r="A352">
        <v>351</v>
      </c>
      <c r="B352">
        <v>276</v>
      </c>
      <c r="C352">
        <v>33</v>
      </c>
      <c r="D352" s="4">
        <v>1</v>
      </c>
      <c r="E352">
        <f>_xlfn.XLOOKUP(C352,products!A:A,products!D:D)</f>
        <v>5021</v>
      </c>
      <c r="F352">
        <f t="shared" si="10"/>
        <v>5021</v>
      </c>
      <c r="G352">
        <f>D352*(E352-_xlfn.XLOOKUP(C352,products!A:A,products!E:E))</f>
        <v>2033.5</v>
      </c>
      <c r="H352" s="6" t="str">
        <f>_xlfn.XLOOKUP(C352,products!A:A,products!C:C)</f>
        <v>Books</v>
      </c>
      <c r="I352" s="6" t="str">
        <f>_xlfn.XLOOKUP(C352,products!A:A,products!B:B)</f>
        <v>Pen Set</v>
      </c>
      <c r="J352" s="6">
        <f>_xlfn.XLOOKUP(B352,orders!A:A,orders!C:C)</f>
        <v>45818</v>
      </c>
      <c r="K352" s="6" t="str">
        <f t="shared" si="11"/>
        <v>Jun-2025</v>
      </c>
      <c r="L352" s="6">
        <f>_xlfn.XLOOKUP(B352,orders!A:A,orders!B:B)</f>
        <v>476</v>
      </c>
      <c r="M352" s="6" t="str">
        <f>_xlfn.XLOOKUP("C"&amp;TEXT(L352,"000"),customers!A:A,customers!B:B,"Not Found")</f>
        <v>Vikram K.</v>
      </c>
    </row>
    <row r="353" spans="1:13">
      <c r="A353">
        <v>352</v>
      </c>
      <c r="B353">
        <v>276</v>
      </c>
      <c r="C353">
        <v>46</v>
      </c>
      <c r="D353" s="4">
        <v>2</v>
      </c>
      <c r="E353">
        <f>_xlfn.XLOOKUP(C353,products!A:A,products!D:D)</f>
        <v>6802</v>
      </c>
      <c r="F353">
        <f t="shared" si="10"/>
        <v>13604</v>
      </c>
      <c r="G353">
        <f>D353*(E353-_xlfn.XLOOKUP(C353,products!A:A,products!E:E))</f>
        <v>4897.4400000000005</v>
      </c>
      <c r="H353" s="6" t="str">
        <f>_xlfn.XLOOKUP(C353,products!A:A,products!C:C)</f>
        <v>Toys</v>
      </c>
      <c r="I353" s="6" t="str">
        <f>_xlfn.XLOOKUP(C353,products!A:A,products!B:B)</f>
        <v>Toys Car</v>
      </c>
      <c r="J353" s="6">
        <f>_xlfn.XLOOKUP(B353,orders!A:A,orders!C:C)</f>
        <v>45818</v>
      </c>
      <c r="K353" s="6" t="str">
        <f t="shared" si="11"/>
        <v>Jun-2025</v>
      </c>
      <c r="L353" s="6">
        <f>_xlfn.XLOOKUP(B353,orders!A:A,orders!B:B)</f>
        <v>476</v>
      </c>
      <c r="M353" s="6" t="str">
        <f>_xlfn.XLOOKUP("C"&amp;TEXT(L353,"000"),customers!A:A,customers!B:B,"Not Found")</f>
        <v>Vikram K.</v>
      </c>
    </row>
    <row r="354" spans="1:13">
      <c r="A354">
        <v>353</v>
      </c>
      <c r="B354">
        <v>277</v>
      </c>
      <c r="C354">
        <v>40</v>
      </c>
      <c r="D354" s="4">
        <v>2</v>
      </c>
      <c r="E354">
        <f>_xlfn.XLOOKUP(C354,products!A:A,products!D:D)</f>
        <v>5980</v>
      </c>
      <c r="F354">
        <f t="shared" si="10"/>
        <v>11960</v>
      </c>
      <c r="G354">
        <f>D354*(E354-_xlfn.XLOOKUP(C354,products!A:A,products!E:E))</f>
        <v>5382</v>
      </c>
      <c r="H354" s="6" t="str">
        <f>_xlfn.XLOOKUP(C354,products!A:A,products!C:C)</f>
        <v>Sports</v>
      </c>
      <c r="I354" s="6" t="str">
        <f>_xlfn.XLOOKUP(C354,products!A:A,products!B:B)</f>
        <v>Dumbbells</v>
      </c>
      <c r="J354" s="6">
        <f>_xlfn.XLOOKUP(B354,orders!A:A,orders!C:C)</f>
        <v>45821</v>
      </c>
      <c r="K354" s="6" t="str">
        <f t="shared" si="11"/>
        <v>Jun-2025</v>
      </c>
      <c r="L354" s="6">
        <f>_xlfn.XLOOKUP(B354,orders!A:A,orders!B:B)</f>
        <v>13</v>
      </c>
      <c r="M354" s="6" t="str">
        <f>_xlfn.XLOOKUP("C"&amp;TEXT(L354,"000"),customers!A:A,customers!B:B,"Not Found")</f>
        <v>Divya C.</v>
      </c>
    </row>
    <row r="355" spans="1:13">
      <c r="A355">
        <v>354</v>
      </c>
      <c r="B355">
        <v>277</v>
      </c>
      <c r="C355">
        <v>3</v>
      </c>
      <c r="D355" s="4">
        <v>3</v>
      </c>
      <c r="E355">
        <f>_xlfn.XLOOKUP(C355,products!A:A,products!D:D)</f>
        <v>911</v>
      </c>
      <c r="F355">
        <f t="shared" si="10"/>
        <v>2733</v>
      </c>
      <c r="G355">
        <f>D355*(E355-_xlfn.XLOOKUP(C355,products!A:A,products!E:E))</f>
        <v>1106.8500000000001</v>
      </c>
      <c r="H355" s="6" t="str">
        <f>_xlfn.XLOOKUP(C355,products!A:A,products!C:C)</f>
        <v>Electronics</v>
      </c>
      <c r="I355" s="6" t="str">
        <f>_xlfn.XLOOKUP(C355,products!A:A,products!B:B)</f>
        <v>Headphones</v>
      </c>
      <c r="J355" s="6">
        <f>_xlfn.XLOOKUP(B355,orders!A:A,orders!C:C)</f>
        <v>45821</v>
      </c>
      <c r="K355" s="6" t="str">
        <f t="shared" si="11"/>
        <v>Jun-2025</v>
      </c>
      <c r="L355" s="6">
        <f>_xlfn.XLOOKUP(B355,orders!A:A,orders!B:B)</f>
        <v>13</v>
      </c>
      <c r="M355" s="6" t="str">
        <f>_xlfn.XLOOKUP("C"&amp;TEXT(L355,"000"),customers!A:A,customers!B:B,"Not Found")</f>
        <v>Divya C.</v>
      </c>
    </row>
    <row r="356" spans="1:13">
      <c r="A356">
        <v>355</v>
      </c>
      <c r="B356">
        <v>278</v>
      </c>
      <c r="C356">
        <v>47</v>
      </c>
      <c r="D356" s="4">
        <v>3</v>
      </c>
      <c r="E356">
        <f>_xlfn.XLOOKUP(C356,products!A:A,products!D:D)</f>
        <v>6939</v>
      </c>
      <c r="F356">
        <f t="shared" si="10"/>
        <v>20817</v>
      </c>
      <c r="G356">
        <f>D356*(E356-_xlfn.XLOOKUP(C356,products!A:A,products!E:E))</f>
        <v>7181.8499999999995</v>
      </c>
      <c r="H356" s="6" t="str">
        <f>_xlfn.XLOOKUP(C356,products!A:A,products!C:C)</f>
        <v>Toys</v>
      </c>
      <c r="I356" s="6" t="str">
        <f>_xlfn.XLOOKUP(C356,products!A:A,products!B:B)</f>
        <v>Puzzle</v>
      </c>
      <c r="J356" s="6">
        <f>_xlfn.XLOOKUP(B356,orders!A:A,orders!C:C)</f>
        <v>45824</v>
      </c>
      <c r="K356" s="6" t="str">
        <f t="shared" si="11"/>
        <v>Jun-2025</v>
      </c>
      <c r="L356" s="6">
        <f>_xlfn.XLOOKUP(B356,orders!A:A,orders!B:B)</f>
        <v>50</v>
      </c>
      <c r="M356" s="6" t="str">
        <f>_xlfn.XLOOKUP("C"&amp;TEXT(L356,"000"),customers!A:A,customers!B:B,"Not Found")</f>
        <v>Kavya F.</v>
      </c>
    </row>
    <row r="357" spans="1:13">
      <c r="A357">
        <v>356</v>
      </c>
      <c r="B357">
        <v>278</v>
      </c>
      <c r="C357">
        <v>10</v>
      </c>
      <c r="D357" s="4">
        <v>4</v>
      </c>
      <c r="E357">
        <f>_xlfn.XLOOKUP(C357,products!A:A,products!D:D)</f>
        <v>1870</v>
      </c>
      <c r="F357">
        <f t="shared" si="10"/>
        <v>7480</v>
      </c>
      <c r="G357">
        <f>D357*(E357-_xlfn.XLOOKUP(C357,products!A:A,products!E:E))</f>
        <v>3366</v>
      </c>
      <c r="H357" s="6" t="str">
        <f>_xlfn.XLOOKUP(C357,products!A:A,products!C:C)</f>
        <v>Electronics</v>
      </c>
      <c r="I357" s="6" t="str">
        <f>_xlfn.XLOOKUP(C357,products!A:A,products!B:B)</f>
        <v>Earbuds</v>
      </c>
      <c r="J357" s="6">
        <f>_xlfn.XLOOKUP(B357,orders!A:A,orders!C:C)</f>
        <v>45824</v>
      </c>
      <c r="K357" s="6" t="str">
        <f t="shared" si="11"/>
        <v>Jun-2025</v>
      </c>
      <c r="L357" s="6">
        <f>_xlfn.XLOOKUP(B357,orders!A:A,orders!B:B)</f>
        <v>50</v>
      </c>
      <c r="M357" s="6" t="str">
        <f>_xlfn.XLOOKUP("C"&amp;TEXT(L357,"000"),customers!A:A,customers!B:B,"Not Found")</f>
        <v>Kavya F.</v>
      </c>
    </row>
    <row r="358" spans="1:13">
      <c r="A358">
        <v>357</v>
      </c>
      <c r="B358">
        <v>279</v>
      </c>
      <c r="C358">
        <v>4</v>
      </c>
      <c r="D358" s="4">
        <v>4</v>
      </c>
      <c r="E358">
        <f>_xlfn.XLOOKUP(C358,products!A:A,products!D:D)</f>
        <v>1048</v>
      </c>
      <c r="F358">
        <f t="shared" si="10"/>
        <v>4192</v>
      </c>
      <c r="G358">
        <f>D358*(E358-_xlfn.XLOOKUP(C358,products!A:A,products!E:E))</f>
        <v>1634.88</v>
      </c>
      <c r="H358" s="6" t="str">
        <f>_xlfn.XLOOKUP(C358,products!A:A,products!C:C)</f>
        <v>Electronics</v>
      </c>
      <c r="I358" s="6" t="str">
        <f>_xlfn.XLOOKUP(C358,products!A:A,products!B:B)</f>
        <v>Smart Watch</v>
      </c>
      <c r="J358" s="6">
        <f>_xlfn.XLOOKUP(B358,orders!A:A,orders!C:C)</f>
        <v>45827</v>
      </c>
      <c r="K358" s="6" t="str">
        <f t="shared" si="11"/>
        <v>Jun-2025</v>
      </c>
      <c r="L358" s="6">
        <f>_xlfn.XLOOKUP(B358,orders!A:A,orders!B:B)</f>
        <v>87</v>
      </c>
      <c r="M358" s="6" t="str">
        <f>_xlfn.XLOOKUP("C"&amp;TEXT(L358,"000"),customers!A:A,customers!B:B,"Not Found")</f>
        <v>Ravi M.</v>
      </c>
    </row>
    <row r="359" spans="1:13">
      <c r="A359">
        <v>358</v>
      </c>
      <c r="B359">
        <v>279</v>
      </c>
      <c r="C359">
        <v>17</v>
      </c>
      <c r="D359" s="4">
        <v>1</v>
      </c>
      <c r="E359">
        <f>_xlfn.XLOOKUP(C359,products!A:A,products!D:D)</f>
        <v>2829</v>
      </c>
      <c r="F359">
        <f t="shared" si="10"/>
        <v>2829</v>
      </c>
      <c r="G359">
        <f>D359*(E359-_xlfn.XLOOKUP(C359,products!A:A,products!E:E))</f>
        <v>976</v>
      </c>
      <c r="H359" s="6" t="str">
        <f>_xlfn.XLOOKUP(C359,products!A:A,products!C:C)</f>
        <v>Fashion</v>
      </c>
      <c r="I359" s="6" t="str">
        <f>_xlfn.XLOOKUP(C359,products!A:A,products!B:B)</f>
        <v>Dress</v>
      </c>
      <c r="J359" s="6">
        <f>_xlfn.XLOOKUP(B359,orders!A:A,orders!C:C)</f>
        <v>45827</v>
      </c>
      <c r="K359" s="6" t="str">
        <f t="shared" si="11"/>
        <v>Jun-2025</v>
      </c>
      <c r="L359" s="6">
        <f>_xlfn.XLOOKUP(B359,orders!A:A,orders!B:B)</f>
        <v>87</v>
      </c>
      <c r="M359" s="6" t="str">
        <f>_xlfn.XLOOKUP("C"&amp;TEXT(L359,"000"),customers!A:A,customers!B:B,"Not Found")</f>
        <v>Ravi M.</v>
      </c>
    </row>
    <row r="360" spans="1:13">
      <c r="A360">
        <v>359</v>
      </c>
      <c r="B360">
        <v>280</v>
      </c>
      <c r="C360">
        <v>11</v>
      </c>
      <c r="D360" s="4">
        <v>1</v>
      </c>
      <c r="E360">
        <f>_xlfn.XLOOKUP(C360,products!A:A,products!D:D)</f>
        <v>2007</v>
      </c>
      <c r="F360">
        <f t="shared" si="10"/>
        <v>2007</v>
      </c>
      <c r="G360">
        <f>D360*(E360-_xlfn.XLOOKUP(C360,products!A:A,products!E:E))</f>
        <v>873.04</v>
      </c>
      <c r="H360" s="6" t="str">
        <f>_xlfn.XLOOKUP(C360,products!A:A,products!C:C)</f>
        <v>Fashion</v>
      </c>
      <c r="I360" s="6" t="str">
        <f>_xlfn.XLOOKUP(C360,products!A:A,products!B:B)</f>
        <v>T-Shirt</v>
      </c>
      <c r="J360" s="6">
        <f>_xlfn.XLOOKUP(B360,orders!A:A,orders!C:C)</f>
        <v>45830</v>
      </c>
      <c r="K360" s="6" t="str">
        <f t="shared" si="11"/>
        <v>Jun-2025</v>
      </c>
      <c r="L360" s="6">
        <f>_xlfn.XLOOKUP(B360,orders!A:A,orders!B:B)</f>
        <v>124</v>
      </c>
      <c r="M360" s="6" t="str">
        <f>_xlfn.XLOOKUP("C"&amp;TEXT(L360,"000"),customers!A:A,customers!B:B,"Not Found")</f>
        <v>Amit K.</v>
      </c>
    </row>
    <row r="361" spans="1:13">
      <c r="A361">
        <v>360</v>
      </c>
      <c r="B361">
        <v>280</v>
      </c>
      <c r="C361">
        <v>24</v>
      </c>
      <c r="D361" s="4">
        <v>2</v>
      </c>
      <c r="E361">
        <f>_xlfn.XLOOKUP(C361,products!A:A,products!D:D)</f>
        <v>3788</v>
      </c>
      <c r="F361">
        <f t="shared" si="10"/>
        <v>7576</v>
      </c>
      <c r="G361">
        <f>D361*(E361-_xlfn.XLOOKUP(C361,products!A:A,products!E:E))</f>
        <v>2954.6400000000003</v>
      </c>
      <c r="H361" s="6" t="str">
        <f>_xlfn.XLOOKUP(C361,products!A:A,products!C:C)</f>
        <v>Home Appliances</v>
      </c>
      <c r="I361" s="6" t="str">
        <f>_xlfn.XLOOKUP(C361,products!A:A,products!B:B)</f>
        <v>Iron</v>
      </c>
      <c r="J361" s="6">
        <f>_xlfn.XLOOKUP(B361,orders!A:A,orders!C:C)</f>
        <v>45830</v>
      </c>
      <c r="K361" s="6" t="str">
        <f t="shared" si="11"/>
        <v>Jun-2025</v>
      </c>
      <c r="L361" s="6">
        <f>_xlfn.XLOOKUP(B361,orders!A:A,orders!B:B)</f>
        <v>124</v>
      </c>
      <c r="M361" s="6" t="str">
        <f>_xlfn.XLOOKUP("C"&amp;TEXT(L361,"000"),customers!A:A,customers!B:B,"Not Found")</f>
        <v>Amit K.</v>
      </c>
    </row>
    <row r="362" spans="1:13">
      <c r="A362">
        <v>361</v>
      </c>
      <c r="B362">
        <v>281</v>
      </c>
      <c r="C362">
        <v>18</v>
      </c>
      <c r="D362" s="4">
        <v>2</v>
      </c>
      <c r="E362">
        <f>_xlfn.XLOOKUP(C362,products!A:A,products!D:D)</f>
        <v>2966</v>
      </c>
      <c r="F362">
        <f t="shared" si="10"/>
        <v>5932</v>
      </c>
      <c r="G362">
        <f>D362*(E362-_xlfn.XLOOKUP(C362,products!A:A,products!E:E))</f>
        <v>1957.56</v>
      </c>
      <c r="H362" s="6" t="str">
        <f>_xlfn.XLOOKUP(C362,products!A:A,products!C:C)</f>
        <v>Fashion</v>
      </c>
      <c r="I362" s="6" t="str">
        <f>_xlfn.XLOOKUP(C362,products!A:A,products!B:B)</f>
        <v>Backpack</v>
      </c>
      <c r="J362" s="6">
        <f>_xlfn.XLOOKUP(B362,orders!A:A,orders!C:C)</f>
        <v>45833</v>
      </c>
      <c r="K362" s="6" t="str">
        <f t="shared" si="11"/>
        <v>Jun-2025</v>
      </c>
      <c r="L362" s="6">
        <f>_xlfn.XLOOKUP(B362,orders!A:A,orders!B:B)</f>
        <v>161</v>
      </c>
      <c r="M362" s="6" t="str">
        <f>_xlfn.XLOOKUP("C"&amp;TEXT(L362,"000"),customers!A:A,customers!B:B,"Not Found")</f>
        <v>Divya H.</v>
      </c>
    </row>
    <row r="363" spans="1:13">
      <c r="A363">
        <v>362</v>
      </c>
      <c r="B363">
        <v>281</v>
      </c>
      <c r="C363">
        <v>31</v>
      </c>
      <c r="D363" s="4">
        <v>3</v>
      </c>
      <c r="E363">
        <f>_xlfn.XLOOKUP(C363,products!A:A,products!D:D)</f>
        <v>4747</v>
      </c>
      <c r="F363">
        <f t="shared" si="10"/>
        <v>14241</v>
      </c>
      <c r="G363">
        <f>D363*(E363-_xlfn.XLOOKUP(C363,products!A:A,products!E:E))</f>
        <v>6194.82</v>
      </c>
      <c r="H363" s="6" t="str">
        <f>_xlfn.XLOOKUP(C363,products!A:A,products!C:C)</f>
        <v>Books</v>
      </c>
      <c r="I363" s="6" t="str">
        <f>_xlfn.XLOOKUP(C363,products!A:A,products!B:B)</f>
        <v>Book</v>
      </c>
      <c r="J363" s="6">
        <f>_xlfn.XLOOKUP(B363,orders!A:A,orders!C:C)</f>
        <v>45833</v>
      </c>
      <c r="K363" s="6" t="str">
        <f t="shared" si="11"/>
        <v>Jun-2025</v>
      </c>
      <c r="L363" s="6">
        <f>_xlfn.XLOOKUP(B363,orders!A:A,orders!B:B)</f>
        <v>161</v>
      </c>
      <c r="M363" s="6" t="str">
        <f>_xlfn.XLOOKUP("C"&amp;TEXT(L363,"000"),customers!A:A,customers!B:B,"Not Found")</f>
        <v>Divya H.</v>
      </c>
    </row>
    <row r="364" spans="1:13">
      <c r="A364">
        <v>363</v>
      </c>
      <c r="B364">
        <v>282</v>
      </c>
      <c r="C364">
        <v>25</v>
      </c>
      <c r="D364" s="4">
        <v>3</v>
      </c>
      <c r="E364">
        <f>_xlfn.XLOOKUP(C364,products!A:A,products!D:D)</f>
        <v>3925</v>
      </c>
      <c r="F364">
        <f t="shared" si="10"/>
        <v>11775</v>
      </c>
      <c r="G364">
        <f>D364*(E364-_xlfn.XLOOKUP(C364,products!A:A,products!E:E))</f>
        <v>4415.6400000000003</v>
      </c>
      <c r="H364" s="6" t="str">
        <f>_xlfn.XLOOKUP(C364,products!A:A,products!C:C)</f>
        <v>Home Appliances</v>
      </c>
      <c r="I364" s="6" t="str">
        <f>_xlfn.XLOOKUP(C364,products!A:A,products!B:B)</f>
        <v>Vacuum Cleaner</v>
      </c>
      <c r="J364" s="6">
        <f>_xlfn.XLOOKUP(B364,orders!A:A,orders!C:C)</f>
        <v>45836</v>
      </c>
      <c r="K364" s="6" t="str">
        <f t="shared" si="11"/>
        <v>Jun-2025</v>
      </c>
      <c r="L364" s="6">
        <f>_xlfn.XLOOKUP(B364,orders!A:A,orders!B:B)</f>
        <v>198</v>
      </c>
      <c r="M364" s="6" t="str">
        <f>_xlfn.XLOOKUP("C"&amp;TEXT(L364,"000"),customers!A:A,customers!B:B,"Not Found")</f>
        <v>Divya R.</v>
      </c>
    </row>
    <row r="365" spans="1:13">
      <c r="A365">
        <v>364</v>
      </c>
      <c r="B365">
        <v>282</v>
      </c>
      <c r="C365">
        <v>38</v>
      </c>
      <c r="D365" s="4">
        <v>4</v>
      </c>
      <c r="E365">
        <f>_xlfn.XLOOKUP(C365,products!A:A,products!D:D)</f>
        <v>5706</v>
      </c>
      <c r="F365">
        <f t="shared" si="10"/>
        <v>22824</v>
      </c>
      <c r="G365">
        <f>D365*(E365-_xlfn.XLOOKUP(C365,products!A:A,products!E:E))</f>
        <v>7531.92</v>
      </c>
      <c r="H365" s="6" t="str">
        <f>_xlfn.XLOOKUP(C365,products!A:A,products!C:C)</f>
        <v>Sports</v>
      </c>
      <c r="I365" s="6" t="str">
        <f>_xlfn.XLOOKUP(C365,products!A:A,products!B:B)</f>
        <v>Badminton Racket</v>
      </c>
      <c r="J365" s="6">
        <f>_xlfn.XLOOKUP(B365,orders!A:A,orders!C:C)</f>
        <v>45836</v>
      </c>
      <c r="K365" s="6" t="str">
        <f t="shared" si="11"/>
        <v>Jun-2025</v>
      </c>
      <c r="L365" s="6">
        <f>_xlfn.XLOOKUP(B365,orders!A:A,orders!B:B)</f>
        <v>198</v>
      </c>
      <c r="M365" s="6" t="str">
        <f>_xlfn.XLOOKUP("C"&amp;TEXT(L365,"000"),customers!A:A,customers!B:B,"Not Found")</f>
        <v>Divya R.</v>
      </c>
    </row>
    <row r="366" spans="1:13">
      <c r="A366">
        <v>365</v>
      </c>
      <c r="B366">
        <v>283</v>
      </c>
      <c r="C366">
        <v>32</v>
      </c>
      <c r="D366" s="4">
        <v>4</v>
      </c>
      <c r="E366">
        <f>_xlfn.XLOOKUP(C366,products!A:A,products!D:D)</f>
        <v>4884</v>
      </c>
      <c r="F366">
        <f t="shared" si="10"/>
        <v>19536</v>
      </c>
      <c r="G366">
        <f>D366*(E366-_xlfn.XLOOKUP(C366,products!A:A,products!E:E))</f>
        <v>8205.1200000000008</v>
      </c>
      <c r="H366" s="6" t="str">
        <f>_xlfn.XLOOKUP(C366,products!A:A,products!C:C)</f>
        <v>Books</v>
      </c>
      <c r="I366" s="6" t="str">
        <f>_xlfn.XLOOKUP(C366,products!A:A,products!B:B)</f>
        <v>Notebook</v>
      </c>
      <c r="J366" s="6">
        <f>_xlfn.XLOOKUP(B366,orders!A:A,orders!C:C)</f>
        <v>45839</v>
      </c>
      <c r="K366" s="6" t="str">
        <f t="shared" si="11"/>
        <v>Jul-2025</v>
      </c>
      <c r="L366" s="6">
        <f>_xlfn.XLOOKUP(B366,orders!A:A,orders!B:B)</f>
        <v>235</v>
      </c>
      <c r="M366" s="6" t="str">
        <f>_xlfn.XLOOKUP("C"&amp;TEXT(L366,"000"),customers!A:A,customers!B:B,"Not Found")</f>
        <v>Suresh X.</v>
      </c>
    </row>
    <row r="367" spans="1:13">
      <c r="A367">
        <v>366</v>
      </c>
      <c r="B367">
        <v>283</v>
      </c>
      <c r="C367">
        <v>45</v>
      </c>
      <c r="D367" s="4">
        <v>1</v>
      </c>
      <c r="E367">
        <f>_xlfn.XLOOKUP(C367,products!A:A,products!D:D)</f>
        <v>6665</v>
      </c>
      <c r="F367">
        <f t="shared" si="10"/>
        <v>6665</v>
      </c>
      <c r="G367">
        <f>D367*(E367-_xlfn.XLOOKUP(C367,products!A:A,products!E:E))</f>
        <v>2499.38</v>
      </c>
      <c r="H367" s="6" t="str">
        <f>_xlfn.XLOOKUP(C367,products!A:A,products!C:C)</f>
        <v>Beauty</v>
      </c>
      <c r="I367" s="6" t="str">
        <f>_xlfn.XLOOKUP(C367,products!A:A,products!B:B)</f>
        <v>Sunscreen</v>
      </c>
      <c r="J367" s="6">
        <f>_xlfn.XLOOKUP(B367,orders!A:A,orders!C:C)</f>
        <v>45839</v>
      </c>
      <c r="K367" s="6" t="str">
        <f t="shared" si="11"/>
        <v>Jul-2025</v>
      </c>
      <c r="L367" s="6">
        <f>_xlfn.XLOOKUP(B367,orders!A:A,orders!B:B)</f>
        <v>235</v>
      </c>
      <c r="M367" s="6" t="str">
        <f>_xlfn.XLOOKUP("C"&amp;TEXT(L367,"000"),customers!A:A,customers!B:B,"Not Found")</f>
        <v>Suresh X.</v>
      </c>
    </row>
    <row r="368" spans="1:13">
      <c r="A368">
        <v>367</v>
      </c>
      <c r="B368">
        <v>284</v>
      </c>
      <c r="C368">
        <v>39</v>
      </c>
      <c r="D368" s="4">
        <v>1</v>
      </c>
      <c r="E368">
        <f>_xlfn.XLOOKUP(C368,products!A:A,products!D:D)</f>
        <v>5843</v>
      </c>
      <c r="F368">
        <f t="shared" si="10"/>
        <v>5843</v>
      </c>
      <c r="G368">
        <f>D368*(E368-_xlfn.XLOOKUP(C368,products!A:A,products!E:E))</f>
        <v>1840.54</v>
      </c>
      <c r="H368" s="6" t="str">
        <f>_xlfn.XLOOKUP(C368,products!A:A,products!C:C)</f>
        <v>Sports</v>
      </c>
      <c r="I368" s="6" t="str">
        <f>_xlfn.XLOOKUP(C368,products!A:A,products!B:B)</f>
        <v>Yoga Mat</v>
      </c>
      <c r="J368" s="6">
        <f>_xlfn.XLOOKUP(B368,orders!A:A,orders!C:C)</f>
        <v>45842</v>
      </c>
      <c r="K368" s="6" t="str">
        <f t="shared" si="11"/>
        <v>Jul-2025</v>
      </c>
      <c r="L368" s="6">
        <f>_xlfn.XLOOKUP(B368,orders!A:A,orders!B:B)</f>
        <v>272</v>
      </c>
      <c r="M368" s="6" t="str">
        <f>_xlfn.XLOOKUP("C"&amp;TEXT(L368,"000"),customers!A:A,customers!B:B,"Not Found")</f>
        <v>Rohit H.</v>
      </c>
    </row>
    <row r="369" spans="1:13">
      <c r="A369">
        <v>368</v>
      </c>
      <c r="B369">
        <v>284</v>
      </c>
      <c r="C369">
        <v>2</v>
      </c>
      <c r="D369" s="4">
        <v>2</v>
      </c>
      <c r="E369">
        <f>_xlfn.XLOOKUP(C369,products!A:A,products!D:D)</f>
        <v>774</v>
      </c>
      <c r="F369">
        <f t="shared" si="10"/>
        <v>1548</v>
      </c>
      <c r="G369">
        <f>D369*(E369-_xlfn.XLOOKUP(C369,products!A:A,products!E:E))</f>
        <v>650.16</v>
      </c>
      <c r="H369" s="6" t="str">
        <f>_xlfn.XLOOKUP(C369,products!A:A,products!C:C)</f>
        <v>Electronics</v>
      </c>
      <c r="I369" s="6" t="str">
        <f>_xlfn.XLOOKUP(C369,products!A:A,products!B:B)</f>
        <v>Mobile</v>
      </c>
      <c r="J369" s="6">
        <f>_xlfn.XLOOKUP(B369,orders!A:A,orders!C:C)</f>
        <v>45842</v>
      </c>
      <c r="K369" s="6" t="str">
        <f t="shared" si="11"/>
        <v>Jul-2025</v>
      </c>
      <c r="L369" s="6">
        <f>_xlfn.XLOOKUP(B369,orders!A:A,orders!B:B)</f>
        <v>272</v>
      </c>
      <c r="M369" s="6" t="str">
        <f>_xlfn.XLOOKUP("C"&amp;TEXT(L369,"000"),customers!A:A,customers!B:B,"Not Found")</f>
        <v>Rohit H.</v>
      </c>
    </row>
    <row r="370" spans="1:13">
      <c r="A370">
        <v>369</v>
      </c>
      <c r="B370">
        <v>285</v>
      </c>
      <c r="C370">
        <v>46</v>
      </c>
      <c r="D370" s="4">
        <v>2</v>
      </c>
      <c r="E370">
        <f>_xlfn.XLOOKUP(C370,products!A:A,products!D:D)</f>
        <v>6802</v>
      </c>
      <c r="F370">
        <f t="shared" si="10"/>
        <v>13604</v>
      </c>
      <c r="G370">
        <f>D370*(E370-_xlfn.XLOOKUP(C370,products!A:A,products!E:E))</f>
        <v>4897.4400000000005</v>
      </c>
      <c r="H370" s="6" t="str">
        <f>_xlfn.XLOOKUP(C370,products!A:A,products!C:C)</f>
        <v>Toys</v>
      </c>
      <c r="I370" s="6" t="str">
        <f>_xlfn.XLOOKUP(C370,products!A:A,products!B:B)</f>
        <v>Toys Car</v>
      </c>
      <c r="J370" s="6">
        <f>_xlfn.XLOOKUP(B370,orders!A:A,orders!C:C)</f>
        <v>45845</v>
      </c>
      <c r="K370" s="6" t="str">
        <f t="shared" si="11"/>
        <v>Jul-2025</v>
      </c>
      <c r="L370" s="6">
        <f>_xlfn.XLOOKUP(B370,orders!A:A,orders!B:B)</f>
        <v>309</v>
      </c>
      <c r="M370" s="6" t="str">
        <f>_xlfn.XLOOKUP("C"&amp;TEXT(L370,"000"),customers!A:A,customers!B:B,"Not Found")</f>
        <v>Manoj G.</v>
      </c>
    </row>
    <row r="371" spans="1:13">
      <c r="A371">
        <v>370</v>
      </c>
      <c r="B371">
        <v>285</v>
      </c>
      <c r="C371">
        <v>9</v>
      </c>
      <c r="D371" s="4">
        <v>3</v>
      </c>
      <c r="E371">
        <f>_xlfn.XLOOKUP(C371,products!A:A,products!D:D)</f>
        <v>1733</v>
      </c>
      <c r="F371">
        <f t="shared" si="10"/>
        <v>5199</v>
      </c>
      <c r="G371">
        <f>D371*(E371-_xlfn.XLOOKUP(C371,products!A:A,products!E:E))</f>
        <v>1637.6700000000003</v>
      </c>
      <c r="H371" s="6" t="str">
        <f>_xlfn.XLOOKUP(C371,products!A:A,products!C:C)</f>
        <v>Electronics</v>
      </c>
      <c r="I371" s="6" t="str">
        <f>_xlfn.XLOOKUP(C371,products!A:A,products!B:B)</f>
        <v>Power Bank</v>
      </c>
      <c r="J371" s="6">
        <f>_xlfn.XLOOKUP(B371,orders!A:A,orders!C:C)</f>
        <v>45845</v>
      </c>
      <c r="K371" s="6" t="str">
        <f t="shared" si="11"/>
        <v>Jul-2025</v>
      </c>
      <c r="L371" s="6">
        <f>_xlfn.XLOOKUP(B371,orders!A:A,orders!B:B)</f>
        <v>309</v>
      </c>
      <c r="M371" s="6" t="str">
        <f>_xlfn.XLOOKUP("C"&amp;TEXT(L371,"000"),customers!A:A,customers!B:B,"Not Found")</f>
        <v>Manoj G.</v>
      </c>
    </row>
    <row r="372" spans="1:13">
      <c r="A372">
        <v>371</v>
      </c>
      <c r="B372">
        <v>286</v>
      </c>
      <c r="C372">
        <v>3</v>
      </c>
      <c r="D372" s="4">
        <v>3</v>
      </c>
      <c r="E372">
        <f>_xlfn.XLOOKUP(C372,products!A:A,products!D:D)</f>
        <v>911</v>
      </c>
      <c r="F372">
        <f t="shared" si="10"/>
        <v>2733</v>
      </c>
      <c r="G372">
        <f>D372*(E372-_xlfn.XLOOKUP(C372,products!A:A,products!E:E))</f>
        <v>1106.8500000000001</v>
      </c>
      <c r="H372" s="6" t="str">
        <f>_xlfn.XLOOKUP(C372,products!A:A,products!C:C)</f>
        <v>Electronics</v>
      </c>
      <c r="I372" s="6" t="str">
        <f>_xlfn.XLOOKUP(C372,products!A:A,products!B:B)</f>
        <v>Headphones</v>
      </c>
      <c r="J372" s="6">
        <f>_xlfn.XLOOKUP(B372,orders!A:A,orders!C:C)</f>
        <v>45848</v>
      </c>
      <c r="K372" s="6" t="str">
        <f t="shared" si="11"/>
        <v>Jul-2025</v>
      </c>
      <c r="L372" s="6">
        <f>_xlfn.XLOOKUP(B372,orders!A:A,orders!B:B)</f>
        <v>346</v>
      </c>
      <c r="M372" s="6" t="str">
        <f>_xlfn.XLOOKUP("C"&amp;TEXT(L372,"000"),customers!A:A,customers!B:B,"Not Found")</f>
        <v>Neha R.</v>
      </c>
    </row>
    <row r="373" spans="1:13">
      <c r="A373">
        <v>372</v>
      </c>
      <c r="B373">
        <v>286</v>
      </c>
      <c r="C373">
        <v>16</v>
      </c>
      <c r="D373" s="4">
        <v>4</v>
      </c>
      <c r="E373">
        <f>_xlfn.XLOOKUP(C373,products!A:A,products!D:D)</f>
        <v>2692</v>
      </c>
      <c r="F373">
        <f t="shared" si="10"/>
        <v>10768</v>
      </c>
      <c r="G373">
        <f>D373*(E373-_xlfn.XLOOKUP(C373,products!A:A,products!E:E))</f>
        <v>3876.4799999999996</v>
      </c>
      <c r="H373" s="6" t="str">
        <f>_xlfn.XLOOKUP(C373,products!A:A,products!C:C)</f>
        <v>Fashion</v>
      </c>
      <c r="I373" s="6" t="str">
        <f>_xlfn.XLOOKUP(C373,products!A:A,products!B:B)</f>
        <v>Saree</v>
      </c>
      <c r="J373" s="6">
        <f>_xlfn.XLOOKUP(B373,orders!A:A,orders!C:C)</f>
        <v>45848</v>
      </c>
      <c r="K373" s="6" t="str">
        <f t="shared" si="11"/>
        <v>Jul-2025</v>
      </c>
      <c r="L373" s="6">
        <f>_xlfn.XLOOKUP(B373,orders!A:A,orders!B:B)</f>
        <v>346</v>
      </c>
      <c r="M373" s="6" t="str">
        <f>_xlfn.XLOOKUP("C"&amp;TEXT(L373,"000"),customers!A:A,customers!B:B,"Not Found")</f>
        <v>Neha R.</v>
      </c>
    </row>
    <row r="374" spans="1:13">
      <c r="A374">
        <v>373</v>
      </c>
      <c r="B374">
        <v>287</v>
      </c>
      <c r="C374">
        <v>10</v>
      </c>
      <c r="D374" s="4">
        <v>4</v>
      </c>
      <c r="E374">
        <f>_xlfn.XLOOKUP(C374,products!A:A,products!D:D)</f>
        <v>1870</v>
      </c>
      <c r="F374">
        <f t="shared" si="10"/>
        <v>7480</v>
      </c>
      <c r="G374">
        <f>D374*(E374-_xlfn.XLOOKUP(C374,products!A:A,products!E:E))</f>
        <v>3366</v>
      </c>
      <c r="H374" s="6" t="str">
        <f>_xlfn.XLOOKUP(C374,products!A:A,products!C:C)</f>
        <v>Electronics</v>
      </c>
      <c r="I374" s="6" t="str">
        <f>_xlfn.XLOOKUP(C374,products!A:A,products!B:B)</f>
        <v>Earbuds</v>
      </c>
      <c r="J374" s="6">
        <f>_xlfn.XLOOKUP(B374,orders!A:A,orders!C:C)</f>
        <v>45851</v>
      </c>
      <c r="K374" s="6" t="str">
        <f t="shared" si="11"/>
        <v>Jul-2025</v>
      </c>
      <c r="L374" s="6">
        <f>_xlfn.XLOOKUP(B374,orders!A:A,orders!B:B)</f>
        <v>383</v>
      </c>
      <c r="M374" s="6" t="str">
        <f>_xlfn.XLOOKUP("C"&amp;TEXT(L374,"000"),customers!A:A,customers!B:B,"Not Found")</f>
        <v>Arjun T.</v>
      </c>
    </row>
    <row r="375" spans="1:13">
      <c r="A375">
        <v>374</v>
      </c>
      <c r="B375">
        <v>287</v>
      </c>
      <c r="C375">
        <v>23</v>
      </c>
      <c r="D375" s="4">
        <v>1</v>
      </c>
      <c r="E375">
        <f>_xlfn.XLOOKUP(C375,products!A:A,products!D:D)</f>
        <v>3651</v>
      </c>
      <c r="F375">
        <f t="shared" si="10"/>
        <v>3651</v>
      </c>
      <c r="G375">
        <f>D375*(E375-_xlfn.XLOOKUP(C375,products!A:A,products!E:E))</f>
        <v>1478.65</v>
      </c>
      <c r="H375" s="6" t="str">
        <f>_xlfn.XLOOKUP(C375,products!A:A,products!C:C)</f>
        <v>Home Appliances</v>
      </c>
      <c r="I375" s="6" t="str">
        <f>_xlfn.XLOOKUP(C375,products!A:A,products!B:B)</f>
        <v>Fan</v>
      </c>
      <c r="J375" s="6">
        <f>_xlfn.XLOOKUP(B375,orders!A:A,orders!C:C)</f>
        <v>45851</v>
      </c>
      <c r="K375" s="6" t="str">
        <f t="shared" si="11"/>
        <v>Jul-2025</v>
      </c>
      <c r="L375" s="6">
        <f>_xlfn.XLOOKUP(B375,orders!A:A,orders!B:B)</f>
        <v>383</v>
      </c>
      <c r="M375" s="6" t="str">
        <f>_xlfn.XLOOKUP("C"&amp;TEXT(L375,"000"),customers!A:A,customers!B:B,"Not Found")</f>
        <v>Arjun T.</v>
      </c>
    </row>
    <row r="376" spans="1:13">
      <c r="A376">
        <v>375</v>
      </c>
      <c r="B376">
        <v>288</v>
      </c>
      <c r="C376">
        <v>17</v>
      </c>
      <c r="D376" s="4">
        <v>1</v>
      </c>
      <c r="E376">
        <f>_xlfn.XLOOKUP(C376,products!A:A,products!D:D)</f>
        <v>2829</v>
      </c>
      <c r="F376">
        <f t="shared" si="10"/>
        <v>2829</v>
      </c>
      <c r="G376">
        <f>D376*(E376-_xlfn.XLOOKUP(C376,products!A:A,products!E:E))</f>
        <v>976</v>
      </c>
      <c r="H376" s="6" t="str">
        <f>_xlfn.XLOOKUP(C376,products!A:A,products!C:C)</f>
        <v>Fashion</v>
      </c>
      <c r="I376" s="6" t="str">
        <f>_xlfn.XLOOKUP(C376,products!A:A,products!B:B)</f>
        <v>Dress</v>
      </c>
      <c r="J376" s="6">
        <f>_xlfn.XLOOKUP(B376,orders!A:A,orders!C:C)</f>
        <v>45854</v>
      </c>
      <c r="K376" s="6" t="str">
        <f t="shared" si="11"/>
        <v>Jul-2025</v>
      </c>
      <c r="L376" s="6">
        <f>_xlfn.XLOOKUP(B376,orders!A:A,orders!B:B)</f>
        <v>420</v>
      </c>
      <c r="M376" s="6" t="str">
        <f>_xlfn.XLOOKUP("C"&amp;TEXT(L376,"000"),customers!A:A,customers!B:B,"Not Found")</f>
        <v>Amit T.</v>
      </c>
    </row>
    <row r="377" spans="1:13">
      <c r="A377">
        <v>376</v>
      </c>
      <c r="B377">
        <v>288</v>
      </c>
      <c r="C377">
        <v>30</v>
      </c>
      <c r="D377" s="4">
        <v>2</v>
      </c>
      <c r="E377">
        <f>_xlfn.XLOOKUP(C377,products!A:A,products!D:D)</f>
        <v>4610</v>
      </c>
      <c r="F377">
        <f t="shared" si="10"/>
        <v>9220</v>
      </c>
      <c r="G377">
        <f>D377*(E377-_xlfn.XLOOKUP(C377,products!A:A,products!E:E))</f>
        <v>4149</v>
      </c>
      <c r="H377" s="6" t="str">
        <f>_xlfn.XLOOKUP(C377,products!A:A,products!C:C)</f>
        <v>Furniture</v>
      </c>
      <c r="I377" s="6" t="str">
        <f>_xlfn.XLOOKUP(C377,products!A:A,products!B:B)</f>
        <v>Table</v>
      </c>
      <c r="J377" s="6">
        <f>_xlfn.XLOOKUP(B377,orders!A:A,orders!C:C)</f>
        <v>45854</v>
      </c>
      <c r="K377" s="6" t="str">
        <f t="shared" si="11"/>
        <v>Jul-2025</v>
      </c>
      <c r="L377" s="6">
        <f>_xlfn.XLOOKUP(B377,orders!A:A,orders!B:B)</f>
        <v>420</v>
      </c>
      <c r="M377" s="6" t="str">
        <f>_xlfn.XLOOKUP("C"&amp;TEXT(L377,"000"),customers!A:A,customers!B:B,"Not Found")</f>
        <v>Amit T.</v>
      </c>
    </row>
    <row r="378" spans="1:13">
      <c r="A378">
        <v>377</v>
      </c>
      <c r="B378">
        <v>289</v>
      </c>
      <c r="C378">
        <v>24</v>
      </c>
      <c r="D378" s="4">
        <v>2</v>
      </c>
      <c r="E378">
        <f>_xlfn.XLOOKUP(C378,products!A:A,products!D:D)</f>
        <v>3788</v>
      </c>
      <c r="F378">
        <f t="shared" si="10"/>
        <v>7576</v>
      </c>
      <c r="G378">
        <f>D378*(E378-_xlfn.XLOOKUP(C378,products!A:A,products!E:E))</f>
        <v>2954.6400000000003</v>
      </c>
      <c r="H378" s="6" t="str">
        <f>_xlfn.XLOOKUP(C378,products!A:A,products!C:C)</f>
        <v>Home Appliances</v>
      </c>
      <c r="I378" s="6" t="str">
        <f>_xlfn.XLOOKUP(C378,products!A:A,products!B:B)</f>
        <v>Iron</v>
      </c>
      <c r="J378" s="6">
        <f>_xlfn.XLOOKUP(B378,orders!A:A,orders!C:C)</f>
        <v>45857</v>
      </c>
      <c r="K378" s="6" t="str">
        <f t="shared" si="11"/>
        <v>Jul-2025</v>
      </c>
      <c r="L378" s="6">
        <f>_xlfn.XLOOKUP(B378,orders!A:A,orders!B:B)</f>
        <v>457</v>
      </c>
      <c r="M378" s="6" t="str">
        <f>_xlfn.XLOOKUP("C"&amp;TEXT(L378,"000"),customers!A:A,customers!B:B,"Not Found")</f>
        <v>Lakshmi I.</v>
      </c>
    </row>
    <row r="379" spans="1:13">
      <c r="A379">
        <v>378</v>
      </c>
      <c r="B379">
        <v>289</v>
      </c>
      <c r="C379">
        <v>37</v>
      </c>
      <c r="D379" s="4">
        <v>3</v>
      </c>
      <c r="E379">
        <f>_xlfn.XLOOKUP(C379,products!A:A,products!D:D)</f>
        <v>5569</v>
      </c>
      <c r="F379">
        <f t="shared" si="10"/>
        <v>16707</v>
      </c>
      <c r="G379">
        <f>D379*(E379-_xlfn.XLOOKUP(C379,products!A:A,products!E:E))</f>
        <v>5763.9000000000005</v>
      </c>
      <c r="H379" s="6" t="str">
        <f>_xlfn.XLOOKUP(C379,products!A:A,products!C:C)</f>
        <v>Sports</v>
      </c>
      <c r="I379" s="6" t="str">
        <f>_xlfn.XLOOKUP(C379,products!A:A,products!B:B)</f>
        <v>Football</v>
      </c>
      <c r="J379" s="6">
        <f>_xlfn.XLOOKUP(B379,orders!A:A,orders!C:C)</f>
        <v>45857</v>
      </c>
      <c r="K379" s="6" t="str">
        <f t="shared" si="11"/>
        <v>Jul-2025</v>
      </c>
      <c r="L379" s="6">
        <f>_xlfn.XLOOKUP(B379,orders!A:A,orders!B:B)</f>
        <v>457</v>
      </c>
      <c r="M379" s="6" t="str">
        <f>_xlfn.XLOOKUP("C"&amp;TEXT(L379,"000"),customers!A:A,customers!B:B,"Not Found")</f>
        <v>Lakshmi I.</v>
      </c>
    </row>
    <row r="380" spans="1:13">
      <c r="A380">
        <v>379</v>
      </c>
      <c r="B380">
        <v>290</v>
      </c>
      <c r="C380">
        <v>31</v>
      </c>
      <c r="D380" s="4">
        <v>3</v>
      </c>
      <c r="E380">
        <f>_xlfn.XLOOKUP(C380,products!A:A,products!D:D)</f>
        <v>4747</v>
      </c>
      <c r="F380">
        <f t="shared" si="10"/>
        <v>14241</v>
      </c>
      <c r="G380">
        <f>D380*(E380-_xlfn.XLOOKUP(C380,products!A:A,products!E:E))</f>
        <v>6194.82</v>
      </c>
      <c r="H380" s="6" t="str">
        <f>_xlfn.XLOOKUP(C380,products!A:A,products!C:C)</f>
        <v>Books</v>
      </c>
      <c r="I380" s="6" t="str">
        <f>_xlfn.XLOOKUP(C380,products!A:A,products!B:B)</f>
        <v>Book</v>
      </c>
      <c r="J380" s="6">
        <f>_xlfn.XLOOKUP(B380,orders!A:A,orders!C:C)</f>
        <v>45860</v>
      </c>
      <c r="K380" s="6" t="str">
        <f t="shared" si="11"/>
        <v>Jul-2025</v>
      </c>
      <c r="L380" s="6">
        <f>_xlfn.XLOOKUP(B380,orders!A:A,orders!B:B)</f>
        <v>494</v>
      </c>
      <c r="M380" s="6" t="str">
        <f>_xlfn.XLOOKUP("C"&amp;TEXT(L380,"000"),customers!A:A,customers!B:B,"Not Found")</f>
        <v>Kavya L.</v>
      </c>
    </row>
    <row r="381" spans="1:13">
      <c r="A381">
        <v>380</v>
      </c>
      <c r="B381">
        <v>290</v>
      </c>
      <c r="C381">
        <v>44</v>
      </c>
      <c r="D381" s="4">
        <v>4</v>
      </c>
      <c r="E381">
        <f>_xlfn.XLOOKUP(C381,products!A:A,products!D:D)</f>
        <v>6528</v>
      </c>
      <c r="F381">
        <f t="shared" si="10"/>
        <v>26112</v>
      </c>
      <c r="G381">
        <f>D381*(E381-_xlfn.XLOOKUP(C381,products!A:A,products!E:E))</f>
        <v>10183.68</v>
      </c>
      <c r="H381" s="6" t="str">
        <f>_xlfn.XLOOKUP(C381,products!A:A,products!C:C)</f>
        <v>Beauty</v>
      </c>
      <c r="I381" s="6" t="str">
        <f>_xlfn.XLOOKUP(C381,products!A:A,products!B:B)</f>
        <v>Moisturizer</v>
      </c>
      <c r="J381" s="6">
        <f>_xlfn.XLOOKUP(B381,orders!A:A,orders!C:C)</f>
        <v>45860</v>
      </c>
      <c r="K381" s="6" t="str">
        <f t="shared" si="11"/>
        <v>Jul-2025</v>
      </c>
      <c r="L381" s="6">
        <f>_xlfn.XLOOKUP(B381,orders!A:A,orders!B:B)</f>
        <v>494</v>
      </c>
      <c r="M381" s="6" t="str">
        <f>_xlfn.XLOOKUP("C"&amp;TEXT(L381,"000"),customers!A:A,customers!B:B,"Not Found")</f>
        <v>Kavya L.</v>
      </c>
    </row>
    <row r="382" spans="1:13">
      <c r="A382">
        <v>381</v>
      </c>
      <c r="B382">
        <v>291</v>
      </c>
      <c r="C382">
        <v>38</v>
      </c>
      <c r="D382" s="4">
        <v>4</v>
      </c>
      <c r="E382">
        <f>_xlfn.XLOOKUP(C382,products!A:A,products!D:D)</f>
        <v>5706</v>
      </c>
      <c r="F382">
        <f t="shared" si="10"/>
        <v>22824</v>
      </c>
      <c r="G382">
        <f>D382*(E382-_xlfn.XLOOKUP(C382,products!A:A,products!E:E))</f>
        <v>7531.92</v>
      </c>
      <c r="H382" s="6" t="str">
        <f>_xlfn.XLOOKUP(C382,products!A:A,products!C:C)</f>
        <v>Sports</v>
      </c>
      <c r="I382" s="6" t="str">
        <f>_xlfn.XLOOKUP(C382,products!A:A,products!B:B)</f>
        <v>Badminton Racket</v>
      </c>
      <c r="J382" s="6">
        <f>_xlfn.XLOOKUP(B382,orders!A:A,orders!C:C)</f>
        <v>45863</v>
      </c>
      <c r="K382" s="6" t="str">
        <f t="shared" si="11"/>
        <v>Jul-2025</v>
      </c>
      <c r="L382" s="6">
        <f>_xlfn.XLOOKUP(B382,orders!A:A,orders!B:B)</f>
        <v>31</v>
      </c>
      <c r="M382" s="6" t="str">
        <f>_xlfn.XLOOKUP("C"&amp;TEXT(L382,"000"),customers!A:A,customers!B:B,"Not Found")</f>
        <v>Sneha R.</v>
      </c>
    </row>
    <row r="383" spans="1:13">
      <c r="A383">
        <v>382</v>
      </c>
      <c r="B383">
        <v>291</v>
      </c>
      <c r="C383">
        <v>1</v>
      </c>
      <c r="D383" s="4">
        <v>1</v>
      </c>
      <c r="E383">
        <f>_xlfn.XLOOKUP(C383,products!A:A,products!D:D)</f>
        <v>637</v>
      </c>
      <c r="F383">
        <f t="shared" si="10"/>
        <v>637</v>
      </c>
      <c r="G383">
        <f>D383*(E383-_xlfn.XLOOKUP(C383,products!A:A,products!E:E))</f>
        <v>277.08999999999997</v>
      </c>
      <c r="H383" s="6" t="str">
        <f>_xlfn.XLOOKUP(C383,products!A:A,products!C:C)</f>
        <v>Electronics</v>
      </c>
      <c r="I383" s="6" t="str">
        <f>_xlfn.XLOOKUP(C383,products!A:A,products!B:B)</f>
        <v>Laptop</v>
      </c>
      <c r="J383" s="6">
        <f>_xlfn.XLOOKUP(B383,orders!A:A,orders!C:C)</f>
        <v>45863</v>
      </c>
      <c r="K383" s="6" t="str">
        <f t="shared" si="11"/>
        <v>Jul-2025</v>
      </c>
      <c r="L383" s="6">
        <f>_xlfn.XLOOKUP(B383,orders!A:A,orders!B:B)</f>
        <v>31</v>
      </c>
      <c r="M383" s="6" t="str">
        <f>_xlfn.XLOOKUP("C"&amp;TEXT(L383,"000"),customers!A:A,customers!B:B,"Not Found")</f>
        <v>Sneha R.</v>
      </c>
    </row>
    <row r="384" spans="1:13">
      <c r="A384">
        <v>383</v>
      </c>
      <c r="B384">
        <v>292</v>
      </c>
      <c r="C384">
        <v>45</v>
      </c>
      <c r="D384" s="4">
        <v>1</v>
      </c>
      <c r="E384">
        <f>_xlfn.XLOOKUP(C384,products!A:A,products!D:D)</f>
        <v>6665</v>
      </c>
      <c r="F384">
        <f t="shared" si="10"/>
        <v>6665</v>
      </c>
      <c r="G384">
        <f>D384*(E384-_xlfn.XLOOKUP(C384,products!A:A,products!E:E))</f>
        <v>2499.38</v>
      </c>
      <c r="H384" s="6" t="str">
        <f>_xlfn.XLOOKUP(C384,products!A:A,products!C:C)</f>
        <v>Beauty</v>
      </c>
      <c r="I384" s="6" t="str">
        <f>_xlfn.XLOOKUP(C384,products!A:A,products!B:B)</f>
        <v>Sunscreen</v>
      </c>
      <c r="J384" s="6">
        <f>_xlfn.XLOOKUP(B384,orders!A:A,orders!C:C)</f>
        <v>45866</v>
      </c>
      <c r="K384" s="6" t="str">
        <f t="shared" si="11"/>
        <v>Jul-2025</v>
      </c>
      <c r="L384" s="6">
        <f>_xlfn.XLOOKUP(B384,orders!A:A,orders!B:B)</f>
        <v>68</v>
      </c>
      <c r="M384" s="6" t="str">
        <f>_xlfn.XLOOKUP("C"&amp;TEXT(L384,"000"),customers!A:A,customers!B:B,"Not Found")</f>
        <v>Kiran H.</v>
      </c>
    </row>
    <row r="385" spans="1:13">
      <c r="A385">
        <v>384</v>
      </c>
      <c r="B385">
        <v>292</v>
      </c>
      <c r="C385">
        <v>8</v>
      </c>
      <c r="D385" s="4">
        <v>2</v>
      </c>
      <c r="E385">
        <f>_xlfn.XLOOKUP(C385,products!A:A,products!D:D)</f>
        <v>1596</v>
      </c>
      <c r="F385">
        <f t="shared" si="10"/>
        <v>3192</v>
      </c>
      <c r="G385">
        <f>D385*(E385-_xlfn.XLOOKUP(C385,products!A:A,products!E:E))</f>
        <v>1053.3600000000001</v>
      </c>
      <c r="H385" s="6" t="str">
        <f>_xlfn.XLOOKUP(C385,products!A:A,products!C:C)</f>
        <v>Electronics</v>
      </c>
      <c r="I385" s="6" t="str">
        <f>_xlfn.XLOOKUP(C385,products!A:A,products!B:B)</f>
        <v>Tablet</v>
      </c>
      <c r="J385" s="6">
        <f>_xlfn.XLOOKUP(B385,orders!A:A,orders!C:C)</f>
        <v>45866</v>
      </c>
      <c r="K385" s="6" t="str">
        <f t="shared" si="11"/>
        <v>Jul-2025</v>
      </c>
      <c r="L385" s="6">
        <f>_xlfn.XLOOKUP(B385,orders!A:A,orders!B:B)</f>
        <v>68</v>
      </c>
      <c r="M385" s="6" t="str">
        <f>_xlfn.XLOOKUP("C"&amp;TEXT(L385,"000"),customers!A:A,customers!B:B,"Not Found")</f>
        <v>Kiran H.</v>
      </c>
    </row>
    <row r="386" spans="1:13">
      <c r="A386">
        <v>385</v>
      </c>
      <c r="B386">
        <v>293</v>
      </c>
      <c r="C386">
        <v>2</v>
      </c>
      <c r="D386" s="4">
        <v>2</v>
      </c>
      <c r="E386">
        <f>_xlfn.XLOOKUP(C386,products!A:A,products!D:D)</f>
        <v>774</v>
      </c>
      <c r="F386">
        <f t="shared" ref="F386:F449" si="12">D386*E386</f>
        <v>1548</v>
      </c>
      <c r="G386">
        <f>D386*(E386-_xlfn.XLOOKUP(C386,products!A:A,products!E:E))</f>
        <v>650.16</v>
      </c>
      <c r="H386" s="6" t="str">
        <f>_xlfn.XLOOKUP(C386,products!A:A,products!C:C)</f>
        <v>Electronics</v>
      </c>
      <c r="I386" s="6" t="str">
        <f>_xlfn.XLOOKUP(C386,products!A:A,products!B:B)</f>
        <v>Mobile</v>
      </c>
      <c r="J386" s="6">
        <f>_xlfn.XLOOKUP(B386,orders!A:A,orders!C:C)</f>
        <v>45869</v>
      </c>
      <c r="K386" s="6" t="str">
        <f t="shared" ref="K386:K449" si="13">TEXT(J386,"mmm-yyyy")</f>
        <v>Jul-2025</v>
      </c>
      <c r="L386" s="6">
        <f>_xlfn.XLOOKUP(B386,orders!A:A,orders!B:B)</f>
        <v>105</v>
      </c>
      <c r="M386" s="6" t="str">
        <f>_xlfn.XLOOKUP("C"&amp;TEXT(L386,"000"),customers!A:A,customers!B:B,"Not Found")</f>
        <v>Arjun A.</v>
      </c>
    </row>
    <row r="387" spans="1:13">
      <c r="A387">
        <v>386</v>
      </c>
      <c r="B387">
        <v>293</v>
      </c>
      <c r="C387">
        <v>15</v>
      </c>
      <c r="D387" s="4">
        <v>3</v>
      </c>
      <c r="E387">
        <f>_xlfn.XLOOKUP(C387,products!A:A,products!D:D)</f>
        <v>2555</v>
      </c>
      <c r="F387">
        <f t="shared" si="12"/>
        <v>7665</v>
      </c>
      <c r="G387">
        <f>D387*(E387-_xlfn.XLOOKUP(C387,products!A:A,products!E:E))</f>
        <v>2874.3599999999997</v>
      </c>
      <c r="H387" s="6" t="str">
        <f>_xlfn.XLOOKUP(C387,products!A:A,products!C:C)</f>
        <v>Fashion</v>
      </c>
      <c r="I387" s="6" t="str">
        <f>_xlfn.XLOOKUP(C387,products!A:A,products!B:B)</f>
        <v>Shoes</v>
      </c>
      <c r="J387" s="6">
        <f>_xlfn.XLOOKUP(B387,orders!A:A,orders!C:C)</f>
        <v>45869</v>
      </c>
      <c r="K387" s="6" t="str">
        <f t="shared" si="13"/>
        <v>Jul-2025</v>
      </c>
      <c r="L387" s="6">
        <f>_xlfn.XLOOKUP(B387,orders!A:A,orders!B:B)</f>
        <v>105</v>
      </c>
      <c r="M387" s="6" t="str">
        <f>_xlfn.XLOOKUP("C"&amp;TEXT(L387,"000"),customers!A:A,customers!B:B,"Not Found")</f>
        <v>Arjun A.</v>
      </c>
    </row>
    <row r="388" spans="1:13">
      <c r="A388">
        <v>387</v>
      </c>
      <c r="B388">
        <v>294</v>
      </c>
      <c r="C388">
        <v>9</v>
      </c>
      <c r="D388" s="4">
        <v>3</v>
      </c>
      <c r="E388">
        <f>_xlfn.XLOOKUP(C388,products!A:A,products!D:D)</f>
        <v>1733</v>
      </c>
      <c r="F388">
        <f t="shared" si="12"/>
        <v>5199</v>
      </c>
      <c r="G388">
        <f>D388*(E388-_xlfn.XLOOKUP(C388,products!A:A,products!E:E))</f>
        <v>1637.6700000000003</v>
      </c>
      <c r="H388" s="6" t="str">
        <f>_xlfn.XLOOKUP(C388,products!A:A,products!C:C)</f>
        <v>Electronics</v>
      </c>
      <c r="I388" s="6" t="str">
        <f>_xlfn.XLOOKUP(C388,products!A:A,products!B:B)</f>
        <v>Power Bank</v>
      </c>
      <c r="J388" s="6">
        <f>_xlfn.XLOOKUP(B388,orders!A:A,orders!C:C)</f>
        <v>45872</v>
      </c>
      <c r="K388" s="6" t="str">
        <f t="shared" si="13"/>
        <v>Aug-2025</v>
      </c>
      <c r="L388" s="6">
        <f>_xlfn.XLOOKUP(B388,orders!A:A,orders!B:B)</f>
        <v>142</v>
      </c>
      <c r="M388" s="6" t="str">
        <f>_xlfn.XLOOKUP("C"&amp;TEXT(L388,"000"),customers!A:A,customers!B:B,"Not Found")</f>
        <v>Kavya P.</v>
      </c>
    </row>
    <row r="389" spans="1:13">
      <c r="A389">
        <v>388</v>
      </c>
      <c r="B389">
        <v>294</v>
      </c>
      <c r="C389">
        <v>22</v>
      </c>
      <c r="D389" s="4">
        <v>4</v>
      </c>
      <c r="E389">
        <f>_xlfn.XLOOKUP(C389,products!A:A,products!D:D)</f>
        <v>3514</v>
      </c>
      <c r="F389">
        <f t="shared" si="12"/>
        <v>14056</v>
      </c>
      <c r="G389">
        <f>D389*(E389-_xlfn.XLOOKUP(C389,products!A:A,products!E:E))</f>
        <v>5903.52</v>
      </c>
      <c r="H389" s="6" t="str">
        <f>_xlfn.XLOOKUP(C389,products!A:A,products!C:C)</f>
        <v>Home Appliances</v>
      </c>
      <c r="I389" s="6" t="str">
        <f>_xlfn.XLOOKUP(C389,products!A:A,products!B:B)</f>
        <v>Microwave</v>
      </c>
      <c r="J389" s="6">
        <f>_xlfn.XLOOKUP(B389,orders!A:A,orders!C:C)</f>
        <v>45872</v>
      </c>
      <c r="K389" s="6" t="str">
        <f t="shared" si="13"/>
        <v>Aug-2025</v>
      </c>
      <c r="L389" s="6">
        <f>_xlfn.XLOOKUP(B389,orders!A:A,orders!B:B)</f>
        <v>142</v>
      </c>
      <c r="M389" s="6" t="str">
        <f>_xlfn.XLOOKUP("C"&amp;TEXT(L389,"000"),customers!A:A,customers!B:B,"Not Found")</f>
        <v>Kavya P.</v>
      </c>
    </row>
    <row r="390" spans="1:13">
      <c r="A390">
        <v>389</v>
      </c>
      <c r="B390">
        <v>295</v>
      </c>
      <c r="C390">
        <v>16</v>
      </c>
      <c r="D390" s="4">
        <v>4</v>
      </c>
      <c r="E390">
        <f>_xlfn.XLOOKUP(C390,products!A:A,products!D:D)</f>
        <v>2692</v>
      </c>
      <c r="F390">
        <f t="shared" si="12"/>
        <v>10768</v>
      </c>
      <c r="G390">
        <f>D390*(E390-_xlfn.XLOOKUP(C390,products!A:A,products!E:E))</f>
        <v>3876.4799999999996</v>
      </c>
      <c r="H390" s="6" t="str">
        <f>_xlfn.XLOOKUP(C390,products!A:A,products!C:C)</f>
        <v>Fashion</v>
      </c>
      <c r="I390" s="6" t="str">
        <f>_xlfn.XLOOKUP(C390,products!A:A,products!B:B)</f>
        <v>Saree</v>
      </c>
      <c r="J390" s="6">
        <f>_xlfn.XLOOKUP(B390,orders!A:A,orders!C:C)</f>
        <v>45875</v>
      </c>
      <c r="K390" s="6" t="str">
        <f t="shared" si="13"/>
        <v>Aug-2025</v>
      </c>
      <c r="L390" s="6">
        <f>_xlfn.XLOOKUP(B390,orders!A:A,orders!B:B)</f>
        <v>179</v>
      </c>
      <c r="M390" s="6" t="str">
        <f>_xlfn.XLOOKUP("C"&amp;TEXT(L390,"000"),customers!A:A,customers!B:B,"Not Found")</f>
        <v>Anjali R.</v>
      </c>
    </row>
    <row r="391" spans="1:13">
      <c r="A391">
        <v>390</v>
      </c>
      <c r="B391">
        <v>295</v>
      </c>
      <c r="C391">
        <v>29</v>
      </c>
      <c r="D391" s="4">
        <v>1</v>
      </c>
      <c r="E391">
        <f>_xlfn.XLOOKUP(C391,products!A:A,products!D:D)</f>
        <v>4473</v>
      </c>
      <c r="F391">
        <f t="shared" si="12"/>
        <v>4473</v>
      </c>
      <c r="G391">
        <f>D391*(E391-_xlfn.XLOOKUP(C391,products!A:A,products!E:E))</f>
        <v>1408.9899999999998</v>
      </c>
      <c r="H391" s="6" t="str">
        <f>_xlfn.XLOOKUP(C391,products!A:A,products!C:C)</f>
        <v>Furniture</v>
      </c>
      <c r="I391" s="6" t="str">
        <f>_xlfn.XLOOKUP(C391,products!A:A,products!B:B)</f>
        <v>Chair</v>
      </c>
      <c r="J391" s="6">
        <f>_xlfn.XLOOKUP(B391,orders!A:A,orders!C:C)</f>
        <v>45875</v>
      </c>
      <c r="K391" s="6" t="str">
        <f t="shared" si="13"/>
        <v>Aug-2025</v>
      </c>
      <c r="L391" s="6">
        <f>_xlfn.XLOOKUP(B391,orders!A:A,orders!B:B)</f>
        <v>179</v>
      </c>
      <c r="M391" s="6" t="str">
        <f>_xlfn.XLOOKUP("C"&amp;TEXT(L391,"000"),customers!A:A,customers!B:B,"Not Found")</f>
        <v>Anjali R.</v>
      </c>
    </row>
    <row r="392" spans="1:13">
      <c r="A392">
        <v>391</v>
      </c>
      <c r="B392">
        <v>296</v>
      </c>
      <c r="C392">
        <v>23</v>
      </c>
      <c r="D392" s="4">
        <v>1</v>
      </c>
      <c r="E392">
        <f>_xlfn.XLOOKUP(C392,products!A:A,products!D:D)</f>
        <v>3651</v>
      </c>
      <c r="F392">
        <f t="shared" si="12"/>
        <v>3651</v>
      </c>
      <c r="G392">
        <f>D392*(E392-_xlfn.XLOOKUP(C392,products!A:A,products!E:E))</f>
        <v>1478.65</v>
      </c>
      <c r="H392" s="6" t="str">
        <f>_xlfn.XLOOKUP(C392,products!A:A,products!C:C)</f>
        <v>Home Appliances</v>
      </c>
      <c r="I392" s="6" t="str">
        <f>_xlfn.XLOOKUP(C392,products!A:A,products!B:B)</f>
        <v>Fan</v>
      </c>
      <c r="J392" s="6">
        <f>_xlfn.XLOOKUP(B392,orders!A:A,orders!C:C)</f>
        <v>45878</v>
      </c>
      <c r="K392" s="6" t="str">
        <f t="shared" si="13"/>
        <v>Aug-2025</v>
      </c>
      <c r="L392" s="6">
        <f>_xlfn.XLOOKUP(B392,orders!A:A,orders!B:B)</f>
        <v>216</v>
      </c>
      <c r="M392" s="6" t="str">
        <f>_xlfn.XLOOKUP("C"&amp;TEXT(L392,"000"),customers!A:A,customers!B:B,"Not Found")</f>
        <v>Priya T.</v>
      </c>
    </row>
    <row r="393" spans="1:13">
      <c r="A393">
        <v>392</v>
      </c>
      <c r="B393">
        <v>296</v>
      </c>
      <c r="C393">
        <v>36</v>
      </c>
      <c r="D393" s="4">
        <v>2</v>
      </c>
      <c r="E393">
        <f>_xlfn.XLOOKUP(C393,products!A:A,products!D:D)</f>
        <v>5432</v>
      </c>
      <c r="F393">
        <f t="shared" si="12"/>
        <v>10864</v>
      </c>
      <c r="G393">
        <f>D393*(E393-_xlfn.XLOOKUP(C393,products!A:A,products!E:E))</f>
        <v>3911.04</v>
      </c>
      <c r="H393" s="6" t="str">
        <f>_xlfn.XLOOKUP(C393,products!A:A,products!C:C)</f>
        <v>Sports</v>
      </c>
      <c r="I393" s="6" t="str">
        <f>_xlfn.XLOOKUP(C393,products!A:A,products!B:B)</f>
        <v>Cricket Bat</v>
      </c>
      <c r="J393" s="6">
        <f>_xlfn.XLOOKUP(B393,orders!A:A,orders!C:C)</f>
        <v>45878</v>
      </c>
      <c r="K393" s="6" t="str">
        <f t="shared" si="13"/>
        <v>Aug-2025</v>
      </c>
      <c r="L393" s="6">
        <f>_xlfn.XLOOKUP(B393,orders!A:A,orders!B:B)</f>
        <v>216</v>
      </c>
      <c r="M393" s="6" t="str">
        <f>_xlfn.XLOOKUP("C"&amp;TEXT(L393,"000"),customers!A:A,customers!B:B,"Not Found")</f>
        <v>Priya T.</v>
      </c>
    </row>
    <row r="394" spans="1:13">
      <c r="A394">
        <v>393</v>
      </c>
      <c r="B394">
        <v>297</v>
      </c>
      <c r="C394">
        <v>30</v>
      </c>
      <c r="D394" s="4">
        <v>2</v>
      </c>
      <c r="E394">
        <f>_xlfn.XLOOKUP(C394,products!A:A,products!D:D)</f>
        <v>4610</v>
      </c>
      <c r="F394">
        <f t="shared" si="12"/>
        <v>9220</v>
      </c>
      <c r="G394">
        <f>D394*(E394-_xlfn.XLOOKUP(C394,products!A:A,products!E:E))</f>
        <v>4149</v>
      </c>
      <c r="H394" s="6" t="str">
        <f>_xlfn.XLOOKUP(C394,products!A:A,products!C:C)</f>
        <v>Furniture</v>
      </c>
      <c r="I394" s="6" t="str">
        <f>_xlfn.XLOOKUP(C394,products!A:A,products!B:B)</f>
        <v>Table</v>
      </c>
      <c r="J394" s="6">
        <f>_xlfn.XLOOKUP(B394,orders!A:A,orders!C:C)</f>
        <v>45881</v>
      </c>
      <c r="K394" s="6" t="str">
        <f t="shared" si="13"/>
        <v>Aug-2025</v>
      </c>
      <c r="L394" s="6">
        <f>_xlfn.XLOOKUP(B394,orders!A:A,orders!B:B)</f>
        <v>253</v>
      </c>
      <c r="M394" s="6" t="str">
        <f>_xlfn.XLOOKUP("C"&amp;TEXT(L394,"000"),customers!A:A,customers!B:B,"Not Found")</f>
        <v>Vikram G.</v>
      </c>
    </row>
    <row r="395" spans="1:13">
      <c r="A395">
        <v>394</v>
      </c>
      <c r="B395">
        <v>297</v>
      </c>
      <c r="C395">
        <v>43</v>
      </c>
      <c r="D395" s="4">
        <v>3</v>
      </c>
      <c r="E395">
        <f>_xlfn.XLOOKUP(C395,products!A:A,products!D:D)</f>
        <v>6391</v>
      </c>
      <c r="F395">
        <f t="shared" si="12"/>
        <v>19173</v>
      </c>
      <c r="G395">
        <f>D395*(E395-_xlfn.XLOOKUP(C395,products!A:A,products!E:E))</f>
        <v>7765.0499999999993</v>
      </c>
      <c r="H395" s="6" t="str">
        <f>_xlfn.XLOOKUP(C395,products!A:A,products!C:C)</f>
        <v>Beauty</v>
      </c>
      <c r="I395" s="6" t="str">
        <f>_xlfn.XLOOKUP(C395,products!A:A,products!B:B)</f>
        <v>Perfume</v>
      </c>
      <c r="J395" s="6">
        <f>_xlfn.XLOOKUP(B395,orders!A:A,orders!C:C)</f>
        <v>45881</v>
      </c>
      <c r="K395" s="6" t="str">
        <f t="shared" si="13"/>
        <v>Aug-2025</v>
      </c>
      <c r="L395" s="6">
        <f>_xlfn.XLOOKUP(B395,orders!A:A,orders!B:B)</f>
        <v>253</v>
      </c>
      <c r="M395" s="6" t="str">
        <f>_xlfn.XLOOKUP("C"&amp;TEXT(L395,"000"),customers!A:A,customers!B:B,"Not Found")</f>
        <v>Vikram G.</v>
      </c>
    </row>
    <row r="396" spans="1:13">
      <c r="A396">
        <v>395</v>
      </c>
      <c r="B396">
        <v>298</v>
      </c>
      <c r="C396">
        <v>37</v>
      </c>
      <c r="D396" s="4">
        <v>3</v>
      </c>
      <c r="E396">
        <f>_xlfn.XLOOKUP(C396,products!A:A,products!D:D)</f>
        <v>5569</v>
      </c>
      <c r="F396">
        <f t="shared" si="12"/>
        <v>16707</v>
      </c>
      <c r="G396">
        <f>D396*(E396-_xlfn.XLOOKUP(C396,products!A:A,products!E:E))</f>
        <v>5763.9000000000005</v>
      </c>
      <c r="H396" s="6" t="str">
        <f>_xlfn.XLOOKUP(C396,products!A:A,products!C:C)</f>
        <v>Sports</v>
      </c>
      <c r="I396" s="6" t="str">
        <f>_xlfn.XLOOKUP(C396,products!A:A,products!B:B)</f>
        <v>Football</v>
      </c>
      <c r="J396" s="6">
        <f>_xlfn.XLOOKUP(B396,orders!A:A,orders!C:C)</f>
        <v>45884</v>
      </c>
      <c r="K396" s="6" t="str">
        <f t="shared" si="13"/>
        <v>Aug-2025</v>
      </c>
      <c r="L396" s="6">
        <f>_xlfn.XLOOKUP(B396,orders!A:A,orders!B:B)</f>
        <v>290</v>
      </c>
      <c r="M396" s="6" t="str">
        <f>_xlfn.XLOOKUP("C"&amp;TEXT(L396,"000"),customers!A:A,customers!B:B,"Not Found")</f>
        <v>Arjun F.</v>
      </c>
    </row>
    <row r="397" spans="1:13">
      <c r="A397">
        <v>396</v>
      </c>
      <c r="B397">
        <v>298</v>
      </c>
      <c r="C397">
        <v>50</v>
      </c>
      <c r="D397" s="4">
        <v>4</v>
      </c>
      <c r="E397">
        <f>_xlfn.XLOOKUP(C397,products!A:A,products!D:D)</f>
        <v>7350</v>
      </c>
      <c r="F397">
        <f t="shared" si="12"/>
        <v>29400</v>
      </c>
      <c r="G397">
        <f>D397*(E397-_xlfn.XLOOKUP(C397,products!A:A,products!E:E))</f>
        <v>13230</v>
      </c>
      <c r="H397" s="6" t="str">
        <f>_xlfn.XLOOKUP(C397,products!A:A,products!C:C)</f>
        <v>Toys</v>
      </c>
      <c r="I397" s="6" t="str">
        <f>_xlfn.XLOOKUP(C397,products!A:A,products!B:B)</f>
        <v>Building Blocks</v>
      </c>
      <c r="J397" s="6">
        <f>_xlfn.XLOOKUP(B397,orders!A:A,orders!C:C)</f>
        <v>45884</v>
      </c>
      <c r="K397" s="6" t="str">
        <f t="shared" si="13"/>
        <v>Aug-2025</v>
      </c>
      <c r="L397" s="6">
        <f>_xlfn.XLOOKUP(B397,orders!A:A,orders!B:B)</f>
        <v>290</v>
      </c>
      <c r="M397" s="6" t="str">
        <f>_xlfn.XLOOKUP("C"&amp;TEXT(L397,"000"),customers!A:A,customers!B:B,"Not Found")</f>
        <v>Arjun F.</v>
      </c>
    </row>
    <row r="398" spans="1:13">
      <c r="A398">
        <v>397</v>
      </c>
      <c r="B398">
        <v>299</v>
      </c>
      <c r="C398">
        <v>44</v>
      </c>
      <c r="D398" s="4">
        <v>4</v>
      </c>
      <c r="E398">
        <f>_xlfn.XLOOKUP(C398,products!A:A,products!D:D)</f>
        <v>6528</v>
      </c>
      <c r="F398">
        <f t="shared" si="12"/>
        <v>26112</v>
      </c>
      <c r="G398">
        <f>D398*(E398-_xlfn.XLOOKUP(C398,products!A:A,products!E:E))</f>
        <v>10183.68</v>
      </c>
      <c r="H398" s="6" t="str">
        <f>_xlfn.XLOOKUP(C398,products!A:A,products!C:C)</f>
        <v>Beauty</v>
      </c>
      <c r="I398" s="6" t="str">
        <f>_xlfn.XLOOKUP(C398,products!A:A,products!B:B)</f>
        <v>Moisturizer</v>
      </c>
      <c r="J398" s="6">
        <f>_xlfn.XLOOKUP(B398,orders!A:A,orders!C:C)</f>
        <v>45887</v>
      </c>
      <c r="K398" s="6" t="str">
        <f t="shared" si="13"/>
        <v>Aug-2025</v>
      </c>
      <c r="L398" s="6">
        <f>_xlfn.XLOOKUP(B398,orders!A:A,orders!B:B)</f>
        <v>327</v>
      </c>
      <c r="M398" s="6" t="str">
        <f>_xlfn.XLOOKUP("C"&amp;TEXT(L398,"000"),customers!A:A,customers!B:B,"Not Found")</f>
        <v>Suresh D.</v>
      </c>
    </row>
    <row r="399" spans="1:13">
      <c r="A399">
        <v>398</v>
      </c>
      <c r="B399">
        <v>299</v>
      </c>
      <c r="C399">
        <v>7</v>
      </c>
      <c r="D399" s="4">
        <v>1</v>
      </c>
      <c r="E399">
        <f>_xlfn.XLOOKUP(C399,products!A:A,products!D:D)</f>
        <v>1459</v>
      </c>
      <c r="F399">
        <f t="shared" si="12"/>
        <v>1459</v>
      </c>
      <c r="G399">
        <f>D399*(E399-_xlfn.XLOOKUP(C399,products!A:A,products!E:E))</f>
        <v>503.35</v>
      </c>
      <c r="H399" s="6" t="str">
        <f>_xlfn.XLOOKUP(C399,products!A:A,products!C:C)</f>
        <v>Electronics</v>
      </c>
      <c r="I399" s="6" t="str">
        <f>_xlfn.XLOOKUP(C399,products!A:A,products!B:B)</f>
        <v>Monitor</v>
      </c>
      <c r="J399" s="6">
        <f>_xlfn.XLOOKUP(B399,orders!A:A,orders!C:C)</f>
        <v>45887</v>
      </c>
      <c r="K399" s="6" t="str">
        <f t="shared" si="13"/>
        <v>Aug-2025</v>
      </c>
      <c r="L399" s="6">
        <f>_xlfn.XLOOKUP(B399,orders!A:A,orders!B:B)</f>
        <v>327</v>
      </c>
      <c r="M399" s="6" t="str">
        <f>_xlfn.XLOOKUP("C"&amp;TEXT(L399,"000"),customers!A:A,customers!B:B,"Not Found")</f>
        <v>Suresh D.</v>
      </c>
    </row>
    <row r="400" spans="1:13">
      <c r="A400">
        <v>399</v>
      </c>
      <c r="B400">
        <v>300</v>
      </c>
      <c r="C400">
        <v>1</v>
      </c>
      <c r="D400" s="4">
        <v>1</v>
      </c>
      <c r="E400">
        <f>_xlfn.XLOOKUP(C400,products!A:A,products!D:D)</f>
        <v>637</v>
      </c>
      <c r="F400">
        <f t="shared" si="12"/>
        <v>637</v>
      </c>
      <c r="G400">
        <f>D400*(E400-_xlfn.XLOOKUP(C400,products!A:A,products!E:E))</f>
        <v>277.08999999999997</v>
      </c>
      <c r="H400" s="6" t="str">
        <f>_xlfn.XLOOKUP(C400,products!A:A,products!C:C)</f>
        <v>Electronics</v>
      </c>
      <c r="I400" s="6" t="str">
        <f>_xlfn.XLOOKUP(C400,products!A:A,products!B:B)</f>
        <v>Laptop</v>
      </c>
      <c r="J400" s="6">
        <f>_xlfn.XLOOKUP(B400,orders!A:A,orders!C:C)</f>
        <v>45890</v>
      </c>
      <c r="K400" s="6" t="str">
        <f t="shared" si="13"/>
        <v>Aug-2025</v>
      </c>
      <c r="L400" s="6">
        <f>_xlfn.XLOOKUP(B400,orders!A:A,orders!B:B)</f>
        <v>364</v>
      </c>
      <c r="M400" s="6" t="str">
        <f>_xlfn.XLOOKUP("C"&amp;TEXT(L400,"000"),customers!A:A,customers!B:B,"Not Found")</f>
        <v>Swathi B.</v>
      </c>
    </row>
    <row r="401" spans="1:13">
      <c r="A401">
        <v>400</v>
      </c>
      <c r="B401">
        <v>300</v>
      </c>
      <c r="C401">
        <v>14</v>
      </c>
      <c r="D401" s="4">
        <v>2</v>
      </c>
      <c r="E401">
        <f>_xlfn.XLOOKUP(C401,products!A:A,products!D:D)</f>
        <v>2418</v>
      </c>
      <c r="F401">
        <f t="shared" si="12"/>
        <v>4836</v>
      </c>
      <c r="G401">
        <f>D401*(E401-_xlfn.XLOOKUP(C401,products!A:A,products!E:E))</f>
        <v>1886.04</v>
      </c>
      <c r="H401" s="6" t="str">
        <f>_xlfn.XLOOKUP(C401,products!A:A,products!C:C)</f>
        <v>Fashion</v>
      </c>
      <c r="I401" s="6" t="str">
        <f>_xlfn.XLOOKUP(C401,products!A:A,products!B:B)</f>
        <v>Jacket</v>
      </c>
      <c r="J401" s="6">
        <f>_xlfn.XLOOKUP(B401,orders!A:A,orders!C:C)</f>
        <v>45890</v>
      </c>
      <c r="K401" s="6" t="str">
        <f t="shared" si="13"/>
        <v>Aug-2025</v>
      </c>
      <c r="L401" s="6">
        <f>_xlfn.XLOOKUP(B401,orders!A:A,orders!B:B)</f>
        <v>364</v>
      </c>
      <c r="M401" s="6" t="str">
        <f>_xlfn.XLOOKUP("C"&amp;TEXT(L401,"000"),customers!A:A,customers!B:B,"Not Found")</f>
        <v>Swathi B.</v>
      </c>
    </row>
    <row r="402" spans="1:13">
      <c r="A402">
        <v>401</v>
      </c>
      <c r="B402">
        <v>301</v>
      </c>
      <c r="C402">
        <v>8</v>
      </c>
      <c r="D402" s="4">
        <v>2</v>
      </c>
      <c r="E402">
        <f>_xlfn.XLOOKUP(C402,products!A:A,products!D:D)</f>
        <v>1596</v>
      </c>
      <c r="F402">
        <f t="shared" si="12"/>
        <v>3192</v>
      </c>
      <c r="G402">
        <f>D402*(E402-_xlfn.XLOOKUP(C402,products!A:A,products!E:E))</f>
        <v>1053.3600000000001</v>
      </c>
      <c r="H402" s="6" t="str">
        <f>_xlfn.XLOOKUP(C402,products!A:A,products!C:C)</f>
        <v>Electronics</v>
      </c>
      <c r="I402" s="6" t="str">
        <f>_xlfn.XLOOKUP(C402,products!A:A,products!B:B)</f>
        <v>Tablet</v>
      </c>
      <c r="J402" s="6">
        <f>_xlfn.XLOOKUP(B402,orders!A:A,orders!C:C)</f>
        <v>45893</v>
      </c>
      <c r="K402" s="6" t="str">
        <f t="shared" si="13"/>
        <v>Aug-2025</v>
      </c>
      <c r="L402" s="6">
        <f>_xlfn.XLOOKUP(B402,orders!A:A,orders!B:B)</f>
        <v>401</v>
      </c>
      <c r="M402" s="6" t="str">
        <f>_xlfn.XLOOKUP("C"&amp;TEXT(L402,"000"),customers!A:A,customers!B:B,"Not Found")</f>
        <v>Rohit O.</v>
      </c>
    </row>
    <row r="403" spans="1:13">
      <c r="A403">
        <v>402</v>
      </c>
      <c r="B403">
        <v>301</v>
      </c>
      <c r="C403">
        <v>21</v>
      </c>
      <c r="D403" s="4">
        <v>3</v>
      </c>
      <c r="E403">
        <f>_xlfn.XLOOKUP(C403,products!A:A,products!D:D)</f>
        <v>3377</v>
      </c>
      <c r="F403">
        <f t="shared" si="12"/>
        <v>10131</v>
      </c>
      <c r="G403">
        <f>D403*(E403-_xlfn.XLOOKUP(C403,products!A:A,products!E:E))</f>
        <v>4406.97</v>
      </c>
      <c r="H403" s="6" t="str">
        <f>_xlfn.XLOOKUP(C403,products!A:A,products!C:C)</f>
        <v>Home Appliances</v>
      </c>
      <c r="I403" s="6" t="str">
        <f>_xlfn.XLOOKUP(C403,products!A:A,products!B:B)</f>
        <v>Mixer</v>
      </c>
      <c r="J403" s="6">
        <f>_xlfn.XLOOKUP(B403,orders!A:A,orders!C:C)</f>
        <v>45893</v>
      </c>
      <c r="K403" s="6" t="str">
        <f t="shared" si="13"/>
        <v>Aug-2025</v>
      </c>
      <c r="L403" s="6">
        <f>_xlfn.XLOOKUP(B403,orders!A:A,orders!B:B)</f>
        <v>401</v>
      </c>
      <c r="M403" s="6" t="str">
        <f>_xlfn.XLOOKUP("C"&amp;TEXT(L403,"000"),customers!A:A,customers!B:B,"Not Found")</f>
        <v>Rohit O.</v>
      </c>
    </row>
    <row r="404" spans="1:13">
      <c r="A404">
        <v>403</v>
      </c>
      <c r="B404">
        <v>302</v>
      </c>
      <c r="C404">
        <v>15</v>
      </c>
      <c r="D404" s="4">
        <v>3</v>
      </c>
      <c r="E404">
        <f>_xlfn.XLOOKUP(C404,products!A:A,products!D:D)</f>
        <v>2555</v>
      </c>
      <c r="F404">
        <f t="shared" si="12"/>
        <v>7665</v>
      </c>
      <c r="G404">
        <f>D404*(E404-_xlfn.XLOOKUP(C404,products!A:A,products!E:E))</f>
        <v>2874.3599999999997</v>
      </c>
      <c r="H404" s="6" t="str">
        <f>_xlfn.XLOOKUP(C404,products!A:A,products!C:C)</f>
        <v>Fashion</v>
      </c>
      <c r="I404" s="6" t="str">
        <f>_xlfn.XLOOKUP(C404,products!A:A,products!B:B)</f>
        <v>Shoes</v>
      </c>
      <c r="J404" s="6">
        <f>_xlfn.XLOOKUP(B404,orders!A:A,orders!C:C)</f>
        <v>45896</v>
      </c>
      <c r="K404" s="6" t="str">
        <f t="shared" si="13"/>
        <v>Aug-2025</v>
      </c>
      <c r="L404" s="6">
        <f>_xlfn.XLOOKUP(B404,orders!A:A,orders!B:B)</f>
        <v>438</v>
      </c>
      <c r="M404" s="6" t="str">
        <f>_xlfn.XLOOKUP("C"&amp;TEXT(L404,"000"),customers!A:A,customers!B:B,"Not Found")</f>
        <v>Manoj R.</v>
      </c>
    </row>
    <row r="405" spans="1:13">
      <c r="A405">
        <v>404</v>
      </c>
      <c r="B405">
        <v>302</v>
      </c>
      <c r="C405">
        <v>28</v>
      </c>
      <c r="D405" s="4">
        <v>4</v>
      </c>
      <c r="E405">
        <f>_xlfn.XLOOKUP(C405,products!A:A,products!D:D)</f>
        <v>4336</v>
      </c>
      <c r="F405">
        <f t="shared" si="12"/>
        <v>17344</v>
      </c>
      <c r="G405">
        <f>D405*(E405-_xlfn.XLOOKUP(C405,products!A:A,products!E:E))</f>
        <v>5723.52</v>
      </c>
      <c r="H405" s="6" t="str">
        <f>_xlfn.XLOOKUP(C405,products!A:A,products!C:C)</f>
        <v>Home &amp; Kitchen</v>
      </c>
      <c r="I405" s="6" t="str">
        <f>_xlfn.XLOOKUP(C405,products!A:A,products!B:B)</f>
        <v>Bottle</v>
      </c>
      <c r="J405" s="6">
        <f>_xlfn.XLOOKUP(B405,orders!A:A,orders!C:C)</f>
        <v>45896</v>
      </c>
      <c r="K405" s="6" t="str">
        <f t="shared" si="13"/>
        <v>Aug-2025</v>
      </c>
      <c r="L405" s="6">
        <f>_xlfn.XLOOKUP(B405,orders!A:A,orders!B:B)</f>
        <v>438</v>
      </c>
      <c r="M405" s="6" t="str">
        <f>_xlfn.XLOOKUP("C"&amp;TEXT(L405,"000"),customers!A:A,customers!B:B,"Not Found")</f>
        <v>Manoj R.</v>
      </c>
    </row>
    <row r="406" spans="1:13">
      <c r="A406">
        <v>405</v>
      </c>
      <c r="B406">
        <v>303</v>
      </c>
      <c r="C406">
        <v>22</v>
      </c>
      <c r="D406" s="4">
        <v>4</v>
      </c>
      <c r="E406">
        <f>_xlfn.XLOOKUP(C406,products!A:A,products!D:D)</f>
        <v>3514</v>
      </c>
      <c r="F406">
        <f t="shared" si="12"/>
        <v>14056</v>
      </c>
      <c r="G406">
        <f>D406*(E406-_xlfn.XLOOKUP(C406,products!A:A,products!E:E))</f>
        <v>5903.52</v>
      </c>
      <c r="H406" s="6" t="str">
        <f>_xlfn.XLOOKUP(C406,products!A:A,products!C:C)</f>
        <v>Home Appliances</v>
      </c>
      <c r="I406" s="6" t="str">
        <f>_xlfn.XLOOKUP(C406,products!A:A,products!B:B)</f>
        <v>Microwave</v>
      </c>
      <c r="J406" s="6">
        <f>_xlfn.XLOOKUP(B406,orders!A:A,orders!C:C)</f>
        <v>45899</v>
      </c>
      <c r="K406" s="6" t="str">
        <f t="shared" si="13"/>
        <v>Aug-2025</v>
      </c>
      <c r="L406" s="6">
        <f>_xlfn.XLOOKUP(B406,orders!A:A,orders!B:B)</f>
        <v>475</v>
      </c>
      <c r="M406" s="6" t="str">
        <f>_xlfn.XLOOKUP("C"&amp;TEXT(L406,"000"),customers!A:A,customers!B:B,"Not Found")</f>
        <v>Rahul I.</v>
      </c>
    </row>
    <row r="407" spans="1:13">
      <c r="A407">
        <v>406</v>
      </c>
      <c r="B407">
        <v>303</v>
      </c>
      <c r="C407">
        <v>35</v>
      </c>
      <c r="D407" s="4">
        <v>1</v>
      </c>
      <c r="E407">
        <f>_xlfn.XLOOKUP(C407,products!A:A,products!D:D)</f>
        <v>5295</v>
      </c>
      <c r="F407">
        <f t="shared" si="12"/>
        <v>5295</v>
      </c>
      <c r="G407">
        <f>D407*(E407-_xlfn.XLOOKUP(C407,products!A:A,products!E:E))</f>
        <v>1985.62</v>
      </c>
      <c r="H407" s="6" t="str">
        <f>_xlfn.XLOOKUP(C407,products!A:A,products!C:C)</f>
        <v>Books</v>
      </c>
      <c r="I407" s="6" t="str">
        <f>_xlfn.XLOOKUP(C407,products!A:A,products!B:B)</f>
        <v>Novel</v>
      </c>
      <c r="J407" s="6">
        <f>_xlfn.XLOOKUP(B407,orders!A:A,orders!C:C)</f>
        <v>45899</v>
      </c>
      <c r="K407" s="6" t="str">
        <f t="shared" si="13"/>
        <v>Aug-2025</v>
      </c>
      <c r="L407" s="6">
        <f>_xlfn.XLOOKUP(B407,orders!A:A,orders!B:B)</f>
        <v>475</v>
      </c>
      <c r="M407" s="6" t="str">
        <f>_xlfn.XLOOKUP("C"&amp;TEXT(L407,"000"),customers!A:A,customers!B:B,"Not Found")</f>
        <v>Rahul I.</v>
      </c>
    </row>
    <row r="408" spans="1:13">
      <c r="A408">
        <v>407</v>
      </c>
      <c r="B408">
        <v>304</v>
      </c>
      <c r="C408">
        <v>29</v>
      </c>
      <c r="D408" s="4">
        <v>1</v>
      </c>
      <c r="E408">
        <f>_xlfn.XLOOKUP(C408,products!A:A,products!D:D)</f>
        <v>4473</v>
      </c>
      <c r="F408">
        <f t="shared" si="12"/>
        <v>4473</v>
      </c>
      <c r="G408">
        <f>D408*(E408-_xlfn.XLOOKUP(C408,products!A:A,products!E:E))</f>
        <v>1408.9899999999998</v>
      </c>
      <c r="H408" s="6" t="str">
        <f>_xlfn.XLOOKUP(C408,products!A:A,products!C:C)</f>
        <v>Furniture</v>
      </c>
      <c r="I408" s="6" t="str">
        <f>_xlfn.XLOOKUP(C408,products!A:A,products!B:B)</f>
        <v>Chair</v>
      </c>
      <c r="J408" s="6">
        <f>_xlfn.XLOOKUP(B408,orders!A:A,orders!C:C)</f>
        <v>45902</v>
      </c>
      <c r="K408" s="6" t="str">
        <f t="shared" si="13"/>
        <v>Sep-2025</v>
      </c>
      <c r="L408" s="6">
        <f>_xlfn.XLOOKUP(B408,orders!A:A,orders!B:B)</f>
        <v>12</v>
      </c>
      <c r="M408" s="6" t="str">
        <f>_xlfn.XLOOKUP("C"&amp;TEXT(L408,"000"),customers!A:A,customers!B:B,"Not Found")</f>
        <v>Ravi W.</v>
      </c>
    </row>
    <row r="409" spans="1:13">
      <c r="A409">
        <v>408</v>
      </c>
      <c r="B409">
        <v>304</v>
      </c>
      <c r="C409">
        <v>42</v>
      </c>
      <c r="D409" s="4">
        <v>2</v>
      </c>
      <c r="E409">
        <f>_xlfn.XLOOKUP(C409,products!A:A,products!D:D)</f>
        <v>6254</v>
      </c>
      <c r="F409">
        <f t="shared" si="12"/>
        <v>12508</v>
      </c>
      <c r="G409">
        <f>D409*(E409-_xlfn.XLOOKUP(C409,products!A:A,products!E:E))</f>
        <v>5253.36</v>
      </c>
      <c r="H409" s="6" t="str">
        <f>_xlfn.XLOOKUP(C409,products!A:A,products!C:C)</f>
        <v>Beauty</v>
      </c>
      <c r="I409" s="6" t="str">
        <f>_xlfn.XLOOKUP(C409,products!A:A,products!B:B)</f>
        <v>Shampoo</v>
      </c>
      <c r="J409" s="6">
        <f>_xlfn.XLOOKUP(B409,orders!A:A,orders!C:C)</f>
        <v>45902</v>
      </c>
      <c r="K409" s="6" t="str">
        <f t="shared" si="13"/>
        <v>Sep-2025</v>
      </c>
      <c r="L409" s="6">
        <f>_xlfn.XLOOKUP(B409,orders!A:A,orders!B:B)</f>
        <v>12</v>
      </c>
      <c r="M409" s="6" t="str">
        <f>_xlfn.XLOOKUP("C"&amp;TEXT(L409,"000"),customers!A:A,customers!B:B,"Not Found")</f>
        <v>Ravi W.</v>
      </c>
    </row>
    <row r="410" spans="1:13">
      <c r="A410">
        <v>409</v>
      </c>
      <c r="B410">
        <v>305</v>
      </c>
      <c r="C410">
        <v>36</v>
      </c>
      <c r="D410" s="4">
        <v>2</v>
      </c>
      <c r="E410">
        <f>_xlfn.XLOOKUP(C410,products!A:A,products!D:D)</f>
        <v>5432</v>
      </c>
      <c r="F410">
        <f t="shared" si="12"/>
        <v>10864</v>
      </c>
      <c r="G410">
        <f>D410*(E410-_xlfn.XLOOKUP(C410,products!A:A,products!E:E))</f>
        <v>3911.04</v>
      </c>
      <c r="H410" s="6" t="str">
        <f>_xlfn.XLOOKUP(C410,products!A:A,products!C:C)</f>
        <v>Sports</v>
      </c>
      <c r="I410" s="6" t="str">
        <f>_xlfn.XLOOKUP(C410,products!A:A,products!B:B)</f>
        <v>Cricket Bat</v>
      </c>
      <c r="J410" s="6">
        <f>_xlfn.XLOOKUP(B410,orders!A:A,orders!C:C)</f>
        <v>45905</v>
      </c>
      <c r="K410" s="6" t="str">
        <f t="shared" si="13"/>
        <v>Sep-2025</v>
      </c>
      <c r="L410" s="6">
        <f>_xlfn.XLOOKUP(B410,orders!A:A,orders!B:B)</f>
        <v>49</v>
      </c>
      <c r="M410" s="6" t="str">
        <f>_xlfn.XLOOKUP("C"&amp;TEXT(L410,"000"),customers!A:A,customers!B:B,"Not Found")</f>
        <v>Ravi G.</v>
      </c>
    </row>
    <row r="411" spans="1:13">
      <c r="A411">
        <v>410</v>
      </c>
      <c r="B411">
        <v>305</v>
      </c>
      <c r="C411">
        <v>49</v>
      </c>
      <c r="D411" s="4">
        <v>3</v>
      </c>
      <c r="E411">
        <f>_xlfn.XLOOKUP(C411,products!A:A,products!D:D)</f>
        <v>7213</v>
      </c>
      <c r="F411">
        <f t="shared" si="12"/>
        <v>21639</v>
      </c>
      <c r="G411">
        <f>D411*(E411-_xlfn.XLOOKUP(C411,products!A:A,products!E:E))</f>
        <v>6816.27</v>
      </c>
      <c r="H411" s="6" t="str">
        <f>_xlfn.XLOOKUP(C411,products!A:A,products!C:C)</f>
        <v>Toys</v>
      </c>
      <c r="I411" s="6" t="str">
        <f>_xlfn.XLOOKUP(C411,products!A:A,products!B:B)</f>
        <v>Remote Car</v>
      </c>
      <c r="J411" s="6">
        <f>_xlfn.XLOOKUP(B411,orders!A:A,orders!C:C)</f>
        <v>45905</v>
      </c>
      <c r="K411" s="6" t="str">
        <f t="shared" si="13"/>
        <v>Sep-2025</v>
      </c>
      <c r="L411" s="6">
        <f>_xlfn.XLOOKUP(B411,orders!A:A,orders!B:B)</f>
        <v>49</v>
      </c>
      <c r="M411" s="6" t="str">
        <f>_xlfn.XLOOKUP("C"&amp;TEXT(L411,"000"),customers!A:A,customers!B:B,"Not Found")</f>
        <v>Ravi G.</v>
      </c>
    </row>
    <row r="412" spans="1:13">
      <c r="A412">
        <v>411</v>
      </c>
      <c r="B412">
        <v>306</v>
      </c>
      <c r="C412">
        <v>43</v>
      </c>
      <c r="D412" s="4">
        <v>3</v>
      </c>
      <c r="E412">
        <f>_xlfn.XLOOKUP(C412,products!A:A,products!D:D)</f>
        <v>6391</v>
      </c>
      <c r="F412">
        <f t="shared" si="12"/>
        <v>19173</v>
      </c>
      <c r="G412">
        <f>D412*(E412-_xlfn.XLOOKUP(C412,products!A:A,products!E:E))</f>
        <v>7765.0499999999993</v>
      </c>
      <c r="H412" s="6" t="str">
        <f>_xlfn.XLOOKUP(C412,products!A:A,products!C:C)</f>
        <v>Beauty</v>
      </c>
      <c r="I412" s="6" t="str">
        <f>_xlfn.XLOOKUP(C412,products!A:A,products!B:B)</f>
        <v>Perfume</v>
      </c>
      <c r="J412" s="6">
        <f>_xlfn.XLOOKUP(B412,orders!A:A,orders!C:C)</f>
        <v>45908</v>
      </c>
      <c r="K412" s="6" t="str">
        <f t="shared" si="13"/>
        <v>Sep-2025</v>
      </c>
      <c r="L412" s="6">
        <f>_xlfn.XLOOKUP(B412,orders!A:A,orders!B:B)</f>
        <v>86</v>
      </c>
      <c r="M412" s="6" t="str">
        <f>_xlfn.XLOOKUP("C"&amp;TEXT(L412,"000"),customers!A:A,customers!B:B,"Not Found")</f>
        <v>Divya Z.</v>
      </c>
    </row>
    <row r="413" spans="1:13">
      <c r="A413">
        <v>412</v>
      </c>
      <c r="B413">
        <v>306</v>
      </c>
      <c r="C413">
        <v>6</v>
      </c>
      <c r="D413" s="4">
        <v>4</v>
      </c>
      <c r="E413">
        <f>_xlfn.XLOOKUP(C413,products!A:A,products!D:D)</f>
        <v>1322</v>
      </c>
      <c r="F413">
        <f t="shared" si="12"/>
        <v>5288</v>
      </c>
      <c r="G413">
        <f>D413*(E413-_xlfn.XLOOKUP(C413,products!A:A,products!E:E))</f>
        <v>1903.6799999999998</v>
      </c>
      <c r="H413" s="6" t="str">
        <f>_xlfn.XLOOKUP(C413,products!A:A,products!C:C)</f>
        <v>Electronics</v>
      </c>
      <c r="I413" s="6" t="str">
        <f>_xlfn.XLOOKUP(C413,products!A:A,products!B:B)</f>
        <v>Mouse</v>
      </c>
      <c r="J413" s="6">
        <f>_xlfn.XLOOKUP(B413,orders!A:A,orders!C:C)</f>
        <v>45908</v>
      </c>
      <c r="K413" s="6" t="str">
        <f t="shared" si="13"/>
        <v>Sep-2025</v>
      </c>
      <c r="L413" s="6">
        <f>_xlfn.XLOOKUP(B413,orders!A:A,orders!B:B)</f>
        <v>86</v>
      </c>
      <c r="M413" s="6" t="str">
        <f>_xlfn.XLOOKUP("C"&amp;TEXT(L413,"000"),customers!A:A,customers!B:B,"Not Found")</f>
        <v>Divya Z.</v>
      </c>
    </row>
    <row r="414" spans="1:13">
      <c r="A414">
        <v>413</v>
      </c>
      <c r="B414">
        <v>307</v>
      </c>
      <c r="C414">
        <v>50</v>
      </c>
      <c r="D414" s="4">
        <v>4</v>
      </c>
      <c r="E414">
        <f>_xlfn.XLOOKUP(C414,products!A:A,products!D:D)</f>
        <v>7350</v>
      </c>
      <c r="F414">
        <f t="shared" si="12"/>
        <v>29400</v>
      </c>
      <c r="G414">
        <f>D414*(E414-_xlfn.XLOOKUP(C414,products!A:A,products!E:E))</f>
        <v>13230</v>
      </c>
      <c r="H414" s="6" t="str">
        <f>_xlfn.XLOOKUP(C414,products!A:A,products!C:C)</f>
        <v>Toys</v>
      </c>
      <c r="I414" s="6" t="str">
        <f>_xlfn.XLOOKUP(C414,products!A:A,products!B:B)</f>
        <v>Building Blocks</v>
      </c>
      <c r="J414" s="6">
        <f>_xlfn.XLOOKUP(B414,orders!A:A,orders!C:C)</f>
        <v>45911</v>
      </c>
      <c r="K414" s="6" t="str">
        <f t="shared" si="13"/>
        <v>Sep-2025</v>
      </c>
      <c r="L414" s="6">
        <f>_xlfn.XLOOKUP(B414,orders!A:A,orders!B:B)</f>
        <v>123</v>
      </c>
      <c r="M414" s="6" t="str">
        <f>_xlfn.XLOOKUP("C"&amp;TEXT(L414,"000"),customers!A:A,customers!B:B,"Not Found")</f>
        <v>Pooja I.</v>
      </c>
    </row>
    <row r="415" spans="1:13">
      <c r="A415">
        <v>414</v>
      </c>
      <c r="B415">
        <v>307</v>
      </c>
      <c r="C415">
        <v>13</v>
      </c>
      <c r="D415" s="4">
        <v>1</v>
      </c>
      <c r="E415">
        <f>_xlfn.XLOOKUP(C415,products!A:A,products!D:D)</f>
        <v>2281</v>
      </c>
      <c r="F415">
        <f t="shared" si="12"/>
        <v>2281</v>
      </c>
      <c r="G415">
        <f>D415*(E415-_xlfn.XLOOKUP(C415,products!A:A,products!E:E))</f>
        <v>923.8</v>
      </c>
      <c r="H415" s="6" t="str">
        <f>_xlfn.XLOOKUP(C415,products!A:A,products!C:C)</f>
        <v>Fashion</v>
      </c>
      <c r="I415" s="6" t="str">
        <f>_xlfn.XLOOKUP(C415,products!A:A,products!B:B)</f>
        <v>Shirt</v>
      </c>
      <c r="J415" s="6">
        <f>_xlfn.XLOOKUP(B415,orders!A:A,orders!C:C)</f>
        <v>45911</v>
      </c>
      <c r="K415" s="6" t="str">
        <f t="shared" si="13"/>
        <v>Sep-2025</v>
      </c>
      <c r="L415" s="6">
        <f>_xlfn.XLOOKUP(B415,orders!A:A,orders!B:B)</f>
        <v>123</v>
      </c>
      <c r="M415" s="6" t="str">
        <f>_xlfn.XLOOKUP("C"&amp;TEXT(L415,"000"),customers!A:A,customers!B:B,"Not Found")</f>
        <v>Pooja I.</v>
      </c>
    </row>
    <row r="416" spans="1:13">
      <c r="A416">
        <v>415</v>
      </c>
      <c r="B416">
        <v>308</v>
      </c>
      <c r="C416">
        <v>7</v>
      </c>
      <c r="D416" s="4">
        <v>1</v>
      </c>
      <c r="E416">
        <f>_xlfn.XLOOKUP(C416,products!A:A,products!D:D)</f>
        <v>1459</v>
      </c>
      <c r="F416">
        <f t="shared" si="12"/>
        <v>1459</v>
      </c>
      <c r="G416">
        <f>D416*(E416-_xlfn.XLOOKUP(C416,products!A:A,products!E:E))</f>
        <v>503.35</v>
      </c>
      <c r="H416" s="6" t="str">
        <f>_xlfn.XLOOKUP(C416,products!A:A,products!C:C)</f>
        <v>Electronics</v>
      </c>
      <c r="I416" s="6" t="str">
        <f>_xlfn.XLOOKUP(C416,products!A:A,products!B:B)</f>
        <v>Monitor</v>
      </c>
      <c r="J416" s="6">
        <f>_xlfn.XLOOKUP(B416,orders!A:A,orders!C:C)</f>
        <v>45914</v>
      </c>
      <c r="K416" s="6" t="str">
        <f t="shared" si="13"/>
        <v>Sep-2025</v>
      </c>
      <c r="L416" s="6">
        <f>_xlfn.XLOOKUP(B416,orders!A:A,orders!B:B)</f>
        <v>160</v>
      </c>
      <c r="M416" s="6" t="str">
        <f>_xlfn.XLOOKUP("C"&amp;TEXT(L416,"000"),customers!A:A,customers!B:B,"Not Found")</f>
        <v>Manoj T.</v>
      </c>
    </row>
    <row r="417" spans="1:13">
      <c r="A417">
        <v>416</v>
      </c>
      <c r="B417">
        <v>308</v>
      </c>
      <c r="C417">
        <v>20</v>
      </c>
      <c r="D417" s="4">
        <v>2</v>
      </c>
      <c r="E417">
        <f>_xlfn.XLOOKUP(C417,products!A:A,products!D:D)</f>
        <v>3240</v>
      </c>
      <c r="F417">
        <f t="shared" si="12"/>
        <v>6480</v>
      </c>
      <c r="G417">
        <f>D417*(E417-_xlfn.XLOOKUP(C417,products!A:A,products!E:E))</f>
        <v>2916</v>
      </c>
      <c r="H417" s="6" t="str">
        <f>_xlfn.XLOOKUP(C417,products!A:A,products!C:C)</f>
        <v>Fashion</v>
      </c>
      <c r="I417" s="6" t="str">
        <f>_xlfn.XLOOKUP(C417,products!A:A,products!B:B)</f>
        <v>Belt</v>
      </c>
      <c r="J417" s="6">
        <f>_xlfn.XLOOKUP(B417,orders!A:A,orders!C:C)</f>
        <v>45914</v>
      </c>
      <c r="K417" s="6" t="str">
        <f t="shared" si="13"/>
        <v>Sep-2025</v>
      </c>
      <c r="L417" s="6">
        <f>_xlfn.XLOOKUP(B417,orders!A:A,orders!B:B)</f>
        <v>160</v>
      </c>
      <c r="M417" s="6" t="str">
        <f>_xlfn.XLOOKUP("C"&amp;TEXT(L417,"000"),customers!A:A,customers!B:B,"Not Found")</f>
        <v>Manoj T.</v>
      </c>
    </row>
    <row r="418" spans="1:13">
      <c r="A418">
        <v>417</v>
      </c>
      <c r="B418">
        <v>309</v>
      </c>
      <c r="C418">
        <v>14</v>
      </c>
      <c r="D418" s="4">
        <v>2</v>
      </c>
      <c r="E418">
        <f>_xlfn.XLOOKUP(C418,products!A:A,products!D:D)</f>
        <v>2418</v>
      </c>
      <c r="F418">
        <f t="shared" si="12"/>
        <v>4836</v>
      </c>
      <c r="G418">
        <f>D418*(E418-_xlfn.XLOOKUP(C418,products!A:A,products!E:E))</f>
        <v>1886.04</v>
      </c>
      <c r="H418" s="6" t="str">
        <f>_xlfn.XLOOKUP(C418,products!A:A,products!C:C)</f>
        <v>Fashion</v>
      </c>
      <c r="I418" s="6" t="str">
        <f>_xlfn.XLOOKUP(C418,products!A:A,products!B:B)</f>
        <v>Jacket</v>
      </c>
      <c r="J418" s="6">
        <f>_xlfn.XLOOKUP(B418,orders!A:A,orders!C:C)</f>
        <v>45917</v>
      </c>
      <c r="K418" s="6" t="str">
        <f t="shared" si="13"/>
        <v>Sep-2025</v>
      </c>
      <c r="L418" s="6">
        <f>_xlfn.XLOOKUP(B418,orders!A:A,orders!B:B)</f>
        <v>197</v>
      </c>
      <c r="M418" s="6" t="str">
        <f>_xlfn.XLOOKUP("C"&amp;TEXT(L418,"000"),customers!A:A,customers!B:B,"Not Found")</f>
        <v>Swathi D.</v>
      </c>
    </row>
    <row r="419" spans="1:13">
      <c r="A419">
        <v>418</v>
      </c>
      <c r="B419">
        <v>309</v>
      </c>
      <c r="C419">
        <v>27</v>
      </c>
      <c r="D419" s="4">
        <v>3</v>
      </c>
      <c r="E419">
        <f>_xlfn.XLOOKUP(C419,products!A:A,products!D:D)</f>
        <v>4199</v>
      </c>
      <c r="F419">
        <f t="shared" si="12"/>
        <v>12597</v>
      </c>
      <c r="G419">
        <f>D419*(E419-_xlfn.XLOOKUP(C419,products!A:A,products!E:E))</f>
        <v>4345.9500000000007</v>
      </c>
      <c r="H419" s="6" t="str">
        <f>_xlfn.XLOOKUP(C419,products!A:A,products!C:C)</f>
        <v>Home &amp; Kitchen</v>
      </c>
      <c r="I419" s="6" t="str">
        <f>_xlfn.XLOOKUP(C419,products!A:A,products!B:B)</f>
        <v>Cookware Set</v>
      </c>
      <c r="J419" s="6">
        <f>_xlfn.XLOOKUP(B419,orders!A:A,orders!C:C)</f>
        <v>45917</v>
      </c>
      <c r="K419" s="6" t="str">
        <f t="shared" si="13"/>
        <v>Sep-2025</v>
      </c>
      <c r="L419" s="6">
        <f>_xlfn.XLOOKUP(B419,orders!A:A,orders!B:B)</f>
        <v>197</v>
      </c>
      <c r="M419" s="6" t="str">
        <f>_xlfn.XLOOKUP("C"&amp;TEXT(L419,"000"),customers!A:A,customers!B:B,"Not Found")</f>
        <v>Swathi D.</v>
      </c>
    </row>
    <row r="420" spans="1:13">
      <c r="A420">
        <v>419</v>
      </c>
      <c r="B420">
        <v>310</v>
      </c>
      <c r="C420">
        <v>21</v>
      </c>
      <c r="D420" s="4">
        <v>3</v>
      </c>
      <c r="E420">
        <f>_xlfn.XLOOKUP(C420,products!A:A,products!D:D)</f>
        <v>3377</v>
      </c>
      <c r="F420">
        <f t="shared" si="12"/>
        <v>10131</v>
      </c>
      <c r="G420">
        <f>D420*(E420-_xlfn.XLOOKUP(C420,products!A:A,products!E:E))</f>
        <v>4406.97</v>
      </c>
      <c r="H420" s="6" t="str">
        <f>_xlfn.XLOOKUP(C420,products!A:A,products!C:C)</f>
        <v>Home Appliances</v>
      </c>
      <c r="I420" s="6" t="str">
        <f>_xlfn.XLOOKUP(C420,products!A:A,products!B:B)</f>
        <v>Mixer</v>
      </c>
      <c r="J420" s="6">
        <f>_xlfn.XLOOKUP(B420,orders!A:A,orders!C:C)</f>
        <v>45920</v>
      </c>
      <c r="K420" s="6" t="str">
        <f t="shared" si="13"/>
        <v>Sep-2025</v>
      </c>
      <c r="L420" s="6">
        <f>_xlfn.XLOOKUP(B420,orders!A:A,orders!B:B)</f>
        <v>234</v>
      </c>
      <c r="M420" s="6" t="str">
        <f>_xlfn.XLOOKUP("C"&amp;TEXT(L420,"000"),customers!A:A,customers!B:B,"Not Found")</f>
        <v>Neha X.</v>
      </c>
    </row>
    <row r="421" spans="1:13">
      <c r="A421">
        <v>420</v>
      </c>
      <c r="B421">
        <v>310</v>
      </c>
      <c r="C421">
        <v>34</v>
      </c>
      <c r="D421" s="4">
        <v>4</v>
      </c>
      <c r="E421">
        <f>_xlfn.XLOOKUP(C421,products!A:A,products!D:D)</f>
        <v>5158</v>
      </c>
      <c r="F421">
        <f t="shared" si="12"/>
        <v>20632</v>
      </c>
      <c r="G421">
        <f>D421*(E421-_xlfn.XLOOKUP(C421,products!A:A,products!E:E))</f>
        <v>8046.48</v>
      </c>
      <c r="H421" s="6" t="str">
        <f>_xlfn.XLOOKUP(C421,products!A:A,products!C:C)</f>
        <v>Books</v>
      </c>
      <c r="I421" s="6" t="str">
        <f>_xlfn.XLOOKUP(C421,products!A:A,products!B:B)</f>
        <v>Cookbook</v>
      </c>
      <c r="J421" s="6">
        <f>_xlfn.XLOOKUP(B421,orders!A:A,orders!C:C)</f>
        <v>45920</v>
      </c>
      <c r="K421" s="6" t="str">
        <f t="shared" si="13"/>
        <v>Sep-2025</v>
      </c>
      <c r="L421" s="6">
        <f>_xlfn.XLOOKUP(B421,orders!A:A,orders!B:B)</f>
        <v>234</v>
      </c>
      <c r="M421" s="6" t="str">
        <f>_xlfn.XLOOKUP("C"&amp;TEXT(L421,"000"),customers!A:A,customers!B:B,"Not Found")</f>
        <v>Neha X.</v>
      </c>
    </row>
    <row r="422" spans="1:13">
      <c r="A422">
        <v>421</v>
      </c>
      <c r="B422">
        <v>311</v>
      </c>
      <c r="C422">
        <v>28</v>
      </c>
      <c r="D422" s="4">
        <v>4</v>
      </c>
      <c r="E422">
        <f>_xlfn.XLOOKUP(C422,products!A:A,products!D:D)</f>
        <v>4336</v>
      </c>
      <c r="F422">
        <f t="shared" si="12"/>
        <v>17344</v>
      </c>
      <c r="G422">
        <f>D422*(E422-_xlfn.XLOOKUP(C422,products!A:A,products!E:E))</f>
        <v>5723.52</v>
      </c>
      <c r="H422" s="6" t="str">
        <f>_xlfn.XLOOKUP(C422,products!A:A,products!C:C)</f>
        <v>Home &amp; Kitchen</v>
      </c>
      <c r="I422" s="6" t="str">
        <f>_xlfn.XLOOKUP(C422,products!A:A,products!B:B)</f>
        <v>Bottle</v>
      </c>
      <c r="J422" s="6">
        <f>_xlfn.XLOOKUP(B422,orders!A:A,orders!C:C)</f>
        <v>45923</v>
      </c>
      <c r="K422" s="6" t="str">
        <f t="shared" si="13"/>
        <v>Sep-2025</v>
      </c>
      <c r="L422" s="6">
        <f>_xlfn.XLOOKUP(B422,orders!A:A,orders!B:B)</f>
        <v>271</v>
      </c>
      <c r="M422" s="6" t="str">
        <f>_xlfn.XLOOKUP("C"&amp;TEXT(L422,"000"),customers!A:A,customers!B:B,"Not Found")</f>
        <v>Anjali U.</v>
      </c>
    </row>
    <row r="423" spans="1:13">
      <c r="A423">
        <v>422</v>
      </c>
      <c r="B423">
        <v>311</v>
      </c>
      <c r="C423">
        <v>41</v>
      </c>
      <c r="D423" s="4">
        <v>1</v>
      </c>
      <c r="E423">
        <f>_xlfn.XLOOKUP(C423,products!A:A,products!D:D)</f>
        <v>6117</v>
      </c>
      <c r="F423">
        <f t="shared" si="12"/>
        <v>6117</v>
      </c>
      <c r="G423">
        <f>D423*(E423-_xlfn.XLOOKUP(C423,products!A:A,products!E:E))</f>
        <v>2660.89</v>
      </c>
      <c r="H423" s="6" t="str">
        <f>_xlfn.XLOOKUP(C423,products!A:A,products!C:C)</f>
        <v>Beauty</v>
      </c>
      <c r="I423" s="6" t="str">
        <f>_xlfn.XLOOKUP(C423,products!A:A,products!B:B)</f>
        <v>Face Wash</v>
      </c>
      <c r="J423" s="6">
        <f>_xlfn.XLOOKUP(B423,orders!A:A,orders!C:C)</f>
        <v>45923</v>
      </c>
      <c r="K423" s="6" t="str">
        <f t="shared" si="13"/>
        <v>Sep-2025</v>
      </c>
      <c r="L423" s="6">
        <f>_xlfn.XLOOKUP(B423,orders!A:A,orders!B:B)</f>
        <v>271</v>
      </c>
      <c r="M423" s="6" t="str">
        <f>_xlfn.XLOOKUP("C"&amp;TEXT(L423,"000"),customers!A:A,customers!B:B,"Not Found")</f>
        <v>Anjali U.</v>
      </c>
    </row>
    <row r="424" spans="1:13">
      <c r="A424">
        <v>423</v>
      </c>
      <c r="B424">
        <v>312</v>
      </c>
      <c r="C424">
        <v>35</v>
      </c>
      <c r="D424" s="4">
        <v>1</v>
      </c>
      <c r="E424">
        <f>_xlfn.XLOOKUP(C424,products!A:A,products!D:D)</f>
        <v>5295</v>
      </c>
      <c r="F424">
        <f t="shared" si="12"/>
        <v>5295</v>
      </c>
      <c r="G424">
        <f>D424*(E424-_xlfn.XLOOKUP(C424,products!A:A,products!E:E))</f>
        <v>1985.62</v>
      </c>
      <c r="H424" s="6" t="str">
        <f>_xlfn.XLOOKUP(C424,products!A:A,products!C:C)</f>
        <v>Books</v>
      </c>
      <c r="I424" s="6" t="str">
        <f>_xlfn.XLOOKUP(C424,products!A:A,products!B:B)</f>
        <v>Novel</v>
      </c>
      <c r="J424" s="6">
        <f>_xlfn.XLOOKUP(B424,orders!A:A,orders!C:C)</f>
        <v>45926</v>
      </c>
      <c r="K424" s="6" t="str">
        <f t="shared" si="13"/>
        <v>Sep-2025</v>
      </c>
      <c r="L424" s="6">
        <f>_xlfn.XLOOKUP(B424,orders!A:A,orders!B:B)</f>
        <v>308</v>
      </c>
      <c r="M424" s="6" t="str">
        <f>_xlfn.XLOOKUP("C"&amp;TEXT(L424,"000"),customers!A:A,customers!B:B,"Not Found")</f>
        <v>Sneha C.</v>
      </c>
    </row>
    <row r="425" spans="1:13">
      <c r="A425">
        <v>424</v>
      </c>
      <c r="B425">
        <v>312</v>
      </c>
      <c r="C425">
        <v>48</v>
      </c>
      <c r="D425" s="4">
        <v>2</v>
      </c>
      <c r="E425">
        <f>_xlfn.XLOOKUP(C425,products!A:A,products!D:D)</f>
        <v>7076</v>
      </c>
      <c r="F425">
        <f t="shared" si="12"/>
        <v>14152</v>
      </c>
      <c r="G425">
        <f>D425*(E425-_xlfn.XLOOKUP(C425,products!A:A,products!E:E))</f>
        <v>4670.16</v>
      </c>
      <c r="H425" s="6" t="str">
        <f>_xlfn.XLOOKUP(C425,products!A:A,products!C:C)</f>
        <v>Toys</v>
      </c>
      <c r="I425" s="6" t="str">
        <f>_xlfn.XLOOKUP(C425,products!A:A,products!B:B)</f>
        <v>Board Game</v>
      </c>
      <c r="J425" s="6">
        <f>_xlfn.XLOOKUP(B425,orders!A:A,orders!C:C)</f>
        <v>45926</v>
      </c>
      <c r="K425" s="6" t="str">
        <f t="shared" si="13"/>
        <v>Sep-2025</v>
      </c>
      <c r="L425" s="6">
        <f>_xlfn.XLOOKUP(B425,orders!A:A,orders!B:B)</f>
        <v>308</v>
      </c>
      <c r="M425" s="6" t="str">
        <f>_xlfn.XLOOKUP("C"&amp;TEXT(L425,"000"),customers!A:A,customers!B:B,"Not Found")</f>
        <v>Sneha C.</v>
      </c>
    </row>
    <row r="426" spans="1:13">
      <c r="A426">
        <v>425</v>
      </c>
      <c r="B426">
        <v>313</v>
      </c>
      <c r="C426">
        <v>42</v>
      </c>
      <c r="D426" s="4">
        <v>2</v>
      </c>
      <c r="E426">
        <f>_xlfn.XLOOKUP(C426,products!A:A,products!D:D)</f>
        <v>6254</v>
      </c>
      <c r="F426">
        <f t="shared" si="12"/>
        <v>12508</v>
      </c>
      <c r="G426">
        <f>D426*(E426-_xlfn.XLOOKUP(C426,products!A:A,products!E:E))</f>
        <v>5253.36</v>
      </c>
      <c r="H426" s="6" t="str">
        <f>_xlfn.XLOOKUP(C426,products!A:A,products!C:C)</f>
        <v>Beauty</v>
      </c>
      <c r="I426" s="6" t="str">
        <f>_xlfn.XLOOKUP(C426,products!A:A,products!B:B)</f>
        <v>Shampoo</v>
      </c>
      <c r="J426" s="6">
        <f>_xlfn.XLOOKUP(B426,orders!A:A,orders!C:C)</f>
        <v>45929</v>
      </c>
      <c r="K426" s="6" t="str">
        <f t="shared" si="13"/>
        <v>Sep-2025</v>
      </c>
      <c r="L426" s="6">
        <f>_xlfn.XLOOKUP(B426,orders!A:A,orders!B:B)</f>
        <v>345</v>
      </c>
      <c r="M426" s="6" t="str">
        <f>_xlfn.XLOOKUP("C"&amp;TEXT(L426,"000"),customers!A:A,customers!B:B,"Not Found")</f>
        <v>Meena E.</v>
      </c>
    </row>
    <row r="427" spans="1:13">
      <c r="A427">
        <v>426</v>
      </c>
      <c r="B427">
        <v>313</v>
      </c>
      <c r="C427">
        <v>5</v>
      </c>
      <c r="D427" s="4">
        <v>3</v>
      </c>
      <c r="E427">
        <f>_xlfn.XLOOKUP(C427,products!A:A,products!D:D)</f>
        <v>1185</v>
      </c>
      <c r="F427">
        <f t="shared" si="12"/>
        <v>3555</v>
      </c>
      <c r="G427">
        <f>D427*(E427-_xlfn.XLOOKUP(C427,products!A:A,products!E:E))</f>
        <v>1333.1399999999999</v>
      </c>
      <c r="H427" s="6" t="str">
        <f>_xlfn.XLOOKUP(C427,products!A:A,products!C:C)</f>
        <v>Electronics</v>
      </c>
      <c r="I427" s="6" t="str">
        <f>_xlfn.XLOOKUP(C427,products!A:A,products!B:B)</f>
        <v>Keyboard</v>
      </c>
      <c r="J427" s="6">
        <f>_xlfn.XLOOKUP(B427,orders!A:A,orders!C:C)</f>
        <v>45929</v>
      </c>
      <c r="K427" s="6" t="str">
        <f t="shared" si="13"/>
        <v>Sep-2025</v>
      </c>
      <c r="L427" s="6">
        <f>_xlfn.XLOOKUP(B427,orders!A:A,orders!B:B)</f>
        <v>345</v>
      </c>
      <c r="M427" s="6" t="str">
        <f>_xlfn.XLOOKUP("C"&amp;TEXT(L427,"000"),customers!A:A,customers!B:B,"Not Found")</f>
        <v>Meena E.</v>
      </c>
    </row>
    <row r="428" spans="1:13">
      <c r="A428">
        <v>427</v>
      </c>
      <c r="B428">
        <v>314</v>
      </c>
      <c r="C428">
        <v>49</v>
      </c>
      <c r="D428" s="4">
        <v>3</v>
      </c>
      <c r="E428">
        <f>_xlfn.XLOOKUP(C428,products!A:A,products!D:D)</f>
        <v>7213</v>
      </c>
      <c r="F428">
        <f t="shared" si="12"/>
        <v>21639</v>
      </c>
      <c r="G428">
        <f>D428*(E428-_xlfn.XLOOKUP(C428,products!A:A,products!E:E))</f>
        <v>6816.27</v>
      </c>
      <c r="H428" s="6" t="str">
        <f>_xlfn.XLOOKUP(C428,products!A:A,products!C:C)</f>
        <v>Toys</v>
      </c>
      <c r="I428" s="6" t="str">
        <f>_xlfn.XLOOKUP(C428,products!A:A,products!B:B)</f>
        <v>Remote Car</v>
      </c>
      <c r="J428" s="6">
        <f>_xlfn.XLOOKUP(B428,orders!A:A,orders!C:C)</f>
        <v>45932</v>
      </c>
      <c r="K428" s="6" t="str">
        <f t="shared" si="13"/>
        <v>Oct-2025</v>
      </c>
      <c r="L428" s="6">
        <f>_xlfn.XLOOKUP(B428,orders!A:A,orders!B:B)</f>
        <v>382</v>
      </c>
      <c r="M428" s="6" t="str">
        <f>_xlfn.XLOOKUP("C"&amp;TEXT(L428,"000"),customers!A:A,customers!B:B,"Not Found")</f>
        <v>Amit L.</v>
      </c>
    </row>
    <row r="429" spans="1:13">
      <c r="A429">
        <v>428</v>
      </c>
      <c r="B429">
        <v>314</v>
      </c>
      <c r="C429">
        <v>12</v>
      </c>
      <c r="D429" s="4">
        <v>4</v>
      </c>
      <c r="E429">
        <f>_xlfn.XLOOKUP(C429,products!A:A,products!D:D)</f>
        <v>2144</v>
      </c>
      <c r="F429">
        <f t="shared" si="12"/>
        <v>8576</v>
      </c>
      <c r="G429">
        <f>D429*(E429-_xlfn.XLOOKUP(C429,products!A:A,products!E:E))</f>
        <v>3601.92</v>
      </c>
      <c r="H429" s="6" t="str">
        <f>_xlfn.XLOOKUP(C429,products!A:A,products!C:C)</f>
        <v>Fashion</v>
      </c>
      <c r="I429" s="6" t="str">
        <f>_xlfn.XLOOKUP(C429,products!A:A,products!B:B)</f>
        <v>Jeans</v>
      </c>
      <c r="J429" s="6">
        <f>_xlfn.XLOOKUP(B429,orders!A:A,orders!C:C)</f>
        <v>45932</v>
      </c>
      <c r="K429" s="6" t="str">
        <f t="shared" si="13"/>
        <v>Oct-2025</v>
      </c>
      <c r="L429" s="6">
        <f>_xlfn.XLOOKUP(B429,orders!A:A,orders!B:B)</f>
        <v>382</v>
      </c>
      <c r="M429" s="6" t="str">
        <f>_xlfn.XLOOKUP("C"&amp;TEXT(L429,"000"),customers!A:A,customers!B:B,"Not Found")</f>
        <v>Amit L.</v>
      </c>
    </row>
    <row r="430" spans="1:13">
      <c r="A430">
        <v>429</v>
      </c>
      <c r="B430">
        <v>315</v>
      </c>
      <c r="C430">
        <v>6</v>
      </c>
      <c r="D430" s="4">
        <v>4</v>
      </c>
      <c r="E430">
        <f>_xlfn.XLOOKUP(C430,products!A:A,products!D:D)</f>
        <v>1322</v>
      </c>
      <c r="F430">
        <f t="shared" si="12"/>
        <v>5288</v>
      </c>
      <c r="G430">
        <f>D430*(E430-_xlfn.XLOOKUP(C430,products!A:A,products!E:E))</f>
        <v>1903.6799999999998</v>
      </c>
      <c r="H430" s="6" t="str">
        <f>_xlfn.XLOOKUP(C430,products!A:A,products!C:C)</f>
        <v>Electronics</v>
      </c>
      <c r="I430" s="6" t="str">
        <f>_xlfn.XLOOKUP(C430,products!A:A,products!B:B)</f>
        <v>Mouse</v>
      </c>
      <c r="J430" s="6">
        <f>_xlfn.XLOOKUP(B430,orders!A:A,orders!C:C)</f>
        <v>45935</v>
      </c>
      <c r="K430" s="6" t="str">
        <f t="shared" si="13"/>
        <v>Oct-2025</v>
      </c>
      <c r="L430" s="6">
        <f>_xlfn.XLOOKUP(B430,orders!A:A,orders!B:B)</f>
        <v>419</v>
      </c>
      <c r="M430" s="6" t="str">
        <f>_xlfn.XLOOKUP("C"&amp;TEXT(L430,"000"),customers!A:A,customers!B:B,"Not Found")</f>
        <v>Pooja E.</v>
      </c>
    </row>
    <row r="431" spans="1:13">
      <c r="A431">
        <v>430</v>
      </c>
      <c r="B431">
        <v>315</v>
      </c>
      <c r="C431">
        <v>19</v>
      </c>
      <c r="D431" s="4">
        <v>1</v>
      </c>
      <c r="E431">
        <f>_xlfn.XLOOKUP(C431,products!A:A,products!D:D)</f>
        <v>3103</v>
      </c>
      <c r="F431">
        <f t="shared" si="12"/>
        <v>3103</v>
      </c>
      <c r="G431">
        <f>D431*(E431-_xlfn.XLOOKUP(C431,products!A:A,products!E:E))</f>
        <v>977.44</v>
      </c>
      <c r="H431" s="6" t="str">
        <f>_xlfn.XLOOKUP(C431,products!A:A,products!C:C)</f>
        <v>Fashion</v>
      </c>
      <c r="I431" s="6" t="str">
        <f>_xlfn.XLOOKUP(C431,products!A:A,products!B:B)</f>
        <v>Wallet</v>
      </c>
      <c r="J431" s="6">
        <f>_xlfn.XLOOKUP(B431,orders!A:A,orders!C:C)</f>
        <v>45935</v>
      </c>
      <c r="K431" s="6" t="str">
        <f t="shared" si="13"/>
        <v>Oct-2025</v>
      </c>
      <c r="L431" s="6">
        <f>_xlfn.XLOOKUP(B431,orders!A:A,orders!B:B)</f>
        <v>419</v>
      </c>
      <c r="M431" s="6" t="str">
        <f>_xlfn.XLOOKUP("C"&amp;TEXT(L431,"000"),customers!A:A,customers!B:B,"Not Found")</f>
        <v>Pooja E.</v>
      </c>
    </row>
    <row r="432" spans="1:13">
      <c r="A432">
        <v>431</v>
      </c>
      <c r="B432">
        <v>316</v>
      </c>
      <c r="C432">
        <v>13</v>
      </c>
      <c r="D432" s="4">
        <v>1</v>
      </c>
      <c r="E432">
        <f>_xlfn.XLOOKUP(C432,products!A:A,products!D:D)</f>
        <v>2281</v>
      </c>
      <c r="F432">
        <f t="shared" si="12"/>
        <v>2281</v>
      </c>
      <c r="G432">
        <f>D432*(E432-_xlfn.XLOOKUP(C432,products!A:A,products!E:E))</f>
        <v>923.8</v>
      </c>
      <c r="H432" s="6" t="str">
        <f>_xlfn.XLOOKUP(C432,products!A:A,products!C:C)</f>
        <v>Fashion</v>
      </c>
      <c r="I432" s="6" t="str">
        <f>_xlfn.XLOOKUP(C432,products!A:A,products!B:B)</f>
        <v>Shirt</v>
      </c>
      <c r="J432" s="6">
        <f>_xlfn.XLOOKUP(B432,orders!A:A,orders!C:C)</f>
        <v>45938</v>
      </c>
      <c r="K432" s="6" t="str">
        <f t="shared" si="13"/>
        <v>Oct-2025</v>
      </c>
      <c r="L432" s="6">
        <f>_xlfn.XLOOKUP(B432,orders!A:A,orders!B:B)</f>
        <v>456</v>
      </c>
      <c r="M432" s="6" t="str">
        <f>_xlfn.XLOOKUP("C"&amp;TEXT(L432,"000"),customers!A:A,customers!B:B,"Not Found")</f>
        <v>Vikram X.</v>
      </c>
    </row>
    <row r="433" spans="1:13">
      <c r="A433">
        <v>432</v>
      </c>
      <c r="B433">
        <v>316</v>
      </c>
      <c r="C433">
        <v>26</v>
      </c>
      <c r="D433" s="4">
        <v>2</v>
      </c>
      <c r="E433">
        <f>_xlfn.XLOOKUP(C433,products!A:A,products!D:D)</f>
        <v>4062</v>
      </c>
      <c r="F433">
        <f t="shared" si="12"/>
        <v>8124</v>
      </c>
      <c r="G433">
        <f>D433*(E433-_xlfn.XLOOKUP(C433,products!A:A,products!E:E))</f>
        <v>2924.6400000000003</v>
      </c>
      <c r="H433" s="6" t="str">
        <f>_xlfn.XLOOKUP(C433,products!A:A,products!C:C)</f>
        <v>Home &amp; Kitchen</v>
      </c>
      <c r="I433" s="6" t="str">
        <f>_xlfn.XLOOKUP(C433,products!A:A,products!B:B)</f>
        <v>Bedsheet</v>
      </c>
      <c r="J433" s="6">
        <f>_xlfn.XLOOKUP(B433,orders!A:A,orders!C:C)</f>
        <v>45938</v>
      </c>
      <c r="K433" s="6" t="str">
        <f t="shared" si="13"/>
        <v>Oct-2025</v>
      </c>
      <c r="L433" s="6">
        <f>_xlfn.XLOOKUP(B433,orders!A:A,orders!B:B)</f>
        <v>456</v>
      </c>
      <c r="M433" s="6" t="str">
        <f>_xlfn.XLOOKUP("C"&amp;TEXT(L433,"000"),customers!A:A,customers!B:B,"Not Found")</f>
        <v>Vikram X.</v>
      </c>
    </row>
    <row r="434" spans="1:13">
      <c r="A434">
        <v>433</v>
      </c>
      <c r="B434">
        <v>317</v>
      </c>
      <c r="C434">
        <v>20</v>
      </c>
      <c r="D434" s="4">
        <v>2</v>
      </c>
      <c r="E434">
        <f>_xlfn.XLOOKUP(C434,products!A:A,products!D:D)</f>
        <v>3240</v>
      </c>
      <c r="F434">
        <f t="shared" si="12"/>
        <v>6480</v>
      </c>
      <c r="G434">
        <f>D434*(E434-_xlfn.XLOOKUP(C434,products!A:A,products!E:E))</f>
        <v>2916</v>
      </c>
      <c r="H434" s="6" t="str">
        <f>_xlfn.XLOOKUP(C434,products!A:A,products!C:C)</f>
        <v>Fashion</v>
      </c>
      <c r="I434" s="6" t="str">
        <f>_xlfn.XLOOKUP(C434,products!A:A,products!B:B)</f>
        <v>Belt</v>
      </c>
      <c r="J434" s="6">
        <f>_xlfn.XLOOKUP(B434,orders!A:A,orders!C:C)</f>
        <v>45941</v>
      </c>
      <c r="K434" s="6" t="str">
        <f t="shared" si="13"/>
        <v>Oct-2025</v>
      </c>
      <c r="L434" s="6">
        <f>_xlfn.XLOOKUP(B434,orders!A:A,orders!B:B)</f>
        <v>493</v>
      </c>
      <c r="M434" s="6" t="str">
        <f>_xlfn.XLOOKUP("C"&amp;TEXT(L434,"000"),customers!A:A,customers!B:B,"Not Found")</f>
        <v>Priya J.</v>
      </c>
    </row>
    <row r="435" spans="1:13">
      <c r="A435">
        <v>434</v>
      </c>
      <c r="B435">
        <v>317</v>
      </c>
      <c r="C435">
        <v>33</v>
      </c>
      <c r="D435" s="4">
        <v>3</v>
      </c>
      <c r="E435">
        <f>_xlfn.XLOOKUP(C435,products!A:A,products!D:D)</f>
        <v>5021</v>
      </c>
      <c r="F435">
        <f t="shared" si="12"/>
        <v>15063</v>
      </c>
      <c r="G435">
        <f>D435*(E435-_xlfn.XLOOKUP(C435,products!A:A,products!E:E))</f>
        <v>6100.5</v>
      </c>
      <c r="H435" s="6" t="str">
        <f>_xlfn.XLOOKUP(C435,products!A:A,products!C:C)</f>
        <v>Books</v>
      </c>
      <c r="I435" s="6" t="str">
        <f>_xlfn.XLOOKUP(C435,products!A:A,products!B:B)</f>
        <v>Pen Set</v>
      </c>
      <c r="J435" s="6">
        <f>_xlfn.XLOOKUP(B435,orders!A:A,orders!C:C)</f>
        <v>45941</v>
      </c>
      <c r="K435" s="6" t="str">
        <f t="shared" si="13"/>
        <v>Oct-2025</v>
      </c>
      <c r="L435" s="6">
        <f>_xlfn.XLOOKUP(B435,orders!A:A,orders!B:B)</f>
        <v>493</v>
      </c>
      <c r="M435" s="6" t="str">
        <f>_xlfn.XLOOKUP("C"&amp;TEXT(L435,"000"),customers!A:A,customers!B:B,"Not Found")</f>
        <v>Priya J.</v>
      </c>
    </row>
    <row r="436" spans="1:13">
      <c r="A436">
        <v>435</v>
      </c>
      <c r="B436">
        <v>318</v>
      </c>
      <c r="C436">
        <v>27</v>
      </c>
      <c r="D436" s="4">
        <v>3</v>
      </c>
      <c r="E436">
        <f>_xlfn.XLOOKUP(C436,products!A:A,products!D:D)</f>
        <v>4199</v>
      </c>
      <c r="F436">
        <f t="shared" si="12"/>
        <v>12597</v>
      </c>
      <c r="G436">
        <f>D436*(E436-_xlfn.XLOOKUP(C436,products!A:A,products!E:E))</f>
        <v>4345.9500000000007</v>
      </c>
      <c r="H436" s="6" t="str">
        <f>_xlfn.XLOOKUP(C436,products!A:A,products!C:C)</f>
        <v>Home &amp; Kitchen</v>
      </c>
      <c r="I436" s="6" t="str">
        <f>_xlfn.XLOOKUP(C436,products!A:A,products!B:B)</f>
        <v>Cookware Set</v>
      </c>
      <c r="J436" s="6">
        <f>_xlfn.XLOOKUP(B436,orders!A:A,orders!C:C)</f>
        <v>45944</v>
      </c>
      <c r="K436" s="6" t="str">
        <f t="shared" si="13"/>
        <v>Oct-2025</v>
      </c>
      <c r="L436" s="6">
        <f>_xlfn.XLOOKUP(B436,orders!A:A,orders!B:B)</f>
        <v>30</v>
      </c>
      <c r="M436" s="6" t="str">
        <f>_xlfn.XLOOKUP("C"&amp;TEXT(L436,"000"),customers!A:A,customers!B:B,"Not Found")</f>
        <v>Manoj T.</v>
      </c>
    </row>
    <row r="437" spans="1:13">
      <c r="A437">
        <v>436</v>
      </c>
      <c r="B437">
        <v>318</v>
      </c>
      <c r="C437">
        <v>40</v>
      </c>
      <c r="D437" s="4">
        <v>4</v>
      </c>
      <c r="E437">
        <f>_xlfn.XLOOKUP(C437,products!A:A,products!D:D)</f>
        <v>5980</v>
      </c>
      <c r="F437">
        <f t="shared" si="12"/>
        <v>23920</v>
      </c>
      <c r="G437">
        <f>D437*(E437-_xlfn.XLOOKUP(C437,products!A:A,products!E:E))</f>
        <v>10764</v>
      </c>
      <c r="H437" s="6" t="str">
        <f>_xlfn.XLOOKUP(C437,products!A:A,products!C:C)</f>
        <v>Sports</v>
      </c>
      <c r="I437" s="6" t="str">
        <f>_xlfn.XLOOKUP(C437,products!A:A,products!B:B)</f>
        <v>Dumbbells</v>
      </c>
      <c r="J437" s="6">
        <f>_xlfn.XLOOKUP(B437,orders!A:A,orders!C:C)</f>
        <v>45944</v>
      </c>
      <c r="K437" s="6" t="str">
        <f t="shared" si="13"/>
        <v>Oct-2025</v>
      </c>
      <c r="L437" s="6">
        <f>_xlfn.XLOOKUP(B437,orders!A:A,orders!B:B)</f>
        <v>30</v>
      </c>
      <c r="M437" s="6" t="str">
        <f>_xlfn.XLOOKUP("C"&amp;TEXT(L437,"000"),customers!A:A,customers!B:B,"Not Found")</f>
        <v>Manoj T.</v>
      </c>
    </row>
    <row r="438" spans="1:13">
      <c r="A438">
        <v>437</v>
      </c>
      <c r="B438">
        <v>319</v>
      </c>
      <c r="C438">
        <v>34</v>
      </c>
      <c r="D438" s="4">
        <v>4</v>
      </c>
      <c r="E438">
        <f>_xlfn.XLOOKUP(C438,products!A:A,products!D:D)</f>
        <v>5158</v>
      </c>
      <c r="F438">
        <f t="shared" si="12"/>
        <v>20632</v>
      </c>
      <c r="G438">
        <f>D438*(E438-_xlfn.XLOOKUP(C438,products!A:A,products!E:E))</f>
        <v>8046.48</v>
      </c>
      <c r="H438" s="6" t="str">
        <f>_xlfn.XLOOKUP(C438,products!A:A,products!C:C)</f>
        <v>Books</v>
      </c>
      <c r="I438" s="6" t="str">
        <f>_xlfn.XLOOKUP(C438,products!A:A,products!B:B)</f>
        <v>Cookbook</v>
      </c>
      <c r="J438" s="6">
        <f>_xlfn.XLOOKUP(B438,orders!A:A,orders!C:C)</f>
        <v>45947</v>
      </c>
      <c r="K438" s="6" t="str">
        <f t="shared" si="13"/>
        <v>Oct-2025</v>
      </c>
      <c r="L438" s="6">
        <f>_xlfn.XLOOKUP(B438,orders!A:A,orders!B:B)</f>
        <v>67</v>
      </c>
      <c r="M438" s="6" t="str">
        <f>_xlfn.XLOOKUP("C"&amp;TEXT(L438,"000"),customers!A:A,customers!B:B,"Not Found")</f>
        <v>Ravi Q.</v>
      </c>
    </row>
    <row r="439" spans="1:13">
      <c r="A439">
        <v>438</v>
      </c>
      <c r="B439">
        <v>319</v>
      </c>
      <c r="C439">
        <v>47</v>
      </c>
      <c r="D439" s="4">
        <v>1</v>
      </c>
      <c r="E439">
        <f>_xlfn.XLOOKUP(C439,products!A:A,products!D:D)</f>
        <v>6939</v>
      </c>
      <c r="F439">
        <f t="shared" si="12"/>
        <v>6939</v>
      </c>
      <c r="G439">
        <f>D439*(E439-_xlfn.XLOOKUP(C439,products!A:A,products!E:E))</f>
        <v>2393.9499999999998</v>
      </c>
      <c r="H439" s="6" t="str">
        <f>_xlfn.XLOOKUP(C439,products!A:A,products!C:C)</f>
        <v>Toys</v>
      </c>
      <c r="I439" s="6" t="str">
        <f>_xlfn.XLOOKUP(C439,products!A:A,products!B:B)</f>
        <v>Puzzle</v>
      </c>
      <c r="J439" s="6">
        <f>_xlfn.XLOOKUP(B439,orders!A:A,orders!C:C)</f>
        <v>45947</v>
      </c>
      <c r="K439" s="6" t="str">
        <f t="shared" si="13"/>
        <v>Oct-2025</v>
      </c>
      <c r="L439" s="6">
        <f>_xlfn.XLOOKUP(B439,orders!A:A,orders!B:B)</f>
        <v>67</v>
      </c>
      <c r="M439" s="6" t="str">
        <f>_xlfn.XLOOKUP("C"&amp;TEXT(L439,"000"),customers!A:A,customers!B:B,"Not Found")</f>
        <v>Ravi Q.</v>
      </c>
    </row>
    <row r="440" spans="1:13">
      <c r="A440">
        <v>439</v>
      </c>
      <c r="B440">
        <v>320</v>
      </c>
      <c r="C440">
        <v>41</v>
      </c>
      <c r="D440" s="4">
        <v>1</v>
      </c>
      <c r="E440">
        <f>_xlfn.XLOOKUP(C440,products!A:A,products!D:D)</f>
        <v>6117</v>
      </c>
      <c r="F440">
        <f t="shared" si="12"/>
        <v>6117</v>
      </c>
      <c r="G440">
        <f>D440*(E440-_xlfn.XLOOKUP(C440,products!A:A,products!E:E))</f>
        <v>2660.89</v>
      </c>
      <c r="H440" s="6" t="str">
        <f>_xlfn.XLOOKUP(C440,products!A:A,products!C:C)</f>
        <v>Beauty</v>
      </c>
      <c r="I440" s="6" t="str">
        <f>_xlfn.XLOOKUP(C440,products!A:A,products!B:B)</f>
        <v>Face Wash</v>
      </c>
      <c r="J440" s="6">
        <f>_xlfn.XLOOKUP(B440,orders!A:A,orders!C:C)</f>
        <v>45950</v>
      </c>
      <c r="K440" s="6" t="str">
        <f t="shared" si="13"/>
        <v>Oct-2025</v>
      </c>
      <c r="L440" s="6">
        <f>_xlfn.XLOOKUP(B440,orders!A:A,orders!B:B)</f>
        <v>104</v>
      </c>
      <c r="M440" s="6" t="str">
        <f>_xlfn.XLOOKUP("C"&amp;TEXT(L440,"000"),customers!A:A,customers!B:B,"Not Found")</f>
        <v>Pooja V.</v>
      </c>
    </row>
    <row r="441" spans="1:13">
      <c r="A441">
        <v>440</v>
      </c>
      <c r="B441">
        <v>320</v>
      </c>
      <c r="C441">
        <v>4</v>
      </c>
      <c r="D441" s="4">
        <v>2</v>
      </c>
      <c r="E441">
        <f>_xlfn.XLOOKUP(C441,products!A:A,products!D:D)</f>
        <v>1048</v>
      </c>
      <c r="F441">
        <f t="shared" si="12"/>
        <v>2096</v>
      </c>
      <c r="G441">
        <f>D441*(E441-_xlfn.XLOOKUP(C441,products!A:A,products!E:E))</f>
        <v>817.44</v>
      </c>
      <c r="H441" s="6" t="str">
        <f>_xlfn.XLOOKUP(C441,products!A:A,products!C:C)</f>
        <v>Electronics</v>
      </c>
      <c r="I441" s="6" t="str">
        <f>_xlfn.XLOOKUP(C441,products!A:A,products!B:B)</f>
        <v>Smart Watch</v>
      </c>
      <c r="J441" s="6">
        <f>_xlfn.XLOOKUP(B441,orders!A:A,orders!C:C)</f>
        <v>45950</v>
      </c>
      <c r="K441" s="6" t="str">
        <f t="shared" si="13"/>
        <v>Oct-2025</v>
      </c>
      <c r="L441" s="6">
        <f>_xlfn.XLOOKUP(B441,orders!A:A,orders!B:B)</f>
        <v>104</v>
      </c>
      <c r="M441" s="6" t="str">
        <f>_xlfn.XLOOKUP("C"&amp;TEXT(L441,"000"),customers!A:A,customers!B:B,"Not Found")</f>
        <v>Pooja V.</v>
      </c>
    </row>
    <row r="442" spans="1:13">
      <c r="A442">
        <v>441</v>
      </c>
      <c r="B442">
        <v>321</v>
      </c>
      <c r="C442">
        <v>48</v>
      </c>
      <c r="D442" s="4">
        <v>2</v>
      </c>
      <c r="E442">
        <f>_xlfn.XLOOKUP(C442,products!A:A,products!D:D)</f>
        <v>7076</v>
      </c>
      <c r="F442">
        <f t="shared" si="12"/>
        <v>14152</v>
      </c>
      <c r="G442">
        <f>D442*(E442-_xlfn.XLOOKUP(C442,products!A:A,products!E:E))</f>
        <v>4670.16</v>
      </c>
      <c r="H442" s="6" t="str">
        <f>_xlfn.XLOOKUP(C442,products!A:A,products!C:C)</f>
        <v>Toys</v>
      </c>
      <c r="I442" s="6" t="str">
        <f>_xlfn.XLOOKUP(C442,products!A:A,products!B:B)</f>
        <v>Board Game</v>
      </c>
      <c r="J442" s="6">
        <f>_xlfn.XLOOKUP(B442,orders!A:A,orders!C:C)</f>
        <v>45953</v>
      </c>
      <c r="K442" s="6" t="str">
        <f t="shared" si="13"/>
        <v>Oct-2025</v>
      </c>
      <c r="L442" s="6">
        <f>_xlfn.XLOOKUP(B442,orders!A:A,orders!B:B)</f>
        <v>141</v>
      </c>
      <c r="M442" s="6" t="str">
        <f>_xlfn.XLOOKUP("C"&amp;TEXT(L442,"000"),customers!A:A,customers!B:B,"Not Found")</f>
        <v>Kiran Q.</v>
      </c>
    </row>
    <row r="443" spans="1:13">
      <c r="A443">
        <v>442</v>
      </c>
      <c r="B443">
        <v>321</v>
      </c>
      <c r="C443">
        <v>11</v>
      </c>
      <c r="D443" s="4">
        <v>3</v>
      </c>
      <c r="E443">
        <f>_xlfn.XLOOKUP(C443,products!A:A,products!D:D)</f>
        <v>2007</v>
      </c>
      <c r="F443">
        <f t="shared" si="12"/>
        <v>6021</v>
      </c>
      <c r="G443">
        <f>D443*(E443-_xlfn.XLOOKUP(C443,products!A:A,products!E:E))</f>
        <v>2619.12</v>
      </c>
      <c r="H443" s="6" t="str">
        <f>_xlfn.XLOOKUP(C443,products!A:A,products!C:C)</f>
        <v>Fashion</v>
      </c>
      <c r="I443" s="6" t="str">
        <f>_xlfn.XLOOKUP(C443,products!A:A,products!B:B)</f>
        <v>T-Shirt</v>
      </c>
      <c r="J443" s="6">
        <f>_xlfn.XLOOKUP(B443,orders!A:A,orders!C:C)</f>
        <v>45953</v>
      </c>
      <c r="K443" s="6" t="str">
        <f t="shared" si="13"/>
        <v>Oct-2025</v>
      </c>
      <c r="L443" s="6">
        <f>_xlfn.XLOOKUP(B443,orders!A:A,orders!B:B)</f>
        <v>141</v>
      </c>
      <c r="M443" s="6" t="str">
        <f>_xlfn.XLOOKUP("C"&amp;TEXT(L443,"000"),customers!A:A,customers!B:B,"Not Found")</f>
        <v>Kiran Q.</v>
      </c>
    </row>
    <row r="444" spans="1:13">
      <c r="A444">
        <v>443</v>
      </c>
      <c r="B444">
        <v>322</v>
      </c>
      <c r="C444">
        <v>5</v>
      </c>
      <c r="D444" s="4">
        <v>3</v>
      </c>
      <c r="E444">
        <f>_xlfn.XLOOKUP(C444,products!A:A,products!D:D)</f>
        <v>1185</v>
      </c>
      <c r="F444">
        <f t="shared" si="12"/>
        <v>3555</v>
      </c>
      <c r="G444">
        <f>D444*(E444-_xlfn.XLOOKUP(C444,products!A:A,products!E:E))</f>
        <v>1333.1399999999999</v>
      </c>
      <c r="H444" s="6" t="str">
        <f>_xlfn.XLOOKUP(C444,products!A:A,products!C:C)</f>
        <v>Electronics</v>
      </c>
      <c r="I444" s="6" t="str">
        <f>_xlfn.XLOOKUP(C444,products!A:A,products!B:B)</f>
        <v>Keyboard</v>
      </c>
      <c r="J444" s="6">
        <f>_xlfn.XLOOKUP(B444,orders!A:A,orders!C:C)</f>
        <v>45956</v>
      </c>
      <c r="K444" s="6" t="str">
        <f t="shared" si="13"/>
        <v>Oct-2025</v>
      </c>
      <c r="L444" s="6">
        <f>_xlfn.XLOOKUP(B444,orders!A:A,orders!B:B)</f>
        <v>178</v>
      </c>
      <c r="M444" s="6" t="str">
        <f>_xlfn.XLOOKUP("C"&amp;TEXT(L444,"000"),customers!A:A,customers!B:B,"Not Found")</f>
        <v>Pooja I.</v>
      </c>
    </row>
    <row r="445" spans="1:13">
      <c r="A445">
        <v>444</v>
      </c>
      <c r="B445">
        <v>322</v>
      </c>
      <c r="C445">
        <v>18</v>
      </c>
      <c r="D445" s="4">
        <v>4</v>
      </c>
      <c r="E445">
        <f>_xlfn.XLOOKUP(C445,products!A:A,products!D:D)</f>
        <v>2966</v>
      </c>
      <c r="F445">
        <f t="shared" si="12"/>
        <v>11864</v>
      </c>
      <c r="G445">
        <f>D445*(E445-_xlfn.XLOOKUP(C445,products!A:A,products!E:E))</f>
        <v>3915.12</v>
      </c>
      <c r="H445" s="6" t="str">
        <f>_xlfn.XLOOKUP(C445,products!A:A,products!C:C)</f>
        <v>Fashion</v>
      </c>
      <c r="I445" s="6" t="str">
        <f>_xlfn.XLOOKUP(C445,products!A:A,products!B:B)</f>
        <v>Backpack</v>
      </c>
      <c r="J445" s="6">
        <f>_xlfn.XLOOKUP(B445,orders!A:A,orders!C:C)</f>
        <v>45956</v>
      </c>
      <c r="K445" s="6" t="str">
        <f t="shared" si="13"/>
        <v>Oct-2025</v>
      </c>
      <c r="L445" s="6">
        <f>_xlfn.XLOOKUP(B445,orders!A:A,orders!B:B)</f>
        <v>178</v>
      </c>
      <c r="M445" s="6" t="str">
        <f>_xlfn.XLOOKUP("C"&amp;TEXT(L445,"000"),customers!A:A,customers!B:B,"Not Found")</f>
        <v>Pooja I.</v>
      </c>
    </row>
    <row r="446" spans="1:13">
      <c r="A446">
        <v>445</v>
      </c>
      <c r="B446">
        <v>323</v>
      </c>
      <c r="C446">
        <v>12</v>
      </c>
      <c r="D446" s="4">
        <v>4</v>
      </c>
      <c r="E446">
        <f>_xlfn.XLOOKUP(C446,products!A:A,products!D:D)</f>
        <v>2144</v>
      </c>
      <c r="F446">
        <f t="shared" si="12"/>
        <v>8576</v>
      </c>
      <c r="G446">
        <f>D446*(E446-_xlfn.XLOOKUP(C446,products!A:A,products!E:E))</f>
        <v>3601.92</v>
      </c>
      <c r="H446" s="6" t="str">
        <f>_xlfn.XLOOKUP(C446,products!A:A,products!C:C)</f>
        <v>Fashion</v>
      </c>
      <c r="I446" s="6" t="str">
        <f>_xlfn.XLOOKUP(C446,products!A:A,products!B:B)</f>
        <v>Jeans</v>
      </c>
      <c r="J446" s="6">
        <f>_xlfn.XLOOKUP(B446,orders!A:A,orders!C:C)</f>
        <v>45959</v>
      </c>
      <c r="K446" s="6" t="str">
        <f t="shared" si="13"/>
        <v>Oct-2025</v>
      </c>
      <c r="L446" s="6">
        <f>_xlfn.XLOOKUP(B446,orders!A:A,orders!B:B)</f>
        <v>215</v>
      </c>
      <c r="M446" s="6" t="str">
        <f>_xlfn.XLOOKUP("C"&amp;TEXT(L446,"000"),customers!A:A,customers!B:B,"Not Found")</f>
        <v>Lakshmi M.</v>
      </c>
    </row>
    <row r="447" spans="1:13">
      <c r="A447">
        <v>446</v>
      </c>
      <c r="B447">
        <v>323</v>
      </c>
      <c r="C447">
        <v>25</v>
      </c>
      <c r="D447" s="4">
        <v>1</v>
      </c>
      <c r="E447">
        <f>_xlfn.XLOOKUP(C447,products!A:A,products!D:D)</f>
        <v>3925</v>
      </c>
      <c r="F447">
        <f t="shared" si="12"/>
        <v>3925</v>
      </c>
      <c r="G447">
        <f>D447*(E447-_xlfn.XLOOKUP(C447,products!A:A,products!E:E))</f>
        <v>1471.88</v>
      </c>
      <c r="H447" s="6" t="str">
        <f>_xlfn.XLOOKUP(C447,products!A:A,products!C:C)</f>
        <v>Home Appliances</v>
      </c>
      <c r="I447" s="6" t="str">
        <f>_xlfn.XLOOKUP(C447,products!A:A,products!B:B)</f>
        <v>Vacuum Cleaner</v>
      </c>
      <c r="J447" s="6">
        <f>_xlfn.XLOOKUP(B447,orders!A:A,orders!C:C)</f>
        <v>45959</v>
      </c>
      <c r="K447" s="6" t="str">
        <f t="shared" si="13"/>
        <v>Oct-2025</v>
      </c>
      <c r="L447" s="6">
        <f>_xlfn.XLOOKUP(B447,orders!A:A,orders!B:B)</f>
        <v>215</v>
      </c>
      <c r="M447" s="6" t="str">
        <f>_xlfn.XLOOKUP("C"&amp;TEXT(L447,"000"),customers!A:A,customers!B:B,"Not Found")</f>
        <v>Lakshmi M.</v>
      </c>
    </row>
    <row r="448" spans="1:13">
      <c r="A448">
        <v>447</v>
      </c>
      <c r="B448">
        <v>324</v>
      </c>
      <c r="C448">
        <v>19</v>
      </c>
      <c r="D448" s="4">
        <v>1</v>
      </c>
      <c r="E448">
        <f>_xlfn.XLOOKUP(C448,products!A:A,products!D:D)</f>
        <v>3103</v>
      </c>
      <c r="F448">
        <f t="shared" si="12"/>
        <v>3103</v>
      </c>
      <c r="G448">
        <f>D448*(E448-_xlfn.XLOOKUP(C448,products!A:A,products!E:E))</f>
        <v>977.44</v>
      </c>
      <c r="H448" s="6" t="str">
        <f>_xlfn.XLOOKUP(C448,products!A:A,products!C:C)</f>
        <v>Fashion</v>
      </c>
      <c r="I448" s="6" t="str">
        <f>_xlfn.XLOOKUP(C448,products!A:A,products!B:B)</f>
        <v>Wallet</v>
      </c>
      <c r="J448" s="6">
        <f>_xlfn.XLOOKUP(B448,orders!A:A,orders!C:C)</f>
        <v>45962</v>
      </c>
      <c r="K448" s="6" t="str">
        <f t="shared" si="13"/>
        <v>Nov-2025</v>
      </c>
      <c r="L448" s="6">
        <f>_xlfn.XLOOKUP(B448,orders!A:A,orders!B:B)</f>
        <v>252</v>
      </c>
      <c r="M448" s="6" t="str">
        <f>_xlfn.XLOOKUP("C"&amp;TEXT(L448,"000"),customers!A:A,customers!B:B,"Not Found")</f>
        <v>Lakshmi U.</v>
      </c>
    </row>
    <row r="449" spans="1:13">
      <c r="A449">
        <v>448</v>
      </c>
      <c r="B449">
        <v>324</v>
      </c>
      <c r="C449">
        <v>32</v>
      </c>
      <c r="D449" s="4">
        <v>2</v>
      </c>
      <c r="E449">
        <f>_xlfn.XLOOKUP(C449,products!A:A,products!D:D)</f>
        <v>4884</v>
      </c>
      <c r="F449">
        <f t="shared" si="12"/>
        <v>9768</v>
      </c>
      <c r="G449">
        <f>D449*(E449-_xlfn.XLOOKUP(C449,products!A:A,products!E:E))</f>
        <v>4102.5600000000004</v>
      </c>
      <c r="H449" s="6" t="str">
        <f>_xlfn.XLOOKUP(C449,products!A:A,products!C:C)</f>
        <v>Books</v>
      </c>
      <c r="I449" s="6" t="str">
        <f>_xlfn.XLOOKUP(C449,products!A:A,products!B:B)</f>
        <v>Notebook</v>
      </c>
      <c r="J449" s="6">
        <f>_xlfn.XLOOKUP(B449,orders!A:A,orders!C:C)</f>
        <v>45962</v>
      </c>
      <c r="K449" s="6" t="str">
        <f t="shared" si="13"/>
        <v>Nov-2025</v>
      </c>
      <c r="L449" s="6">
        <f>_xlfn.XLOOKUP(B449,orders!A:A,orders!B:B)</f>
        <v>252</v>
      </c>
      <c r="M449" s="6" t="str">
        <f>_xlfn.XLOOKUP("C"&amp;TEXT(L449,"000"),customers!A:A,customers!B:B,"Not Found")</f>
        <v>Lakshmi U.</v>
      </c>
    </row>
    <row r="450" spans="1:13">
      <c r="A450">
        <v>449</v>
      </c>
      <c r="B450">
        <v>325</v>
      </c>
      <c r="C450">
        <v>26</v>
      </c>
      <c r="D450" s="4">
        <v>2</v>
      </c>
      <c r="E450">
        <f>_xlfn.XLOOKUP(C450,products!A:A,products!D:D)</f>
        <v>4062</v>
      </c>
      <c r="F450">
        <f t="shared" ref="F450:F513" si="14">D450*E450</f>
        <v>8124</v>
      </c>
      <c r="G450">
        <f>D450*(E450-_xlfn.XLOOKUP(C450,products!A:A,products!E:E))</f>
        <v>2924.6400000000003</v>
      </c>
      <c r="H450" s="6" t="str">
        <f>_xlfn.XLOOKUP(C450,products!A:A,products!C:C)</f>
        <v>Home &amp; Kitchen</v>
      </c>
      <c r="I450" s="6" t="str">
        <f>_xlfn.XLOOKUP(C450,products!A:A,products!B:B)</f>
        <v>Bedsheet</v>
      </c>
      <c r="J450" s="6">
        <f>_xlfn.XLOOKUP(B450,orders!A:A,orders!C:C)</f>
        <v>45965</v>
      </c>
      <c r="K450" s="6" t="str">
        <f t="shared" ref="K450:K513" si="15">TEXT(J450,"mmm-yyyy")</f>
        <v>Nov-2025</v>
      </c>
      <c r="L450" s="6">
        <f>_xlfn.XLOOKUP(B450,orders!A:A,orders!B:B)</f>
        <v>289</v>
      </c>
      <c r="M450" s="6" t="str">
        <f>_xlfn.XLOOKUP("C"&amp;TEXT(L450,"000"),customers!A:A,customers!B:B,"Not Found")</f>
        <v>Divya X.</v>
      </c>
    </row>
    <row r="451" spans="1:13">
      <c r="A451">
        <v>450</v>
      </c>
      <c r="B451">
        <v>325</v>
      </c>
      <c r="C451">
        <v>39</v>
      </c>
      <c r="D451" s="4">
        <v>3</v>
      </c>
      <c r="E451">
        <f>_xlfn.XLOOKUP(C451,products!A:A,products!D:D)</f>
        <v>5843</v>
      </c>
      <c r="F451">
        <f t="shared" si="14"/>
        <v>17529</v>
      </c>
      <c r="G451">
        <f>D451*(E451-_xlfn.XLOOKUP(C451,products!A:A,products!E:E))</f>
        <v>5521.62</v>
      </c>
      <c r="H451" s="6" t="str">
        <f>_xlfn.XLOOKUP(C451,products!A:A,products!C:C)</f>
        <v>Sports</v>
      </c>
      <c r="I451" s="6" t="str">
        <f>_xlfn.XLOOKUP(C451,products!A:A,products!B:B)</f>
        <v>Yoga Mat</v>
      </c>
      <c r="J451" s="6">
        <f>_xlfn.XLOOKUP(B451,orders!A:A,orders!C:C)</f>
        <v>45965</v>
      </c>
      <c r="K451" s="6" t="str">
        <f t="shared" si="15"/>
        <v>Nov-2025</v>
      </c>
      <c r="L451" s="6">
        <f>_xlfn.XLOOKUP(B451,orders!A:A,orders!B:B)</f>
        <v>289</v>
      </c>
      <c r="M451" s="6" t="str">
        <f>_xlfn.XLOOKUP("C"&amp;TEXT(L451,"000"),customers!A:A,customers!B:B,"Not Found")</f>
        <v>Divya X.</v>
      </c>
    </row>
    <row r="452" spans="1:13">
      <c r="A452">
        <v>451</v>
      </c>
      <c r="B452">
        <v>326</v>
      </c>
      <c r="C452">
        <v>33</v>
      </c>
      <c r="D452" s="4">
        <v>3</v>
      </c>
      <c r="E452">
        <f>_xlfn.XLOOKUP(C452,products!A:A,products!D:D)</f>
        <v>5021</v>
      </c>
      <c r="F452">
        <f t="shared" si="14"/>
        <v>15063</v>
      </c>
      <c r="G452">
        <f>D452*(E452-_xlfn.XLOOKUP(C452,products!A:A,products!E:E))</f>
        <v>6100.5</v>
      </c>
      <c r="H452" s="6" t="str">
        <f>_xlfn.XLOOKUP(C452,products!A:A,products!C:C)</f>
        <v>Books</v>
      </c>
      <c r="I452" s="6" t="str">
        <f>_xlfn.XLOOKUP(C452,products!A:A,products!B:B)</f>
        <v>Pen Set</v>
      </c>
      <c r="J452" s="6">
        <f>_xlfn.XLOOKUP(B452,orders!A:A,orders!C:C)</f>
        <v>45968</v>
      </c>
      <c r="K452" s="6" t="str">
        <f t="shared" si="15"/>
        <v>Nov-2025</v>
      </c>
      <c r="L452" s="6">
        <f>_xlfn.XLOOKUP(B452,orders!A:A,orders!B:B)</f>
        <v>326</v>
      </c>
      <c r="M452" s="6" t="str">
        <f>_xlfn.XLOOKUP("C"&amp;TEXT(L452,"000"),customers!A:A,customers!B:B,"Not Found")</f>
        <v>Priya Z.</v>
      </c>
    </row>
    <row r="453" spans="1:13">
      <c r="A453">
        <v>452</v>
      </c>
      <c r="B453">
        <v>326</v>
      </c>
      <c r="C453">
        <v>46</v>
      </c>
      <c r="D453" s="4">
        <v>4</v>
      </c>
      <c r="E453">
        <f>_xlfn.XLOOKUP(C453,products!A:A,products!D:D)</f>
        <v>6802</v>
      </c>
      <c r="F453">
        <f t="shared" si="14"/>
        <v>27208</v>
      </c>
      <c r="G453">
        <f>D453*(E453-_xlfn.XLOOKUP(C453,products!A:A,products!E:E))</f>
        <v>9794.880000000001</v>
      </c>
      <c r="H453" s="6" t="str">
        <f>_xlfn.XLOOKUP(C453,products!A:A,products!C:C)</f>
        <v>Toys</v>
      </c>
      <c r="I453" s="6" t="str">
        <f>_xlfn.XLOOKUP(C453,products!A:A,products!B:B)</f>
        <v>Toys Car</v>
      </c>
      <c r="J453" s="6">
        <f>_xlfn.XLOOKUP(B453,orders!A:A,orders!C:C)</f>
        <v>45968</v>
      </c>
      <c r="K453" s="6" t="str">
        <f t="shared" si="15"/>
        <v>Nov-2025</v>
      </c>
      <c r="L453" s="6">
        <f>_xlfn.XLOOKUP(B453,orders!A:A,orders!B:B)</f>
        <v>326</v>
      </c>
      <c r="M453" s="6" t="str">
        <f>_xlfn.XLOOKUP("C"&amp;TEXT(L453,"000"),customers!A:A,customers!B:B,"Not Found")</f>
        <v>Priya Z.</v>
      </c>
    </row>
    <row r="454" spans="1:13">
      <c r="A454">
        <v>453</v>
      </c>
      <c r="B454">
        <v>327</v>
      </c>
      <c r="C454">
        <v>40</v>
      </c>
      <c r="D454" s="4">
        <v>4</v>
      </c>
      <c r="E454">
        <f>_xlfn.XLOOKUP(C454,products!A:A,products!D:D)</f>
        <v>5980</v>
      </c>
      <c r="F454">
        <f t="shared" si="14"/>
        <v>23920</v>
      </c>
      <c r="G454">
        <f>D454*(E454-_xlfn.XLOOKUP(C454,products!A:A,products!E:E))</f>
        <v>10764</v>
      </c>
      <c r="H454" s="6" t="str">
        <f>_xlfn.XLOOKUP(C454,products!A:A,products!C:C)</f>
        <v>Sports</v>
      </c>
      <c r="I454" s="6" t="str">
        <f>_xlfn.XLOOKUP(C454,products!A:A,products!B:B)</f>
        <v>Dumbbells</v>
      </c>
      <c r="J454" s="6">
        <f>_xlfn.XLOOKUP(B454,orders!A:A,orders!C:C)</f>
        <v>45971</v>
      </c>
      <c r="K454" s="6" t="str">
        <f t="shared" si="15"/>
        <v>Nov-2025</v>
      </c>
      <c r="L454" s="6">
        <f>_xlfn.XLOOKUP(B454,orders!A:A,orders!B:B)</f>
        <v>363</v>
      </c>
      <c r="M454" s="6" t="str">
        <f>_xlfn.XLOOKUP("C"&amp;TEXT(L454,"000"),customers!A:A,customers!B:B,"Not Found")</f>
        <v>Neha C.</v>
      </c>
    </row>
    <row r="455" spans="1:13">
      <c r="A455">
        <v>454</v>
      </c>
      <c r="B455">
        <v>327</v>
      </c>
      <c r="C455">
        <v>3</v>
      </c>
      <c r="D455" s="4">
        <v>1</v>
      </c>
      <c r="E455">
        <f>_xlfn.XLOOKUP(C455,products!A:A,products!D:D)</f>
        <v>911</v>
      </c>
      <c r="F455">
        <f t="shared" si="14"/>
        <v>911</v>
      </c>
      <c r="G455">
        <f>D455*(E455-_xlfn.XLOOKUP(C455,products!A:A,products!E:E))</f>
        <v>368.95000000000005</v>
      </c>
      <c r="H455" s="6" t="str">
        <f>_xlfn.XLOOKUP(C455,products!A:A,products!C:C)</f>
        <v>Electronics</v>
      </c>
      <c r="I455" s="6" t="str">
        <f>_xlfn.XLOOKUP(C455,products!A:A,products!B:B)</f>
        <v>Headphones</v>
      </c>
      <c r="J455" s="6">
        <f>_xlfn.XLOOKUP(B455,orders!A:A,orders!C:C)</f>
        <v>45971</v>
      </c>
      <c r="K455" s="6" t="str">
        <f t="shared" si="15"/>
        <v>Nov-2025</v>
      </c>
      <c r="L455" s="6">
        <f>_xlfn.XLOOKUP(B455,orders!A:A,orders!B:B)</f>
        <v>363</v>
      </c>
      <c r="M455" s="6" t="str">
        <f>_xlfn.XLOOKUP("C"&amp;TEXT(L455,"000"),customers!A:A,customers!B:B,"Not Found")</f>
        <v>Neha C.</v>
      </c>
    </row>
    <row r="456" spans="1:13">
      <c r="A456">
        <v>455</v>
      </c>
      <c r="B456">
        <v>328</v>
      </c>
      <c r="C456">
        <v>47</v>
      </c>
      <c r="D456" s="4">
        <v>1</v>
      </c>
      <c r="E456">
        <f>_xlfn.XLOOKUP(C456,products!A:A,products!D:D)</f>
        <v>6939</v>
      </c>
      <c r="F456">
        <f t="shared" si="14"/>
        <v>6939</v>
      </c>
      <c r="G456">
        <f>D456*(E456-_xlfn.XLOOKUP(C456,products!A:A,products!E:E))</f>
        <v>2393.9499999999998</v>
      </c>
      <c r="H456" s="6" t="str">
        <f>_xlfn.XLOOKUP(C456,products!A:A,products!C:C)</f>
        <v>Toys</v>
      </c>
      <c r="I456" s="6" t="str">
        <f>_xlfn.XLOOKUP(C456,products!A:A,products!B:B)</f>
        <v>Puzzle</v>
      </c>
      <c r="J456" s="6">
        <f>_xlfn.XLOOKUP(B456,orders!A:A,orders!C:C)</f>
        <v>45974</v>
      </c>
      <c r="K456" s="6" t="str">
        <f t="shared" si="15"/>
        <v>Nov-2025</v>
      </c>
      <c r="L456" s="6">
        <f>_xlfn.XLOOKUP(B456,orders!A:A,orders!B:B)</f>
        <v>400</v>
      </c>
      <c r="M456" s="6" t="str">
        <f>_xlfn.XLOOKUP("C"&amp;TEXT(L456,"000"),customers!A:A,customers!B:B,"Not Found")</f>
        <v>Nikhil C.</v>
      </c>
    </row>
    <row r="457" spans="1:13">
      <c r="A457">
        <v>456</v>
      </c>
      <c r="B457">
        <v>328</v>
      </c>
      <c r="C457">
        <v>10</v>
      </c>
      <c r="D457" s="4">
        <v>2</v>
      </c>
      <c r="E457">
        <f>_xlfn.XLOOKUP(C457,products!A:A,products!D:D)</f>
        <v>1870</v>
      </c>
      <c r="F457">
        <f t="shared" si="14"/>
        <v>3740</v>
      </c>
      <c r="G457">
        <f>D457*(E457-_xlfn.XLOOKUP(C457,products!A:A,products!E:E))</f>
        <v>1683</v>
      </c>
      <c r="H457" s="6" t="str">
        <f>_xlfn.XLOOKUP(C457,products!A:A,products!C:C)</f>
        <v>Electronics</v>
      </c>
      <c r="I457" s="6" t="str">
        <f>_xlfn.XLOOKUP(C457,products!A:A,products!B:B)</f>
        <v>Earbuds</v>
      </c>
      <c r="J457" s="6">
        <f>_xlfn.XLOOKUP(B457,orders!A:A,orders!C:C)</f>
        <v>45974</v>
      </c>
      <c r="K457" s="6" t="str">
        <f t="shared" si="15"/>
        <v>Nov-2025</v>
      </c>
      <c r="L457" s="6">
        <f>_xlfn.XLOOKUP(B457,orders!A:A,orders!B:B)</f>
        <v>400</v>
      </c>
      <c r="M457" s="6" t="str">
        <f>_xlfn.XLOOKUP("C"&amp;TEXT(L457,"000"),customers!A:A,customers!B:B,"Not Found")</f>
        <v>Nikhil C.</v>
      </c>
    </row>
    <row r="458" spans="1:13">
      <c r="A458">
        <v>457</v>
      </c>
      <c r="B458">
        <v>329</v>
      </c>
      <c r="C458">
        <v>4</v>
      </c>
      <c r="D458" s="4">
        <v>2</v>
      </c>
      <c r="E458">
        <f>_xlfn.XLOOKUP(C458,products!A:A,products!D:D)</f>
        <v>1048</v>
      </c>
      <c r="F458">
        <f t="shared" si="14"/>
        <v>2096</v>
      </c>
      <c r="G458">
        <f>D458*(E458-_xlfn.XLOOKUP(C458,products!A:A,products!E:E))</f>
        <v>817.44</v>
      </c>
      <c r="H458" s="6" t="str">
        <f>_xlfn.XLOOKUP(C458,products!A:A,products!C:C)</f>
        <v>Electronics</v>
      </c>
      <c r="I458" s="6" t="str">
        <f>_xlfn.XLOOKUP(C458,products!A:A,products!B:B)</f>
        <v>Smart Watch</v>
      </c>
      <c r="J458" s="6">
        <f>_xlfn.XLOOKUP(B458,orders!A:A,orders!C:C)</f>
        <v>45977</v>
      </c>
      <c r="K458" s="6" t="str">
        <f t="shared" si="15"/>
        <v>Nov-2025</v>
      </c>
      <c r="L458" s="6">
        <f>_xlfn.XLOOKUP(B458,orders!A:A,orders!B:B)</f>
        <v>437</v>
      </c>
      <c r="M458" s="6" t="str">
        <f>_xlfn.XLOOKUP("C"&amp;TEXT(L458,"000"),customers!A:A,customers!B:B,"Not Found")</f>
        <v>Amit T.</v>
      </c>
    </row>
    <row r="459" spans="1:13">
      <c r="A459">
        <v>458</v>
      </c>
      <c r="B459">
        <v>329</v>
      </c>
      <c r="C459">
        <v>17</v>
      </c>
      <c r="D459" s="4">
        <v>3</v>
      </c>
      <c r="E459">
        <f>_xlfn.XLOOKUP(C459,products!A:A,products!D:D)</f>
        <v>2829</v>
      </c>
      <c r="F459">
        <f t="shared" si="14"/>
        <v>8487</v>
      </c>
      <c r="G459">
        <f>D459*(E459-_xlfn.XLOOKUP(C459,products!A:A,products!E:E))</f>
        <v>2928</v>
      </c>
      <c r="H459" s="6" t="str">
        <f>_xlfn.XLOOKUP(C459,products!A:A,products!C:C)</f>
        <v>Fashion</v>
      </c>
      <c r="I459" s="6" t="str">
        <f>_xlfn.XLOOKUP(C459,products!A:A,products!B:B)</f>
        <v>Dress</v>
      </c>
      <c r="J459" s="6">
        <f>_xlfn.XLOOKUP(B459,orders!A:A,orders!C:C)</f>
        <v>45977</v>
      </c>
      <c r="K459" s="6" t="str">
        <f t="shared" si="15"/>
        <v>Nov-2025</v>
      </c>
      <c r="L459" s="6">
        <f>_xlfn.XLOOKUP(B459,orders!A:A,orders!B:B)</f>
        <v>437</v>
      </c>
      <c r="M459" s="6" t="str">
        <f>_xlfn.XLOOKUP("C"&amp;TEXT(L459,"000"),customers!A:A,customers!B:B,"Not Found")</f>
        <v>Amit T.</v>
      </c>
    </row>
    <row r="460" spans="1:13">
      <c r="A460">
        <v>459</v>
      </c>
      <c r="B460">
        <v>330</v>
      </c>
      <c r="C460">
        <v>11</v>
      </c>
      <c r="D460" s="4">
        <v>3</v>
      </c>
      <c r="E460">
        <f>_xlfn.XLOOKUP(C460,products!A:A,products!D:D)</f>
        <v>2007</v>
      </c>
      <c r="F460">
        <f t="shared" si="14"/>
        <v>6021</v>
      </c>
      <c r="G460">
        <f>D460*(E460-_xlfn.XLOOKUP(C460,products!A:A,products!E:E))</f>
        <v>2619.12</v>
      </c>
      <c r="H460" s="6" t="str">
        <f>_xlfn.XLOOKUP(C460,products!A:A,products!C:C)</f>
        <v>Fashion</v>
      </c>
      <c r="I460" s="6" t="str">
        <f>_xlfn.XLOOKUP(C460,products!A:A,products!B:B)</f>
        <v>T-Shirt</v>
      </c>
      <c r="J460" s="6">
        <f>_xlfn.XLOOKUP(B460,orders!A:A,orders!C:C)</f>
        <v>45980</v>
      </c>
      <c r="K460" s="6" t="str">
        <f t="shared" si="15"/>
        <v>Nov-2025</v>
      </c>
      <c r="L460" s="6">
        <f>_xlfn.XLOOKUP(B460,orders!A:A,orders!B:B)</f>
        <v>474</v>
      </c>
      <c r="M460" s="6" t="str">
        <f>_xlfn.XLOOKUP("C"&amp;TEXT(L460,"000"),customers!A:A,customers!B:B,"Not Found")</f>
        <v>Sneha E.</v>
      </c>
    </row>
    <row r="461" spans="1:13">
      <c r="A461">
        <v>460</v>
      </c>
      <c r="B461">
        <v>330</v>
      </c>
      <c r="C461">
        <v>24</v>
      </c>
      <c r="D461" s="4">
        <v>4</v>
      </c>
      <c r="E461">
        <f>_xlfn.XLOOKUP(C461,products!A:A,products!D:D)</f>
        <v>3788</v>
      </c>
      <c r="F461">
        <f t="shared" si="14"/>
        <v>15152</v>
      </c>
      <c r="G461">
        <f>D461*(E461-_xlfn.XLOOKUP(C461,products!A:A,products!E:E))</f>
        <v>5909.2800000000007</v>
      </c>
      <c r="H461" s="6" t="str">
        <f>_xlfn.XLOOKUP(C461,products!A:A,products!C:C)</f>
        <v>Home Appliances</v>
      </c>
      <c r="I461" s="6" t="str">
        <f>_xlfn.XLOOKUP(C461,products!A:A,products!B:B)</f>
        <v>Iron</v>
      </c>
      <c r="J461" s="6">
        <f>_xlfn.XLOOKUP(B461,orders!A:A,orders!C:C)</f>
        <v>45980</v>
      </c>
      <c r="K461" s="6" t="str">
        <f t="shared" si="15"/>
        <v>Nov-2025</v>
      </c>
      <c r="L461" s="6">
        <f>_xlfn.XLOOKUP(B461,orders!A:A,orders!B:B)</f>
        <v>474</v>
      </c>
      <c r="M461" s="6" t="str">
        <f>_xlfn.XLOOKUP("C"&amp;TEXT(L461,"000"),customers!A:A,customers!B:B,"Not Found")</f>
        <v>Sneha E.</v>
      </c>
    </row>
    <row r="462" spans="1:13">
      <c r="A462">
        <v>461</v>
      </c>
      <c r="B462">
        <v>331</v>
      </c>
      <c r="C462">
        <v>18</v>
      </c>
      <c r="D462" s="4">
        <v>4</v>
      </c>
      <c r="E462">
        <f>_xlfn.XLOOKUP(C462,products!A:A,products!D:D)</f>
        <v>2966</v>
      </c>
      <c r="F462">
        <f t="shared" si="14"/>
        <v>11864</v>
      </c>
      <c r="G462">
        <f>D462*(E462-_xlfn.XLOOKUP(C462,products!A:A,products!E:E))</f>
        <v>3915.12</v>
      </c>
      <c r="H462" s="6" t="str">
        <f>_xlfn.XLOOKUP(C462,products!A:A,products!C:C)</f>
        <v>Fashion</v>
      </c>
      <c r="I462" s="6" t="str">
        <f>_xlfn.XLOOKUP(C462,products!A:A,products!B:B)</f>
        <v>Backpack</v>
      </c>
      <c r="J462" s="6">
        <f>_xlfn.XLOOKUP(B462,orders!A:A,orders!C:C)</f>
        <v>45983</v>
      </c>
      <c r="K462" s="6" t="str">
        <f t="shared" si="15"/>
        <v>Nov-2025</v>
      </c>
      <c r="L462" s="6">
        <f>_xlfn.XLOOKUP(B462,orders!A:A,orders!B:B)</f>
        <v>11</v>
      </c>
      <c r="M462" s="6" t="str">
        <f>_xlfn.XLOOKUP("C"&amp;TEXT(L462,"000"),customers!A:A,customers!B:B,"Not Found")</f>
        <v>Lakshmi J.</v>
      </c>
    </row>
    <row r="463" spans="1:13">
      <c r="A463">
        <v>462</v>
      </c>
      <c r="B463">
        <v>331</v>
      </c>
      <c r="C463">
        <v>31</v>
      </c>
      <c r="D463" s="4">
        <v>1</v>
      </c>
      <c r="E463">
        <f>_xlfn.XLOOKUP(C463,products!A:A,products!D:D)</f>
        <v>4747</v>
      </c>
      <c r="F463">
        <f t="shared" si="14"/>
        <v>4747</v>
      </c>
      <c r="G463">
        <f>D463*(E463-_xlfn.XLOOKUP(C463,products!A:A,products!E:E))</f>
        <v>2064.94</v>
      </c>
      <c r="H463" s="6" t="str">
        <f>_xlfn.XLOOKUP(C463,products!A:A,products!C:C)</f>
        <v>Books</v>
      </c>
      <c r="I463" s="6" t="str">
        <f>_xlfn.XLOOKUP(C463,products!A:A,products!B:B)</f>
        <v>Book</v>
      </c>
      <c r="J463" s="6">
        <f>_xlfn.XLOOKUP(B463,orders!A:A,orders!C:C)</f>
        <v>45983</v>
      </c>
      <c r="K463" s="6" t="str">
        <f t="shared" si="15"/>
        <v>Nov-2025</v>
      </c>
      <c r="L463" s="6">
        <f>_xlfn.XLOOKUP(B463,orders!A:A,orders!B:B)</f>
        <v>11</v>
      </c>
      <c r="M463" s="6" t="str">
        <f>_xlfn.XLOOKUP("C"&amp;TEXT(L463,"000"),customers!A:A,customers!B:B,"Not Found")</f>
        <v>Lakshmi J.</v>
      </c>
    </row>
    <row r="464" spans="1:13">
      <c r="A464">
        <v>463</v>
      </c>
      <c r="B464">
        <v>332</v>
      </c>
      <c r="C464">
        <v>25</v>
      </c>
      <c r="D464" s="4">
        <v>1</v>
      </c>
      <c r="E464">
        <f>_xlfn.XLOOKUP(C464,products!A:A,products!D:D)</f>
        <v>3925</v>
      </c>
      <c r="F464">
        <f t="shared" si="14"/>
        <v>3925</v>
      </c>
      <c r="G464">
        <f>D464*(E464-_xlfn.XLOOKUP(C464,products!A:A,products!E:E))</f>
        <v>1471.88</v>
      </c>
      <c r="H464" s="6" t="str">
        <f>_xlfn.XLOOKUP(C464,products!A:A,products!C:C)</f>
        <v>Home Appliances</v>
      </c>
      <c r="I464" s="6" t="str">
        <f>_xlfn.XLOOKUP(C464,products!A:A,products!B:B)</f>
        <v>Vacuum Cleaner</v>
      </c>
      <c r="J464" s="6">
        <f>_xlfn.XLOOKUP(B464,orders!A:A,orders!C:C)</f>
        <v>45986</v>
      </c>
      <c r="K464" s="6" t="str">
        <f t="shared" si="15"/>
        <v>Nov-2025</v>
      </c>
      <c r="L464" s="6">
        <f>_xlfn.XLOOKUP(B464,orders!A:A,orders!B:B)</f>
        <v>48</v>
      </c>
      <c r="M464" s="6" t="str">
        <f>_xlfn.XLOOKUP("C"&amp;TEXT(L464,"000"),customers!A:A,customers!B:B,"Not Found")</f>
        <v>Amit X.</v>
      </c>
    </row>
    <row r="465" spans="1:13">
      <c r="A465">
        <v>464</v>
      </c>
      <c r="B465">
        <v>332</v>
      </c>
      <c r="C465">
        <v>38</v>
      </c>
      <c r="D465" s="4">
        <v>2</v>
      </c>
      <c r="E465">
        <f>_xlfn.XLOOKUP(C465,products!A:A,products!D:D)</f>
        <v>5706</v>
      </c>
      <c r="F465">
        <f t="shared" si="14"/>
        <v>11412</v>
      </c>
      <c r="G465">
        <f>D465*(E465-_xlfn.XLOOKUP(C465,products!A:A,products!E:E))</f>
        <v>3765.96</v>
      </c>
      <c r="H465" s="6" t="str">
        <f>_xlfn.XLOOKUP(C465,products!A:A,products!C:C)</f>
        <v>Sports</v>
      </c>
      <c r="I465" s="6" t="str">
        <f>_xlfn.XLOOKUP(C465,products!A:A,products!B:B)</f>
        <v>Badminton Racket</v>
      </c>
      <c r="J465" s="6">
        <f>_xlfn.XLOOKUP(B465,orders!A:A,orders!C:C)</f>
        <v>45986</v>
      </c>
      <c r="K465" s="6" t="str">
        <f t="shared" si="15"/>
        <v>Nov-2025</v>
      </c>
      <c r="L465" s="6">
        <f>_xlfn.XLOOKUP(B465,orders!A:A,orders!B:B)</f>
        <v>48</v>
      </c>
      <c r="M465" s="6" t="str">
        <f>_xlfn.XLOOKUP("C"&amp;TEXT(L465,"000"),customers!A:A,customers!B:B,"Not Found")</f>
        <v>Amit X.</v>
      </c>
    </row>
    <row r="466" spans="1:13">
      <c r="A466">
        <v>465</v>
      </c>
      <c r="B466">
        <v>333</v>
      </c>
      <c r="C466">
        <v>32</v>
      </c>
      <c r="D466" s="4">
        <v>2</v>
      </c>
      <c r="E466">
        <f>_xlfn.XLOOKUP(C466,products!A:A,products!D:D)</f>
        <v>4884</v>
      </c>
      <c r="F466">
        <f t="shared" si="14"/>
        <v>9768</v>
      </c>
      <c r="G466">
        <f>D466*(E466-_xlfn.XLOOKUP(C466,products!A:A,products!E:E))</f>
        <v>4102.5600000000004</v>
      </c>
      <c r="H466" s="6" t="str">
        <f>_xlfn.XLOOKUP(C466,products!A:A,products!C:C)</f>
        <v>Books</v>
      </c>
      <c r="I466" s="6" t="str">
        <f>_xlfn.XLOOKUP(C466,products!A:A,products!B:B)</f>
        <v>Notebook</v>
      </c>
      <c r="J466" s="6">
        <f>_xlfn.XLOOKUP(B466,orders!A:A,orders!C:C)</f>
        <v>45989</v>
      </c>
      <c r="K466" s="6" t="str">
        <f t="shared" si="15"/>
        <v>Nov-2025</v>
      </c>
      <c r="L466" s="6">
        <f>_xlfn.XLOOKUP(B466,orders!A:A,orders!B:B)</f>
        <v>85</v>
      </c>
      <c r="M466" s="6" t="str">
        <f>_xlfn.XLOOKUP("C"&amp;TEXT(L466,"000"),customers!A:A,customers!B:B,"Not Found")</f>
        <v>Swathi H.</v>
      </c>
    </row>
    <row r="467" spans="1:13">
      <c r="A467">
        <v>466</v>
      </c>
      <c r="B467">
        <v>333</v>
      </c>
      <c r="C467">
        <v>45</v>
      </c>
      <c r="D467" s="4">
        <v>3</v>
      </c>
      <c r="E467">
        <f>_xlfn.XLOOKUP(C467,products!A:A,products!D:D)</f>
        <v>6665</v>
      </c>
      <c r="F467">
        <f t="shared" si="14"/>
        <v>19995</v>
      </c>
      <c r="G467">
        <f>D467*(E467-_xlfn.XLOOKUP(C467,products!A:A,products!E:E))</f>
        <v>7498.14</v>
      </c>
      <c r="H467" s="6" t="str">
        <f>_xlfn.XLOOKUP(C467,products!A:A,products!C:C)</f>
        <v>Beauty</v>
      </c>
      <c r="I467" s="6" t="str">
        <f>_xlfn.XLOOKUP(C467,products!A:A,products!B:B)</f>
        <v>Sunscreen</v>
      </c>
      <c r="J467" s="6">
        <f>_xlfn.XLOOKUP(B467,orders!A:A,orders!C:C)</f>
        <v>45989</v>
      </c>
      <c r="K467" s="6" t="str">
        <f t="shared" si="15"/>
        <v>Nov-2025</v>
      </c>
      <c r="L467" s="6">
        <f>_xlfn.XLOOKUP(B467,orders!A:A,orders!B:B)</f>
        <v>85</v>
      </c>
      <c r="M467" s="6" t="str">
        <f>_xlfn.XLOOKUP("C"&amp;TEXT(L467,"000"),customers!A:A,customers!B:B,"Not Found")</f>
        <v>Swathi H.</v>
      </c>
    </row>
    <row r="468" spans="1:13">
      <c r="A468">
        <v>467</v>
      </c>
      <c r="B468">
        <v>334</v>
      </c>
      <c r="C468">
        <v>39</v>
      </c>
      <c r="D468" s="4">
        <v>3</v>
      </c>
      <c r="E468">
        <f>_xlfn.XLOOKUP(C468,products!A:A,products!D:D)</f>
        <v>5843</v>
      </c>
      <c r="F468">
        <f t="shared" si="14"/>
        <v>17529</v>
      </c>
      <c r="G468">
        <f>D468*(E468-_xlfn.XLOOKUP(C468,products!A:A,products!E:E))</f>
        <v>5521.62</v>
      </c>
      <c r="H468" s="6" t="str">
        <f>_xlfn.XLOOKUP(C468,products!A:A,products!C:C)</f>
        <v>Sports</v>
      </c>
      <c r="I468" s="6" t="str">
        <f>_xlfn.XLOOKUP(C468,products!A:A,products!B:B)</f>
        <v>Yoga Mat</v>
      </c>
      <c r="J468" s="6">
        <f>_xlfn.XLOOKUP(B468,orders!A:A,orders!C:C)</f>
        <v>45992</v>
      </c>
      <c r="K468" s="6" t="str">
        <f t="shared" si="15"/>
        <v>Dec-2025</v>
      </c>
      <c r="L468" s="6">
        <f>_xlfn.XLOOKUP(B468,orders!A:A,orders!B:B)</f>
        <v>122</v>
      </c>
      <c r="M468" s="6" t="str">
        <f>_xlfn.XLOOKUP("C"&amp;TEXT(L468,"000"),customers!A:A,customers!B:B,"Not Found")</f>
        <v>Amit N.</v>
      </c>
    </row>
    <row r="469" spans="1:13">
      <c r="A469">
        <v>468</v>
      </c>
      <c r="B469">
        <v>334</v>
      </c>
      <c r="C469">
        <v>2</v>
      </c>
      <c r="D469" s="4">
        <v>4</v>
      </c>
      <c r="E469">
        <f>_xlfn.XLOOKUP(C469,products!A:A,products!D:D)</f>
        <v>774</v>
      </c>
      <c r="F469">
        <f t="shared" si="14"/>
        <v>3096</v>
      </c>
      <c r="G469">
        <f>D469*(E469-_xlfn.XLOOKUP(C469,products!A:A,products!E:E))</f>
        <v>1300.32</v>
      </c>
      <c r="H469" s="6" t="str">
        <f>_xlfn.XLOOKUP(C469,products!A:A,products!C:C)</f>
        <v>Electronics</v>
      </c>
      <c r="I469" s="6" t="str">
        <f>_xlfn.XLOOKUP(C469,products!A:A,products!B:B)</f>
        <v>Mobile</v>
      </c>
      <c r="J469" s="6">
        <f>_xlfn.XLOOKUP(B469,orders!A:A,orders!C:C)</f>
        <v>45992</v>
      </c>
      <c r="K469" s="6" t="str">
        <f t="shared" si="15"/>
        <v>Dec-2025</v>
      </c>
      <c r="L469" s="6">
        <f>_xlfn.XLOOKUP(B469,orders!A:A,orders!B:B)</f>
        <v>122</v>
      </c>
      <c r="M469" s="6" t="str">
        <f>_xlfn.XLOOKUP("C"&amp;TEXT(L469,"000"),customers!A:A,customers!B:B,"Not Found")</f>
        <v>Amit N.</v>
      </c>
    </row>
    <row r="470" spans="1:13">
      <c r="A470">
        <v>469</v>
      </c>
      <c r="B470">
        <v>335</v>
      </c>
      <c r="C470">
        <v>46</v>
      </c>
      <c r="D470" s="4">
        <v>4</v>
      </c>
      <c r="E470">
        <f>_xlfn.XLOOKUP(C470,products!A:A,products!D:D)</f>
        <v>6802</v>
      </c>
      <c r="F470">
        <f t="shared" si="14"/>
        <v>27208</v>
      </c>
      <c r="G470">
        <f>D470*(E470-_xlfn.XLOOKUP(C470,products!A:A,products!E:E))</f>
        <v>9794.880000000001</v>
      </c>
      <c r="H470" s="6" t="str">
        <f>_xlfn.XLOOKUP(C470,products!A:A,products!C:C)</f>
        <v>Toys</v>
      </c>
      <c r="I470" s="6" t="str">
        <f>_xlfn.XLOOKUP(C470,products!A:A,products!B:B)</f>
        <v>Toys Car</v>
      </c>
      <c r="J470" s="6">
        <f>_xlfn.XLOOKUP(B470,orders!A:A,orders!C:C)</f>
        <v>45995</v>
      </c>
      <c r="K470" s="6" t="str">
        <f t="shared" si="15"/>
        <v>Dec-2025</v>
      </c>
      <c r="L470" s="6">
        <f>_xlfn.XLOOKUP(B470,orders!A:A,orders!B:B)</f>
        <v>159</v>
      </c>
      <c r="M470" s="6" t="str">
        <f>_xlfn.XLOOKUP("C"&amp;TEXT(L470,"000"),customers!A:A,customers!B:B,"Not Found")</f>
        <v>Ravi X.</v>
      </c>
    </row>
    <row r="471" spans="1:13">
      <c r="A471">
        <v>470</v>
      </c>
      <c r="B471">
        <v>335</v>
      </c>
      <c r="C471">
        <v>9</v>
      </c>
      <c r="D471" s="4">
        <v>1</v>
      </c>
      <c r="E471">
        <f>_xlfn.XLOOKUP(C471,products!A:A,products!D:D)</f>
        <v>1733</v>
      </c>
      <c r="F471">
        <f t="shared" si="14"/>
        <v>1733</v>
      </c>
      <c r="G471">
        <f>D471*(E471-_xlfn.XLOOKUP(C471,products!A:A,products!E:E))</f>
        <v>545.8900000000001</v>
      </c>
      <c r="H471" s="6" t="str">
        <f>_xlfn.XLOOKUP(C471,products!A:A,products!C:C)</f>
        <v>Electronics</v>
      </c>
      <c r="I471" s="6" t="str">
        <f>_xlfn.XLOOKUP(C471,products!A:A,products!B:B)</f>
        <v>Power Bank</v>
      </c>
      <c r="J471" s="6">
        <f>_xlfn.XLOOKUP(B471,orders!A:A,orders!C:C)</f>
        <v>45995</v>
      </c>
      <c r="K471" s="6" t="str">
        <f t="shared" si="15"/>
        <v>Dec-2025</v>
      </c>
      <c r="L471" s="6">
        <f>_xlfn.XLOOKUP(B471,orders!A:A,orders!B:B)</f>
        <v>159</v>
      </c>
      <c r="M471" s="6" t="str">
        <f>_xlfn.XLOOKUP("C"&amp;TEXT(L471,"000"),customers!A:A,customers!B:B,"Not Found")</f>
        <v>Ravi X.</v>
      </c>
    </row>
    <row r="472" spans="1:13">
      <c r="A472">
        <v>471</v>
      </c>
      <c r="B472">
        <v>336</v>
      </c>
      <c r="C472">
        <v>3</v>
      </c>
      <c r="D472" s="4">
        <v>1</v>
      </c>
      <c r="E472">
        <f>_xlfn.XLOOKUP(C472,products!A:A,products!D:D)</f>
        <v>911</v>
      </c>
      <c r="F472">
        <f t="shared" si="14"/>
        <v>911</v>
      </c>
      <c r="G472">
        <f>D472*(E472-_xlfn.XLOOKUP(C472,products!A:A,products!E:E))</f>
        <v>368.95000000000005</v>
      </c>
      <c r="H472" s="6" t="str">
        <f>_xlfn.XLOOKUP(C472,products!A:A,products!C:C)</f>
        <v>Electronics</v>
      </c>
      <c r="I472" s="6" t="str">
        <f>_xlfn.XLOOKUP(C472,products!A:A,products!B:B)</f>
        <v>Headphones</v>
      </c>
      <c r="J472" s="6">
        <f>_xlfn.XLOOKUP(B472,orders!A:A,orders!C:C)</f>
        <v>45998</v>
      </c>
      <c r="K472" s="6" t="str">
        <f t="shared" si="15"/>
        <v>Dec-2025</v>
      </c>
      <c r="L472" s="6">
        <f>_xlfn.XLOOKUP(B472,orders!A:A,orders!B:B)</f>
        <v>196</v>
      </c>
      <c r="M472" s="6" t="str">
        <f>_xlfn.XLOOKUP("C"&amp;TEXT(L472,"000"),customers!A:A,customers!B:B,"Not Found")</f>
        <v>Vikram R.</v>
      </c>
    </row>
    <row r="473" spans="1:13">
      <c r="A473">
        <v>472</v>
      </c>
      <c r="B473">
        <v>336</v>
      </c>
      <c r="C473">
        <v>16</v>
      </c>
      <c r="D473" s="4">
        <v>2</v>
      </c>
      <c r="E473">
        <f>_xlfn.XLOOKUP(C473,products!A:A,products!D:D)</f>
        <v>2692</v>
      </c>
      <c r="F473">
        <f t="shared" si="14"/>
        <v>5384</v>
      </c>
      <c r="G473">
        <f>D473*(E473-_xlfn.XLOOKUP(C473,products!A:A,products!E:E))</f>
        <v>1938.2399999999998</v>
      </c>
      <c r="H473" s="6" t="str">
        <f>_xlfn.XLOOKUP(C473,products!A:A,products!C:C)</f>
        <v>Fashion</v>
      </c>
      <c r="I473" s="6" t="str">
        <f>_xlfn.XLOOKUP(C473,products!A:A,products!B:B)</f>
        <v>Saree</v>
      </c>
      <c r="J473" s="6">
        <f>_xlfn.XLOOKUP(B473,orders!A:A,orders!C:C)</f>
        <v>45998</v>
      </c>
      <c r="K473" s="6" t="str">
        <f t="shared" si="15"/>
        <v>Dec-2025</v>
      </c>
      <c r="L473" s="6">
        <f>_xlfn.XLOOKUP(B473,orders!A:A,orders!B:B)</f>
        <v>196</v>
      </c>
      <c r="M473" s="6" t="str">
        <f>_xlfn.XLOOKUP("C"&amp;TEXT(L473,"000"),customers!A:A,customers!B:B,"Not Found")</f>
        <v>Vikram R.</v>
      </c>
    </row>
    <row r="474" spans="1:13">
      <c r="A474">
        <v>473</v>
      </c>
      <c r="B474">
        <v>337</v>
      </c>
      <c r="C474">
        <v>10</v>
      </c>
      <c r="D474" s="4">
        <v>2</v>
      </c>
      <c r="E474">
        <f>_xlfn.XLOOKUP(C474,products!A:A,products!D:D)</f>
        <v>1870</v>
      </c>
      <c r="F474">
        <f t="shared" si="14"/>
        <v>3740</v>
      </c>
      <c r="G474">
        <f>D474*(E474-_xlfn.XLOOKUP(C474,products!A:A,products!E:E))</f>
        <v>1683</v>
      </c>
      <c r="H474" s="6" t="str">
        <f>_xlfn.XLOOKUP(C474,products!A:A,products!C:C)</f>
        <v>Electronics</v>
      </c>
      <c r="I474" s="6" t="str">
        <f>_xlfn.XLOOKUP(C474,products!A:A,products!B:B)</f>
        <v>Earbuds</v>
      </c>
      <c r="J474" s="6">
        <f>_xlfn.XLOOKUP(B474,orders!A:A,orders!C:C)</f>
        <v>46001</v>
      </c>
      <c r="K474" s="6" t="str">
        <f t="shared" si="15"/>
        <v>Dec-2025</v>
      </c>
      <c r="L474" s="6">
        <f>_xlfn.XLOOKUP(B474,orders!A:A,orders!B:B)</f>
        <v>233</v>
      </c>
      <c r="M474" s="6" t="str">
        <f>_xlfn.XLOOKUP("C"&amp;TEXT(L474,"000"),customers!A:A,customers!B:B,"Not Found")</f>
        <v>Priya J.</v>
      </c>
    </row>
    <row r="475" spans="1:13">
      <c r="A475">
        <v>474</v>
      </c>
      <c r="B475">
        <v>337</v>
      </c>
      <c r="C475">
        <v>23</v>
      </c>
      <c r="D475" s="4">
        <v>3</v>
      </c>
      <c r="E475">
        <f>_xlfn.XLOOKUP(C475,products!A:A,products!D:D)</f>
        <v>3651</v>
      </c>
      <c r="F475">
        <f t="shared" si="14"/>
        <v>10953</v>
      </c>
      <c r="G475">
        <f>D475*(E475-_xlfn.XLOOKUP(C475,products!A:A,products!E:E))</f>
        <v>4435.9500000000007</v>
      </c>
      <c r="H475" s="6" t="str">
        <f>_xlfn.XLOOKUP(C475,products!A:A,products!C:C)</f>
        <v>Home Appliances</v>
      </c>
      <c r="I475" s="6" t="str">
        <f>_xlfn.XLOOKUP(C475,products!A:A,products!B:B)</f>
        <v>Fan</v>
      </c>
      <c r="J475" s="6">
        <f>_xlfn.XLOOKUP(B475,orders!A:A,orders!C:C)</f>
        <v>46001</v>
      </c>
      <c r="K475" s="6" t="str">
        <f t="shared" si="15"/>
        <v>Dec-2025</v>
      </c>
      <c r="L475" s="6">
        <f>_xlfn.XLOOKUP(B475,orders!A:A,orders!B:B)</f>
        <v>233</v>
      </c>
      <c r="M475" s="6" t="str">
        <f>_xlfn.XLOOKUP("C"&amp;TEXT(L475,"000"),customers!A:A,customers!B:B,"Not Found")</f>
        <v>Priya J.</v>
      </c>
    </row>
    <row r="476" spans="1:13">
      <c r="A476">
        <v>475</v>
      </c>
      <c r="B476">
        <v>338</v>
      </c>
      <c r="C476">
        <v>17</v>
      </c>
      <c r="D476" s="4">
        <v>3</v>
      </c>
      <c r="E476">
        <f>_xlfn.XLOOKUP(C476,products!A:A,products!D:D)</f>
        <v>2829</v>
      </c>
      <c r="F476">
        <f t="shared" si="14"/>
        <v>8487</v>
      </c>
      <c r="G476">
        <f>D476*(E476-_xlfn.XLOOKUP(C476,products!A:A,products!E:E))</f>
        <v>2928</v>
      </c>
      <c r="H476" s="6" t="str">
        <f>_xlfn.XLOOKUP(C476,products!A:A,products!C:C)</f>
        <v>Fashion</v>
      </c>
      <c r="I476" s="6" t="str">
        <f>_xlfn.XLOOKUP(C476,products!A:A,products!B:B)</f>
        <v>Dress</v>
      </c>
      <c r="J476" s="6">
        <f>_xlfn.XLOOKUP(B476,orders!A:A,orders!C:C)</f>
        <v>46004</v>
      </c>
      <c r="K476" s="6" t="str">
        <f t="shared" si="15"/>
        <v>Dec-2025</v>
      </c>
      <c r="L476" s="6">
        <f>_xlfn.XLOOKUP(B476,orders!A:A,orders!B:B)</f>
        <v>270</v>
      </c>
      <c r="M476" s="6" t="str">
        <f>_xlfn.XLOOKUP("C"&amp;TEXT(L476,"000"),customers!A:A,customers!B:B,"Not Found")</f>
        <v>Manoj J.</v>
      </c>
    </row>
    <row r="477" spans="1:13">
      <c r="A477">
        <v>476</v>
      </c>
      <c r="B477">
        <v>338</v>
      </c>
      <c r="C477">
        <v>30</v>
      </c>
      <c r="D477" s="4">
        <v>4</v>
      </c>
      <c r="E477">
        <f>_xlfn.XLOOKUP(C477,products!A:A,products!D:D)</f>
        <v>4610</v>
      </c>
      <c r="F477">
        <f t="shared" si="14"/>
        <v>18440</v>
      </c>
      <c r="G477">
        <f>D477*(E477-_xlfn.XLOOKUP(C477,products!A:A,products!E:E))</f>
        <v>8298</v>
      </c>
      <c r="H477" s="6" t="str">
        <f>_xlfn.XLOOKUP(C477,products!A:A,products!C:C)</f>
        <v>Furniture</v>
      </c>
      <c r="I477" s="6" t="str">
        <f>_xlfn.XLOOKUP(C477,products!A:A,products!B:B)</f>
        <v>Table</v>
      </c>
      <c r="J477" s="6">
        <f>_xlfn.XLOOKUP(B477,orders!A:A,orders!C:C)</f>
        <v>46004</v>
      </c>
      <c r="K477" s="6" t="str">
        <f t="shared" si="15"/>
        <v>Dec-2025</v>
      </c>
      <c r="L477" s="6">
        <f>_xlfn.XLOOKUP(B477,orders!A:A,orders!B:B)</f>
        <v>270</v>
      </c>
      <c r="M477" s="6" t="str">
        <f>_xlfn.XLOOKUP("C"&amp;TEXT(L477,"000"),customers!A:A,customers!B:B,"Not Found")</f>
        <v>Manoj J.</v>
      </c>
    </row>
    <row r="478" spans="1:13">
      <c r="A478">
        <v>477</v>
      </c>
      <c r="B478">
        <v>339</v>
      </c>
      <c r="C478">
        <v>24</v>
      </c>
      <c r="D478" s="4">
        <v>4</v>
      </c>
      <c r="E478">
        <f>_xlfn.XLOOKUP(C478,products!A:A,products!D:D)</f>
        <v>3788</v>
      </c>
      <c r="F478">
        <f t="shared" si="14"/>
        <v>15152</v>
      </c>
      <c r="G478">
        <f>D478*(E478-_xlfn.XLOOKUP(C478,products!A:A,products!E:E))</f>
        <v>5909.2800000000007</v>
      </c>
      <c r="H478" s="6" t="str">
        <f>_xlfn.XLOOKUP(C478,products!A:A,products!C:C)</f>
        <v>Home Appliances</v>
      </c>
      <c r="I478" s="6" t="str">
        <f>_xlfn.XLOOKUP(C478,products!A:A,products!B:B)</f>
        <v>Iron</v>
      </c>
      <c r="J478" s="6">
        <f>_xlfn.XLOOKUP(B478,orders!A:A,orders!C:C)</f>
        <v>46007</v>
      </c>
      <c r="K478" s="6" t="str">
        <f t="shared" si="15"/>
        <v>Dec-2025</v>
      </c>
      <c r="L478" s="6">
        <f>_xlfn.XLOOKUP(B478,orders!A:A,orders!B:B)</f>
        <v>307</v>
      </c>
      <c r="M478" s="6" t="str">
        <f>_xlfn.XLOOKUP("C"&amp;TEXT(L478,"000"),customers!A:A,customers!B:B,"Not Found")</f>
        <v>Divya X.</v>
      </c>
    </row>
    <row r="479" spans="1:13">
      <c r="A479">
        <v>478</v>
      </c>
      <c r="B479">
        <v>339</v>
      </c>
      <c r="C479">
        <v>37</v>
      </c>
      <c r="D479" s="4">
        <v>1</v>
      </c>
      <c r="E479">
        <f>_xlfn.XLOOKUP(C479,products!A:A,products!D:D)</f>
        <v>5569</v>
      </c>
      <c r="F479">
        <f t="shared" si="14"/>
        <v>5569</v>
      </c>
      <c r="G479">
        <f>D479*(E479-_xlfn.XLOOKUP(C479,products!A:A,products!E:E))</f>
        <v>1921.3000000000002</v>
      </c>
      <c r="H479" s="6" t="str">
        <f>_xlfn.XLOOKUP(C479,products!A:A,products!C:C)</f>
        <v>Sports</v>
      </c>
      <c r="I479" s="6" t="str">
        <f>_xlfn.XLOOKUP(C479,products!A:A,products!B:B)</f>
        <v>Football</v>
      </c>
      <c r="J479" s="6">
        <f>_xlfn.XLOOKUP(B479,orders!A:A,orders!C:C)</f>
        <v>46007</v>
      </c>
      <c r="K479" s="6" t="str">
        <f t="shared" si="15"/>
        <v>Dec-2025</v>
      </c>
      <c r="L479" s="6">
        <f>_xlfn.XLOOKUP(B479,orders!A:A,orders!B:B)</f>
        <v>307</v>
      </c>
      <c r="M479" s="6" t="str">
        <f>_xlfn.XLOOKUP("C"&amp;TEXT(L479,"000"),customers!A:A,customers!B:B,"Not Found")</f>
        <v>Divya X.</v>
      </c>
    </row>
    <row r="480" spans="1:13">
      <c r="A480">
        <v>479</v>
      </c>
      <c r="B480">
        <v>340</v>
      </c>
      <c r="C480">
        <v>31</v>
      </c>
      <c r="D480" s="4">
        <v>1</v>
      </c>
      <c r="E480">
        <f>_xlfn.XLOOKUP(C480,products!A:A,products!D:D)</f>
        <v>4747</v>
      </c>
      <c r="F480">
        <f t="shared" si="14"/>
        <v>4747</v>
      </c>
      <c r="G480">
        <f>D480*(E480-_xlfn.XLOOKUP(C480,products!A:A,products!E:E))</f>
        <v>2064.94</v>
      </c>
      <c r="H480" s="6" t="str">
        <f>_xlfn.XLOOKUP(C480,products!A:A,products!C:C)</f>
        <v>Books</v>
      </c>
      <c r="I480" s="6" t="str">
        <f>_xlfn.XLOOKUP(C480,products!A:A,products!B:B)</f>
        <v>Book</v>
      </c>
      <c r="J480" s="6">
        <f>_xlfn.XLOOKUP(B480,orders!A:A,orders!C:C)</f>
        <v>46010</v>
      </c>
      <c r="K480" s="6" t="str">
        <f t="shared" si="15"/>
        <v>Dec-2025</v>
      </c>
      <c r="L480" s="6">
        <f>_xlfn.XLOOKUP(B480,orders!A:A,orders!B:B)</f>
        <v>344</v>
      </c>
      <c r="M480" s="6" t="str">
        <f>_xlfn.XLOOKUP("C"&amp;TEXT(L480,"000"),customers!A:A,customers!B:B,"Not Found")</f>
        <v>Manoj Q.</v>
      </c>
    </row>
    <row r="481" spans="1:13">
      <c r="A481">
        <v>480</v>
      </c>
      <c r="B481">
        <v>340</v>
      </c>
      <c r="C481">
        <v>44</v>
      </c>
      <c r="D481" s="4">
        <v>2</v>
      </c>
      <c r="E481">
        <f>_xlfn.XLOOKUP(C481,products!A:A,products!D:D)</f>
        <v>6528</v>
      </c>
      <c r="F481">
        <f t="shared" si="14"/>
        <v>13056</v>
      </c>
      <c r="G481">
        <f>D481*(E481-_xlfn.XLOOKUP(C481,products!A:A,products!E:E))</f>
        <v>5091.84</v>
      </c>
      <c r="H481" s="6" t="str">
        <f>_xlfn.XLOOKUP(C481,products!A:A,products!C:C)</f>
        <v>Beauty</v>
      </c>
      <c r="I481" s="6" t="str">
        <f>_xlfn.XLOOKUP(C481,products!A:A,products!B:B)</f>
        <v>Moisturizer</v>
      </c>
      <c r="J481" s="6">
        <f>_xlfn.XLOOKUP(B481,orders!A:A,orders!C:C)</f>
        <v>46010</v>
      </c>
      <c r="K481" s="6" t="str">
        <f t="shared" si="15"/>
        <v>Dec-2025</v>
      </c>
      <c r="L481" s="6">
        <f>_xlfn.XLOOKUP(B481,orders!A:A,orders!B:B)</f>
        <v>344</v>
      </c>
      <c r="M481" s="6" t="str">
        <f>_xlfn.XLOOKUP("C"&amp;TEXT(L481,"000"),customers!A:A,customers!B:B,"Not Found")</f>
        <v>Manoj Q.</v>
      </c>
    </row>
    <row r="482" spans="1:13">
      <c r="A482">
        <v>481</v>
      </c>
      <c r="B482">
        <v>341</v>
      </c>
      <c r="C482">
        <v>38</v>
      </c>
      <c r="D482" s="4">
        <v>2</v>
      </c>
      <c r="E482">
        <f>_xlfn.XLOOKUP(C482,products!A:A,products!D:D)</f>
        <v>5706</v>
      </c>
      <c r="F482">
        <f t="shared" si="14"/>
        <v>11412</v>
      </c>
      <c r="G482">
        <f>D482*(E482-_xlfn.XLOOKUP(C482,products!A:A,products!E:E))</f>
        <v>3765.96</v>
      </c>
      <c r="H482" s="6" t="str">
        <f>_xlfn.XLOOKUP(C482,products!A:A,products!C:C)</f>
        <v>Sports</v>
      </c>
      <c r="I482" s="6" t="str">
        <f>_xlfn.XLOOKUP(C482,products!A:A,products!B:B)</f>
        <v>Badminton Racket</v>
      </c>
      <c r="J482" s="6">
        <f>_xlfn.XLOOKUP(B482,orders!A:A,orders!C:C)</f>
        <v>46013</v>
      </c>
      <c r="K482" s="6" t="str">
        <f t="shared" si="15"/>
        <v>Dec-2025</v>
      </c>
      <c r="L482" s="6">
        <f>_xlfn.XLOOKUP(B482,orders!A:A,orders!B:B)</f>
        <v>381</v>
      </c>
      <c r="M482" s="6" t="str">
        <f>_xlfn.XLOOKUP("C"&amp;TEXT(L482,"000"),customers!A:A,customers!B:B,"Not Found")</f>
        <v>Meena N.</v>
      </c>
    </row>
    <row r="483" spans="1:13">
      <c r="A483">
        <v>482</v>
      </c>
      <c r="B483">
        <v>341</v>
      </c>
      <c r="C483">
        <v>1</v>
      </c>
      <c r="D483" s="4">
        <v>3</v>
      </c>
      <c r="E483">
        <f>_xlfn.XLOOKUP(C483,products!A:A,products!D:D)</f>
        <v>637</v>
      </c>
      <c r="F483">
        <f t="shared" si="14"/>
        <v>1911</v>
      </c>
      <c r="G483">
        <f>D483*(E483-_xlfn.XLOOKUP(C483,products!A:A,products!E:E))</f>
        <v>831.27</v>
      </c>
      <c r="H483" s="6" t="str">
        <f>_xlfn.XLOOKUP(C483,products!A:A,products!C:C)</f>
        <v>Electronics</v>
      </c>
      <c r="I483" s="6" t="str">
        <f>_xlfn.XLOOKUP(C483,products!A:A,products!B:B)</f>
        <v>Laptop</v>
      </c>
      <c r="J483" s="6">
        <f>_xlfn.XLOOKUP(B483,orders!A:A,orders!C:C)</f>
        <v>46013</v>
      </c>
      <c r="K483" s="6" t="str">
        <f t="shared" si="15"/>
        <v>Dec-2025</v>
      </c>
      <c r="L483" s="6">
        <f>_xlfn.XLOOKUP(B483,orders!A:A,orders!B:B)</f>
        <v>381</v>
      </c>
      <c r="M483" s="6" t="str">
        <f>_xlfn.XLOOKUP("C"&amp;TEXT(L483,"000"),customers!A:A,customers!B:B,"Not Found")</f>
        <v>Meena N.</v>
      </c>
    </row>
    <row r="484" spans="1:13">
      <c r="A484">
        <v>483</v>
      </c>
      <c r="B484">
        <v>342</v>
      </c>
      <c r="C484">
        <v>45</v>
      </c>
      <c r="D484" s="4">
        <v>3</v>
      </c>
      <c r="E484">
        <f>_xlfn.XLOOKUP(C484,products!A:A,products!D:D)</f>
        <v>6665</v>
      </c>
      <c r="F484">
        <f t="shared" si="14"/>
        <v>19995</v>
      </c>
      <c r="G484">
        <f>D484*(E484-_xlfn.XLOOKUP(C484,products!A:A,products!E:E))</f>
        <v>7498.14</v>
      </c>
      <c r="H484" s="6" t="str">
        <f>_xlfn.XLOOKUP(C484,products!A:A,products!C:C)</f>
        <v>Beauty</v>
      </c>
      <c r="I484" s="6" t="str">
        <f>_xlfn.XLOOKUP(C484,products!A:A,products!B:B)</f>
        <v>Sunscreen</v>
      </c>
      <c r="J484" s="6">
        <f>_xlfn.XLOOKUP(B484,orders!A:A,orders!C:C)</f>
        <v>46016</v>
      </c>
      <c r="K484" s="6" t="str">
        <f t="shared" si="15"/>
        <v>Dec-2025</v>
      </c>
      <c r="L484" s="6">
        <f>_xlfn.XLOOKUP(B484,orders!A:A,orders!B:B)</f>
        <v>418</v>
      </c>
      <c r="M484" s="6" t="str">
        <f>_xlfn.XLOOKUP("C"&amp;TEXT(L484,"000"),customers!A:A,customers!B:B,"Not Found")</f>
        <v>Pooja O.</v>
      </c>
    </row>
    <row r="485" spans="1:13">
      <c r="A485">
        <v>484</v>
      </c>
      <c r="B485">
        <v>342</v>
      </c>
      <c r="C485">
        <v>8</v>
      </c>
      <c r="D485" s="4">
        <v>4</v>
      </c>
      <c r="E485">
        <f>_xlfn.XLOOKUP(C485,products!A:A,products!D:D)</f>
        <v>1596</v>
      </c>
      <c r="F485">
        <f t="shared" si="14"/>
        <v>6384</v>
      </c>
      <c r="G485">
        <f>D485*(E485-_xlfn.XLOOKUP(C485,products!A:A,products!E:E))</f>
        <v>2106.7200000000003</v>
      </c>
      <c r="H485" s="6" t="str">
        <f>_xlfn.XLOOKUP(C485,products!A:A,products!C:C)</f>
        <v>Electronics</v>
      </c>
      <c r="I485" s="6" t="str">
        <f>_xlfn.XLOOKUP(C485,products!A:A,products!B:B)</f>
        <v>Tablet</v>
      </c>
      <c r="J485" s="6">
        <f>_xlfn.XLOOKUP(B485,orders!A:A,orders!C:C)</f>
        <v>46016</v>
      </c>
      <c r="K485" s="6" t="str">
        <f t="shared" si="15"/>
        <v>Dec-2025</v>
      </c>
      <c r="L485" s="6">
        <f>_xlfn.XLOOKUP(B485,orders!A:A,orders!B:B)</f>
        <v>418</v>
      </c>
      <c r="M485" s="6" t="str">
        <f>_xlfn.XLOOKUP("C"&amp;TEXT(L485,"000"),customers!A:A,customers!B:B,"Not Found")</f>
        <v>Pooja O.</v>
      </c>
    </row>
    <row r="486" spans="1:13">
      <c r="A486">
        <v>485</v>
      </c>
      <c r="B486">
        <v>343</v>
      </c>
      <c r="C486">
        <v>2</v>
      </c>
      <c r="D486" s="4">
        <v>4</v>
      </c>
      <c r="E486">
        <f>_xlfn.XLOOKUP(C486,products!A:A,products!D:D)</f>
        <v>774</v>
      </c>
      <c r="F486">
        <f t="shared" si="14"/>
        <v>3096</v>
      </c>
      <c r="G486">
        <f>D486*(E486-_xlfn.XLOOKUP(C486,products!A:A,products!E:E))</f>
        <v>1300.32</v>
      </c>
      <c r="H486" s="6" t="str">
        <f>_xlfn.XLOOKUP(C486,products!A:A,products!C:C)</f>
        <v>Electronics</v>
      </c>
      <c r="I486" s="6" t="str">
        <f>_xlfn.XLOOKUP(C486,products!A:A,products!B:B)</f>
        <v>Mobile</v>
      </c>
      <c r="J486" s="6">
        <f>_xlfn.XLOOKUP(B486,orders!A:A,orders!C:C)</f>
        <v>46019</v>
      </c>
      <c r="K486" s="6" t="str">
        <f t="shared" si="15"/>
        <v>Dec-2025</v>
      </c>
      <c r="L486" s="6">
        <f>_xlfn.XLOOKUP(B486,orders!A:A,orders!B:B)</f>
        <v>455</v>
      </c>
      <c r="M486" s="6" t="str">
        <f>_xlfn.XLOOKUP("C"&amp;TEXT(L486,"000"),customers!A:A,customers!B:B,"Not Found")</f>
        <v>Divya W.</v>
      </c>
    </row>
    <row r="487" spans="1:13">
      <c r="A487">
        <v>486</v>
      </c>
      <c r="B487">
        <v>343</v>
      </c>
      <c r="C487">
        <v>15</v>
      </c>
      <c r="D487" s="4">
        <v>1</v>
      </c>
      <c r="E487">
        <f>_xlfn.XLOOKUP(C487,products!A:A,products!D:D)</f>
        <v>2555</v>
      </c>
      <c r="F487">
        <f t="shared" si="14"/>
        <v>2555</v>
      </c>
      <c r="G487">
        <f>D487*(E487-_xlfn.XLOOKUP(C487,products!A:A,products!E:E))</f>
        <v>958.11999999999989</v>
      </c>
      <c r="H487" s="6" t="str">
        <f>_xlfn.XLOOKUP(C487,products!A:A,products!C:C)</f>
        <v>Fashion</v>
      </c>
      <c r="I487" s="6" t="str">
        <f>_xlfn.XLOOKUP(C487,products!A:A,products!B:B)</f>
        <v>Shoes</v>
      </c>
      <c r="J487" s="6">
        <f>_xlfn.XLOOKUP(B487,orders!A:A,orders!C:C)</f>
        <v>46019</v>
      </c>
      <c r="K487" s="6" t="str">
        <f t="shared" si="15"/>
        <v>Dec-2025</v>
      </c>
      <c r="L487" s="6">
        <f>_xlfn.XLOOKUP(B487,orders!A:A,orders!B:B)</f>
        <v>455</v>
      </c>
      <c r="M487" s="6" t="str">
        <f>_xlfn.XLOOKUP("C"&amp;TEXT(L487,"000"),customers!A:A,customers!B:B,"Not Found")</f>
        <v>Divya W.</v>
      </c>
    </row>
    <row r="488" spans="1:13">
      <c r="A488">
        <v>487</v>
      </c>
      <c r="B488">
        <v>344</v>
      </c>
      <c r="C488">
        <v>9</v>
      </c>
      <c r="D488" s="4">
        <v>1</v>
      </c>
      <c r="E488">
        <f>_xlfn.XLOOKUP(C488,products!A:A,products!D:D)</f>
        <v>1733</v>
      </c>
      <c r="F488">
        <f t="shared" si="14"/>
        <v>1733</v>
      </c>
      <c r="G488">
        <f>D488*(E488-_xlfn.XLOOKUP(C488,products!A:A,products!E:E))</f>
        <v>545.8900000000001</v>
      </c>
      <c r="H488" s="6" t="str">
        <f>_xlfn.XLOOKUP(C488,products!A:A,products!C:C)</f>
        <v>Electronics</v>
      </c>
      <c r="I488" s="6" t="str">
        <f>_xlfn.XLOOKUP(C488,products!A:A,products!B:B)</f>
        <v>Power Bank</v>
      </c>
      <c r="J488" s="6">
        <f>_xlfn.XLOOKUP(B488,orders!A:A,orders!C:C)</f>
        <v>46022</v>
      </c>
      <c r="K488" s="6" t="str">
        <f t="shared" si="15"/>
        <v>Dec-2025</v>
      </c>
      <c r="L488" s="6">
        <f>_xlfn.XLOOKUP(B488,orders!A:A,orders!B:B)</f>
        <v>492</v>
      </c>
      <c r="M488" s="6" t="str">
        <f>_xlfn.XLOOKUP("C"&amp;TEXT(L488,"000"),customers!A:A,customers!B:B,"Not Found")</f>
        <v>Kiran R.</v>
      </c>
    </row>
    <row r="489" spans="1:13">
      <c r="A489">
        <v>488</v>
      </c>
      <c r="B489">
        <v>344</v>
      </c>
      <c r="C489">
        <v>22</v>
      </c>
      <c r="D489" s="4">
        <v>2</v>
      </c>
      <c r="E489">
        <f>_xlfn.XLOOKUP(C489,products!A:A,products!D:D)</f>
        <v>3514</v>
      </c>
      <c r="F489">
        <f t="shared" si="14"/>
        <v>7028</v>
      </c>
      <c r="G489">
        <f>D489*(E489-_xlfn.XLOOKUP(C489,products!A:A,products!E:E))</f>
        <v>2951.76</v>
      </c>
      <c r="H489" s="6" t="str">
        <f>_xlfn.XLOOKUP(C489,products!A:A,products!C:C)</f>
        <v>Home Appliances</v>
      </c>
      <c r="I489" s="6" t="str">
        <f>_xlfn.XLOOKUP(C489,products!A:A,products!B:B)</f>
        <v>Microwave</v>
      </c>
      <c r="J489" s="6">
        <f>_xlfn.XLOOKUP(B489,orders!A:A,orders!C:C)</f>
        <v>46022</v>
      </c>
      <c r="K489" s="6" t="str">
        <f t="shared" si="15"/>
        <v>Dec-2025</v>
      </c>
      <c r="L489" s="6">
        <f>_xlfn.XLOOKUP(B489,orders!A:A,orders!B:B)</f>
        <v>492</v>
      </c>
      <c r="M489" s="6" t="str">
        <f>_xlfn.XLOOKUP("C"&amp;TEXT(L489,"000"),customers!A:A,customers!B:B,"Not Found")</f>
        <v>Kiran R.</v>
      </c>
    </row>
    <row r="490" spans="1:13">
      <c r="A490">
        <v>489</v>
      </c>
      <c r="B490">
        <v>345</v>
      </c>
      <c r="C490">
        <v>16</v>
      </c>
      <c r="D490" s="4">
        <v>2</v>
      </c>
      <c r="E490">
        <f>_xlfn.XLOOKUP(C490,products!A:A,products!D:D)</f>
        <v>2692</v>
      </c>
      <c r="F490">
        <f t="shared" si="14"/>
        <v>5384</v>
      </c>
      <c r="G490">
        <f>D490*(E490-_xlfn.XLOOKUP(C490,products!A:A,products!E:E))</f>
        <v>1938.2399999999998</v>
      </c>
      <c r="H490" s="6" t="str">
        <f>_xlfn.XLOOKUP(C490,products!A:A,products!C:C)</f>
        <v>Fashion</v>
      </c>
      <c r="I490" s="6" t="str">
        <f>_xlfn.XLOOKUP(C490,products!A:A,products!B:B)</f>
        <v>Saree</v>
      </c>
      <c r="J490" s="6">
        <f>_xlfn.XLOOKUP(B490,orders!A:A,orders!C:C)</f>
        <v>45660</v>
      </c>
      <c r="K490" s="6" t="str">
        <f t="shared" si="15"/>
        <v>Jan-2025</v>
      </c>
      <c r="L490" s="6">
        <f>_xlfn.XLOOKUP(B490,orders!A:A,orders!B:B)</f>
        <v>29</v>
      </c>
      <c r="M490" s="6" t="str">
        <f>_xlfn.XLOOKUP("C"&amp;TEXT(L490,"000"),customers!A:A,customers!B:B,"Not Found")</f>
        <v>Vikram Q.</v>
      </c>
    </row>
    <row r="491" spans="1:13">
      <c r="A491">
        <v>490</v>
      </c>
      <c r="B491">
        <v>345</v>
      </c>
      <c r="C491">
        <v>29</v>
      </c>
      <c r="D491" s="4">
        <v>3</v>
      </c>
      <c r="E491">
        <f>_xlfn.XLOOKUP(C491,products!A:A,products!D:D)</f>
        <v>4473</v>
      </c>
      <c r="F491">
        <f t="shared" si="14"/>
        <v>13419</v>
      </c>
      <c r="G491">
        <f>D491*(E491-_xlfn.XLOOKUP(C491,products!A:A,products!E:E))</f>
        <v>4226.9699999999993</v>
      </c>
      <c r="H491" s="6" t="str">
        <f>_xlfn.XLOOKUP(C491,products!A:A,products!C:C)</f>
        <v>Furniture</v>
      </c>
      <c r="I491" s="6" t="str">
        <f>_xlfn.XLOOKUP(C491,products!A:A,products!B:B)</f>
        <v>Chair</v>
      </c>
      <c r="J491" s="6">
        <f>_xlfn.XLOOKUP(B491,orders!A:A,orders!C:C)</f>
        <v>45660</v>
      </c>
      <c r="K491" s="6" t="str">
        <f t="shared" si="15"/>
        <v>Jan-2025</v>
      </c>
      <c r="L491" s="6">
        <f>_xlfn.XLOOKUP(B491,orders!A:A,orders!B:B)</f>
        <v>29</v>
      </c>
      <c r="M491" s="6" t="str">
        <f>_xlfn.XLOOKUP("C"&amp;TEXT(L491,"000"),customers!A:A,customers!B:B,"Not Found")</f>
        <v>Vikram Q.</v>
      </c>
    </row>
    <row r="492" spans="1:13">
      <c r="A492">
        <v>491</v>
      </c>
      <c r="B492">
        <v>346</v>
      </c>
      <c r="C492">
        <v>23</v>
      </c>
      <c r="D492" s="4">
        <v>3</v>
      </c>
      <c r="E492">
        <f>_xlfn.XLOOKUP(C492,products!A:A,products!D:D)</f>
        <v>3651</v>
      </c>
      <c r="F492">
        <f t="shared" si="14"/>
        <v>10953</v>
      </c>
      <c r="G492">
        <f>D492*(E492-_xlfn.XLOOKUP(C492,products!A:A,products!E:E))</f>
        <v>4435.9500000000007</v>
      </c>
      <c r="H492" s="6" t="str">
        <f>_xlfn.XLOOKUP(C492,products!A:A,products!C:C)</f>
        <v>Home Appliances</v>
      </c>
      <c r="I492" s="6" t="str">
        <f>_xlfn.XLOOKUP(C492,products!A:A,products!B:B)</f>
        <v>Fan</v>
      </c>
      <c r="J492" s="6">
        <f>_xlfn.XLOOKUP(B492,orders!A:A,orders!C:C)</f>
        <v>45663</v>
      </c>
      <c r="K492" s="6" t="str">
        <f t="shared" si="15"/>
        <v>Jan-2025</v>
      </c>
      <c r="L492" s="6">
        <f>_xlfn.XLOOKUP(B492,orders!A:A,orders!B:B)</f>
        <v>66</v>
      </c>
      <c r="M492" s="6" t="str">
        <f>_xlfn.XLOOKUP("C"&amp;TEXT(L492,"000"),customers!A:A,customers!B:B,"Not Found")</f>
        <v>Meena S.</v>
      </c>
    </row>
    <row r="493" spans="1:13">
      <c r="A493">
        <v>492</v>
      </c>
      <c r="B493">
        <v>346</v>
      </c>
      <c r="C493">
        <v>36</v>
      </c>
      <c r="D493" s="4">
        <v>4</v>
      </c>
      <c r="E493">
        <f>_xlfn.XLOOKUP(C493,products!A:A,products!D:D)</f>
        <v>5432</v>
      </c>
      <c r="F493">
        <f t="shared" si="14"/>
        <v>21728</v>
      </c>
      <c r="G493">
        <f>D493*(E493-_xlfn.XLOOKUP(C493,products!A:A,products!E:E))</f>
        <v>7822.08</v>
      </c>
      <c r="H493" s="6" t="str">
        <f>_xlfn.XLOOKUP(C493,products!A:A,products!C:C)</f>
        <v>Sports</v>
      </c>
      <c r="I493" s="6" t="str">
        <f>_xlfn.XLOOKUP(C493,products!A:A,products!B:B)</f>
        <v>Cricket Bat</v>
      </c>
      <c r="J493" s="6">
        <f>_xlfn.XLOOKUP(B493,orders!A:A,orders!C:C)</f>
        <v>45663</v>
      </c>
      <c r="K493" s="6" t="str">
        <f t="shared" si="15"/>
        <v>Jan-2025</v>
      </c>
      <c r="L493" s="6">
        <f>_xlfn.XLOOKUP(B493,orders!A:A,orders!B:B)</f>
        <v>66</v>
      </c>
      <c r="M493" s="6" t="str">
        <f>_xlfn.XLOOKUP("C"&amp;TEXT(L493,"000"),customers!A:A,customers!B:B,"Not Found")</f>
        <v>Meena S.</v>
      </c>
    </row>
    <row r="494" spans="1:13">
      <c r="A494">
        <v>493</v>
      </c>
      <c r="B494">
        <v>347</v>
      </c>
      <c r="C494">
        <v>30</v>
      </c>
      <c r="D494" s="4">
        <v>4</v>
      </c>
      <c r="E494">
        <f>_xlfn.XLOOKUP(C494,products!A:A,products!D:D)</f>
        <v>4610</v>
      </c>
      <c r="F494">
        <f t="shared" si="14"/>
        <v>18440</v>
      </c>
      <c r="G494">
        <f>D494*(E494-_xlfn.XLOOKUP(C494,products!A:A,products!E:E))</f>
        <v>8298</v>
      </c>
      <c r="H494" s="6" t="str">
        <f>_xlfn.XLOOKUP(C494,products!A:A,products!C:C)</f>
        <v>Furniture</v>
      </c>
      <c r="I494" s="6" t="str">
        <f>_xlfn.XLOOKUP(C494,products!A:A,products!B:B)</f>
        <v>Table</v>
      </c>
      <c r="J494" s="6">
        <f>_xlfn.XLOOKUP(B494,orders!A:A,orders!C:C)</f>
        <v>45666</v>
      </c>
      <c r="K494" s="6" t="str">
        <f t="shared" si="15"/>
        <v>Jan-2025</v>
      </c>
      <c r="L494" s="6">
        <f>_xlfn.XLOOKUP(B494,orders!A:A,orders!B:B)</f>
        <v>103</v>
      </c>
      <c r="M494" s="6" t="str">
        <f>_xlfn.XLOOKUP("C"&amp;TEXT(L494,"000"),customers!A:A,customers!B:B,"Not Found")</f>
        <v>Kiran J.</v>
      </c>
    </row>
    <row r="495" spans="1:13">
      <c r="A495">
        <v>494</v>
      </c>
      <c r="B495">
        <v>347</v>
      </c>
      <c r="C495">
        <v>43</v>
      </c>
      <c r="D495" s="4">
        <v>1</v>
      </c>
      <c r="E495">
        <f>_xlfn.XLOOKUP(C495,products!A:A,products!D:D)</f>
        <v>6391</v>
      </c>
      <c r="F495">
        <f t="shared" si="14"/>
        <v>6391</v>
      </c>
      <c r="G495">
        <f>D495*(E495-_xlfn.XLOOKUP(C495,products!A:A,products!E:E))</f>
        <v>2588.35</v>
      </c>
      <c r="H495" s="6" t="str">
        <f>_xlfn.XLOOKUP(C495,products!A:A,products!C:C)</f>
        <v>Beauty</v>
      </c>
      <c r="I495" s="6" t="str">
        <f>_xlfn.XLOOKUP(C495,products!A:A,products!B:B)</f>
        <v>Perfume</v>
      </c>
      <c r="J495" s="6">
        <f>_xlfn.XLOOKUP(B495,orders!A:A,orders!C:C)</f>
        <v>45666</v>
      </c>
      <c r="K495" s="6" t="str">
        <f t="shared" si="15"/>
        <v>Jan-2025</v>
      </c>
      <c r="L495" s="6">
        <f>_xlfn.XLOOKUP(B495,orders!A:A,orders!B:B)</f>
        <v>103</v>
      </c>
      <c r="M495" s="6" t="str">
        <f>_xlfn.XLOOKUP("C"&amp;TEXT(L495,"000"),customers!A:A,customers!B:B,"Not Found")</f>
        <v>Kiran J.</v>
      </c>
    </row>
    <row r="496" spans="1:13">
      <c r="A496">
        <v>495</v>
      </c>
      <c r="B496">
        <v>348</v>
      </c>
      <c r="C496">
        <v>37</v>
      </c>
      <c r="D496" s="4">
        <v>1</v>
      </c>
      <c r="E496">
        <f>_xlfn.XLOOKUP(C496,products!A:A,products!D:D)</f>
        <v>5569</v>
      </c>
      <c r="F496">
        <f t="shared" si="14"/>
        <v>5569</v>
      </c>
      <c r="G496">
        <f>D496*(E496-_xlfn.XLOOKUP(C496,products!A:A,products!E:E))</f>
        <v>1921.3000000000002</v>
      </c>
      <c r="H496" s="6" t="str">
        <f>_xlfn.XLOOKUP(C496,products!A:A,products!C:C)</f>
        <v>Sports</v>
      </c>
      <c r="I496" s="6" t="str">
        <f>_xlfn.XLOOKUP(C496,products!A:A,products!B:B)</f>
        <v>Football</v>
      </c>
      <c r="J496" s="6">
        <f>_xlfn.XLOOKUP(B496,orders!A:A,orders!C:C)</f>
        <v>45669</v>
      </c>
      <c r="K496" s="6" t="str">
        <f t="shared" si="15"/>
        <v>Jan-2025</v>
      </c>
      <c r="L496" s="6">
        <f>_xlfn.XLOOKUP(B496,orders!A:A,orders!B:B)</f>
        <v>140</v>
      </c>
      <c r="M496" s="6" t="str">
        <f>_xlfn.XLOOKUP("C"&amp;TEXT(L496,"000"),customers!A:A,customers!B:B,"Not Found")</f>
        <v>Priya L.</v>
      </c>
    </row>
    <row r="497" spans="1:13">
      <c r="A497">
        <v>496</v>
      </c>
      <c r="B497">
        <v>348</v>
      </c>
      <c r="C497">
        <v>50</v>
      </c>
      <c r="D497" s="4">
        <v>2</v>
      </c>
      <c r="E497">
        <f>_xlfn.XLOOKUP(C497,products!A:A,products!D:D)</f>
        <v>7350</v>
      </c>
      <c r="F497">
        <f t="shared" si="14"/>
        <v>14700</v>
      </c>
      <c r="G497">
        <f>D497*(E497-_xlfn.XLOOKUP(C497,products!A:A,products!E:E))</f>
        <v>6615</v>
      </c>
      <c r="H497" s="6" t="str">
        <f>_xlfn.XLOOKUP(C497,products!A:A,products!C:C)</f>
        <v>Toys</v>
      </c>
      <c r="I497" s="6" t="str">
        <f>_xlfn.XLOOKUP(C497,products!A:A,products!B:B)</f>
        <v>Building Blocks</v>
      </c>
      <c r="J497" s="6">
        <f>_xlfn.XLOOKUP(B497,orders!A:A,orders!C:C)</f>
        <v>45669</v>
      </c>
      <c r="K497" s="6" t="str">
        <f t="shared" si="15"/>
        <v>Jan-2025</v>
      </c>
      <c r="L497" s="6">
        <f>_xlfn.XLOOKUP(B497,orders!A:A,orders!B:B)</f>
        <v>140</v>
      </c>
      <c r="M497" s="6" t="str">
        <f>_xlfn.XLOOKUP("C"&amp;TEXT(L497,"000"),customers!A:A,customers!B:B,"Not Found")</f>
        <v>Priya L.</v>
      </c>
    </row>
    <row r="498" spans="1:13">
      <c r="A498">
        <v>497</v>
      </c>
      <c r="B498">
        <v>349</v>
      </c>
      <c r="C498">
        <v>44</v>
      </c>
      <c r="D498" s="4">
        <v>2</v>
      </c>
      <c r="E498">
        <f>_xlfn.XLOOKUP(C498,products!A:A,products!D:D)</f>
        <v>6528</v>
      </c>
      <c r="F498">
        <f t="shared" si="14"/>
        <v>13056</v>
      </c>
      <c r="G498">
        <f>D498*(E498-_xlfn.XLOOKUP(C498,products!A:A,products!E:E))</f>
        <v>5091.84</v>
      </c>
      <c r="H498" s="6" t="str">
        <f>_xlfn.XLOOKUP(C498,products!A:A,products!C:C)</f>
        <v>Beauty</v>
      </c>
      <c r="I498" s="6" t="str">
        <f>_xlfn.XLOOKUP(C498,products!A:A,products!B:B)</f>
        <v>Moisturizer</v>
      </c>
      <c r="J498" s="6">
        <f>_xlfn.XLOOKUP(B498,orders!A:A,orders!C:C)</f>
        <v>45672</v>
      </c>
      <c r="K498" s="6" t="str">
        <f t="shared" si="15"/>
        <v>Jan-2025</v>
      </c>
      <c r="L498" s="6">
        <f>_xlfn.XLOOKUP(B498,orders!A:A,orders!B:B)</f>
        <v>177</v>
      </c>
      <c r="M498" s="6" t="str">
        <f>_xlfn.XLOOKUP("C"&amp;TEXT(L498,"000"),customers!A:A,customers!B:B,"Not Found")</f>
        <v>Divya W.</v>
      </c>
    </row>
    <row r="499" spans="1:13">
      <c r="A499">
        <v>498</v>
      </c>
      <c r="B499">
        <v>349</v>
      </c>
      <c r="C499">
        <v>7</v>
      </c>
      <c r="D499" s="4">
        <v>3</v>
      </c>
      <c r="E499">
        <f>_xlfn.XLOOKUP(C499,products!A:A,products!D:D)</f>
        <v>1459</v>
      </c>
      <c r="F499">
        <f t="shared" si="14"/>
        <v>4377</v>
      </c>
      <c r="G499">
        <f>D499*(E499-_xlfn.XLOOKUP(C499,products!A:A,products!E:E))</f>
        <v>1510.0500000000002</v>
      </c>
      <c r="H499" s="6" t="str">
        <f>_xlfn.XLOOKUP(C499,products!A:A,products!C:C)</f>
        <v>Electronics</v>
      </c>
      <c r="I499" s="6" t="str">
        <f>_xlfn.XLOOKUP(C499,products!A:A,products!B:B)</f>
        <v>Monitor</v>
      </c>
      <c r="J499" s="6">
        <f>_xlfn.XLOOKUP(B499,orders!A:A,orders!C:C)</f>
        <v>45672</v>
      </c>
      <c r="K499" s="6" t="str">
        <f t="shared" si="15"/>
        <v>Jan-2025</v>
      </c>
      <c r="L499" s="6">
        <f>_xlfn.XLOOKUP(B499,orders!A:A,orders!B:B)</f>
        <v>177</v>
      </c>
      <c r="M499" s="6" t="str">
        <f>_xlfn.XLOOKUP("C"&amp;TEXT(L499,"000"),customers!A:A,customers!B:B,"Not Found")</f>
        <v>Divya W.</v>
      </c>
    </row>
    <row r="500" spans="1:13">
      <c r="A500">
        <v>499</v>
      </c>
      <c r="B500">
        <v>350</v>
      </c>
      <c r="C500">
        <v>1</v>
      </c>
      <c r="D500" s="4">
        <v>3</v>
      </c>
      <c r="E500">
        <f>_xlfn.XLOOKUP(C500,products!A:A,products!D:D)</f>
        <v>637</v>
      </c>
      <c r="F500">
        <f t="shared" si="14"/>
        <v>1911</v>
      </c>
      <c r="G500">
        <f>D500*(E500-_xlfn.XLOOKUP(C500,products!A:A,products!E:E))</f>
        <v>831.27</v>
      </c>
      <c r="H500" s="6" t="str">
        <f>_xlfn.XLOOKUP(C500,products!A:A,products!C:C)</f>
        <v>Electronics</v>
      </c>
      <c r="I500" s="6" t="str">
        <f>_xlfn.XLOOKUP(C500,products!A:A,products!B:B)</f>
        <v>Laptop</v>
      </c>
      <c r="J500" s="6">
        <f>_xlfn.XLOOKUP(B500,orders!A:A,orders!C:C)</f>
        <v>45675</v>
      </c>
      <c r="K500" s="6" t="str">
        <f t="shared" si="15"/>
        <v>Jan-2025</v>
      </c>
      <c r="L500" s="6">
        <f>_xlfn.XLOOKUP(B500,orders!A:A,orders!B:B)</f>
        <v>214</v>
      </c>
      <c r="M500" s="6" t="str">
        <f>_xlfn.XLOOKUP("C"&amp;TEXT(L500,"000"),customers!A:A,customers!B:B,"Not Found")</f>
        <v>Meena W.</v>
      </c>
    </row>
    <row r="501" spans="1:13">
      <c r="A501">
        <v>500</v>
      </c>
      <c r="B501">
        <v>350</v>
      </c>
      <c r="C501">
        <v>14</v>
      </c>
      <c r="D501" s="4">
        <v>4</v>
      </c>
      <c r="E501">
        <f>_xlfn.XLOOKUP(C501,products!A:A,products!D:D)</f>
        <v>2418</v>
      </c>
      <c r="F501">
        <f t="shared" si="14"/>
        <v>9672</v>
      </c>
      <c r="G501">
        <f>D501*(E501-_xlfn.XLOOKUP(C501,products!A:A,products!E:E))</f>
        <v>3772.08</v>
      </c>
      <c r="H501" s="6" t="str">
        <f>_xlfn.XLOOKUP(C501,products!A:A,products!C:C)</f>
        <v>Fashion</v>
      </c>
      <c r="I501" s="6" t="str">
        <f>_xlfn.XLOOKUP(C501,products!A:A,products!B:B)</f>
        <v>Jacket</v>
      </c>
      <c r="J501" s="6">
        <f>_xlfn.XLOOKUP(B501,orders!A:A,orders!C:C)</f>
        <v>45675</v>
      </c>
      <c r="K501" s="6" t="str">
        <f t="shared" si="15"/>
        <v>Jan-2025</v>
      </c>
      <c r="L501" s="6">
        <f>_xlfn.XLOOKUP(B501,orders!A:A,orders!B:B)</f>
        <v>214</v>
      </c>
      <c r="M501" s="6" t="str">
        <f>_xlfn.XLOOKUP("C"&amp;TEXT(L501,"000"),customers!A:A,customers!B:B,"Not Found")</f>
        <v>Meena W.</v>
      </c>
    </row>
    <row r="502" spans="1:13">
      <c r="A502">
        <v>501</v>
      </c>
      <c r="B502">
        <v>351</v>
      </c>
      <c r="C502">
        <v>8</v>
      </c>
      <c r="D502" s="4">
        <v>4</v>
      </c>
      <c r="E502">
        <f>_xlfn.XLOOKUP(C502,products!A:A,products!D:D)</f>
        <v>1596</v>
      </c>
      <c r="F502">
        <f t="shared" si="14"/>
        <v>6384</v>
      </c>
      <c r="G502">
        <f>D502*(E502-_xlfn.XLOOKUP(C502,products!A:A,products!E:E))</f>
        <v>2106.7200000000003</v>
      </c>
      <c r="H502" s="6" t="str">
        <f>_xlfn.XLOOKUP(C502,products!A:A,products!C:C)</f>
        <v>Electronics</v>
      </c>
      <c r="I502" s="6" t="str">
        <f>_xlfn.XLOOKUP(C502,products!A:A,products!B:B)</f>
        <v>Tablet</v>
      </c>
      <c r="J502" s="6">
        <f>_xlfn.XLOOKUP(B502,orders!A:A,orders!C:C)</f>
        <v>45678</v>
      </c>
      <c r="K502" s="6" t="str">
        <f t="shared" si="15"/>
        <v>Jan-2025</v>
      </c>
      <c r="L502" s="6">
        <f>_xlfn.XLOOKUP(B502,orders!A:A,orders!B:B)</f>
        <v>251</v>
      </c>
      <c r="M502" s="6" t="str">
        <f>_xlfn.XLOOKUP("C"&amp;TEXT(L502,"000"),customers!A:A,customers!B:B,"Not Found")</f>
        <v>Rohit H.</v>
      </c>
    </row>
    <row r="503" spans="1:13">
      <c r="A503">
        <v>502</v>
      </c>
      <c r="B503">
        <v>351</v>
      </c>
      <c r="C503">
        <v>21</v>
      </c>
      <c r="D503" s="4">
        <v>1</v>
      </c>
      <c r="E503">
        <f>_xlfn.XLOOKUP(C503,products!A:A,products!D:D)</f>
        <v>3377</v>
      </c>
      <c r="F503">
        <f t="shared" si="14"/>
        <v>3377</v>
      </c>
      <c r="G503">
        <f>D503*(E503-_xlfn.XLOOKUP(C503,products!A:A,products!E:E))</f>
        <v>1468.99</v>
      </c>
      <c r="H503" s="6" t="str">
        <f>_xlfn.XLOOKUP(C503,products!A:A,products!C:C)</f>
        <v>Home Appliances</v>
      </c>
      <c r="I503" s="6" t="str">
        <f>_xlfn.XLOOKUP(C503,products!A:A,products!B:B)</f>
        <v>Mixer</v>
      </c>
      <c r="J503" s="6">
        <f>_xlfn.XLOOKUP(B503,orders!A:A,orders!C:C)</f>
        <v>45678</v>
      </c>
      <c r="K503" s="6" t="str">
        <f t="shared" si="15"/>
        <v>Jan-2025</v>
      </c>
      <c r="L503" s="6">
        <f>_xlfn.XLOOKUP(B503,orders!A:A,orders!B:B)</f>
        <v>251</v>
      </c>
      <c r="M503" s="6" t="str">
        <f>_xlfn.XLOOKUP("C"&amp;TEXT(L503,"000"),customers!A:A,customers!B:B,"Not Found")</f>
        <v>Rohit H.</v>
      </c>
    </row>
    <row r="504" spans="1:13">
      <c r="A504">
        <v>503</v>
      </c>
      <c r="B504">
        <v>352</v>
      </c>
      <c r="C504">
        <v>15</v>
      </c>
      <c r="D504" s="4">
        <v>1</v>
      </c>
      <c r="E504">
        <f>_xlfn.XLOOKUP(C504,products!A:A,products!D:D)</f>
        <v>2555</v>
      </c>
      <c r="F504">
        <f t="shared" si="14"/>
        <v>2555</v>
      </c>
      <c r="G504">
        <f>D504*(E504-_xlfn.XLOOKUP(C504,products!A:A,products!E:E))</f>
        <v>958.11999999999989</v>
      </c>
      <c r="H504" s="6" t="str">
        <f>_xlfn.XLOOKUP(C504,products!A:A,products!C:C)</f>
        <v>Fashion</v>
      </c>
      <c r="I504" s="6" t="str">
        <f>_xlfn.XLOOKUP(C504,products!A:A,products!B:B)</f>
        <v>Shoes</v>
      </c>
      <c r="J504" s="6">
        <f>_xlfn.XLOOKUP(B504,orders!A:A,orders!C:C)</f>
        <v>45681</v>
      </c>
      <c r="K504" s="6" t="str">
        <f t="shared" si="15"/>
        <v>Jan-2025</v>
      </c>
      <c r="L504" s="6">
        <f>_xlfn.XLOOKUP(B504,orders!A:A,orders!B:B)</f>
        <v>288</v>
      </c>
      <c r="M504" s="6" t="str">
        <f>_xlfn.XLOOKUP("C"&amp;TEXT(L504,"000"),customers!A:A,customers!B:B,"Not Found")</f>
        <v>Kavya O.</v>
      </c>
    </row>
    <row r="505" spans="1:13">
      <c r="A505">
        <v>504</v>
      </c>
      <c r="B505">
        <v>352</v>
      </c>
      <c r="C505">
        <v>28</v>
      </c>
      <c r="D505" s="4">
        <v>2</v>
      </c>
      <c r="E505">
        <f>_xlfn.XLOOKUP(C505,products!A:A,products!D:D)</f>
        <v>4336</v>
      </c>
      <c r="F505">
        <f t="shared" si="14"/>
        <v>8672</v>
      </c>
      <c r="G505">
        <f>D505*(E505-_xlfn.XLOOKUP(C505,products!A:A,products!E:E))</f>
        <v>2861.76</v>
      </c>
      <c r="H505" s="6" t="str">
        <f>_xlfn.XLOOKUP(C505,products!A:A,products!C:C)</f>
        <v>Home &amp; Kitchen</v>
      </c>
      <c r="I505" s="6" t="str">
        <f>_xlfn.XLOOKUP(C505,products!A:A,products!B:B)</f>
        <v>Bottle</v>
      </c>
      <c r="J505" s="6">
        <f>_xlfn.XLOOKUP(B505,orders!A:A,orders!C:C)</f>
        <v>45681</v>
      </c>
      <c r="K505" s="6" t="str">
        <f t="shared" si="15"/>
        <v>Jan-2025</v>
      </c>
      <c r="L505" s="6">
        <f>_xlfn.XLOOKUP(B505,orders!A:A,orders!B:B)</f>
        <v>288</v>
      </c>
      <c r="M505" s="6" t="str">
        <f>_xlfn.XLOOKUP("C"&amp;TEXT(L505,"000"),customers!A:A,customers!B:B,"Not Found")</f>
        <v>Kavya O.</v>
      </c>
    </row>
    <row r="506" spans="1:13">
      <c r="A506">
        <v>505</v>
      </c>
      <c r="B506">
        <v>353</v>
      </c>
      <c r="C506">
        <v>22</v>
      </c>
      <c r="D506" s="4">
        <v>2</v>
      </c>
      <c r="E506">
        <f>_xlfn.XLOOKUP(C506,products!A:A,products!D:D)</f>
        <v>3514</v>
      </c>
      <c r="F506">
        <f t="shared" si="14"/>
        <v>7028</v>
      </c>
      <c r="G506">
        <f>D506*(E506-_xlfn.XLOOKUP(C506,products!A:A,products!E:E))</f>
        <v>2951.76</v>
      </c>
      <c r="H506" s="6" t="str">
        <f>_xlfn.XLOOKUP(C506,products!A:A,products!C:C)</f>
        <v>Home Appliances</v>
      </c>
      <c r="I506" s="6" t="str">
        <f>_xlfn.XLOOKUP(C506,products!A:A,products!B:B)</f>
        <v>Microwave</v>
      </c>
      <c r="J506" s="6">
        <f>_xlfn.XLOOKUP(B506,orders!A:A,orders!C:C)</f>
        <v>45684</v>
      </c>
      <c r="K506" s="6" t="str">
        <f t="shared" si="15"/>
        <v>Jan-2025</v>
      </c>
      <c r="L506" s="6">
        <f>_xlfn.XLOOKUP(B506,orders!A:A,orders!B:B)</f>
        <v>325</v>
      </c>
      <c r="M506" s="6" t="str">
        <f>_xlfn.XLOOKUP("C"&amp;TEXT(L506,"000"),customers!A:A,customers!B:B,"Not Found")</f>
        <v>Divya M.</v>
      </c>
    </row>
    <row r="507" spans="1:13">
      <c r="A507">
        <v>506</v>
      </c>
      <c r="B507">
        <v>353</v>
      </c>
      <c r="C507">
        <v>35</v>
      </c>
      <c r="D507" s="4">
        <v>3</v>
      </c>
      <c r="E507">
        <f>_xlfn.XLOOKUP(C507,products!A:A,products!D:D)</f>
        <v>5295</v>
      </c>
      <c r="F507">
        <f t="shared" si="14"/>
        <v>15885</v>
      </c>
      <c r="G507">
        <f>D507*(E507-_xlfn.XLOOKUP(C507,products!A:A,products!E:E))</f>
        <v>5956.86</v>
      </c>
      <c r="H507" s="6" t="str">
        <f>_xlfn.XLOOKUP(C507,products!A:A,products!C:C)</f>
        <v>Books</v>
      </c>
      <c r="I507" s="6" t="str">
        <f>_xlfn.XLOOKUP(C507,products!A:A,products!B:B)</f>
        <v>Novel</v>
      </c>
      <c r="J507" s="6">
        <f>_xlfn.XLOOKUP(B507,orders!A:A,orders!C:C)</f>
        <v>45684</v>
      </c>
      <c r="K507" s="6" t="str">
        <f t="shared" si="15"/>
        <v>Jan-2025</v>
      </c>
      <c r="L507" s="6">
        <f>_xlfn.XLOOKUP(B507,orders!A:A,orders!B:B)</f>
        <v>325</v>
      </c>
      <c r="M507" s="6" t="str">
        <f>_xlfn.XLOOKUP("C"&amp;TEXT(L507,"000"),customers!A:A,customers!B:B,"Not Found")</f>
        <v>Divya M.</v>
      </c>
    </row>
    <row r="508" spans="1:13">
      <c r="A508">
        <v>507</v>
      </c>
      <c r="B508">
        <v>354</v>
      </c>
      <c r="C508">
        <v>29</v>
      </c>
      <c r="D508" s="4">
        <v>3</v>
      </c>
      <c r="E508">
        <f>_xlfn.XLOOKUP(C508,products!A:A,products!D:D)</f>
        <v>4473</v>
      </c>
      <c r="F508">
        <f t="shared" si="14"/>
        <v>13419</v>
      </c>
      <c r="G508">
        <f>D508*(E508-_xlfn.XLOOKUP(C508,products!A:A,products!E:E))</f>
        <v>4226.9699999999993</v>
      </c>
      <c r="H508" s="6" t="str">
        <f>_xlfn.XLOOKUP(C508,products!A:A,products!C:C)</f>
        <v>Furniture</v>
      </c>
      <c r="I508" s="6" t="str">
        <f>_xlfn.XLOOKUP(C508,products!A:A,products!B:B)</f>
        <v>Chair</v>
      </c>
      <c r="J508" s="6">
        <f>_xlfn.XLOOKUP(B508,orders!A:A,orders!C:C)</f>
        <v>45687</v>
      </c>
      <c r="K508" s="6" t="str">
        <f t="shared" si="15"/>
        <v>Jan-2025</v>
      </c>
      <c r="L508" s="6">
        <f>_xlfn.XLOOKUP(B508,orders!A:A,orders!B:B)</f>
        <v>362</v>
      </c>
      <c r="M508" s="6" t="str">
        <f>_xlfn.XLOOKUP("C"&amp;TEXT(L508,"000"),customers!A:A,customers!B:B,"Not Found")</f>
        <v>Kavya F.</v>
      </c>
    </row>
    <row r="509" spans="1:13">
      <c r="A509">
        <v>508</v>
      </c>
      <c r="B509">
        <v>354</v>
      </c>
      <c r="C509">
        <v>42</v>
      </c>
      <c r="D509" s="4">
        <v>4</v>
      </c>
      <c r="E509">
        <f>_xlfn.XLOOKUP(C509,products!A:A,products!D:D)</f>
        <v>6254</v>
      </c>
      <c r="F509">
        <f t="shared" si="14"/>
        <v>25016</v>
      </c>
      <c r="G509">
        <f>D509*(E509-_xlfn.XLOOKUP(C509,products!A:A,products!E:E))</f>
        <v>10506.72</v>
      </c>
      <c r="H509" s="6" t="str">
        <f>_xlfn.XLOOKUP(C509,products!A:A,products!C:C)</f>
        <v>Beauty</v>
      </c>
      <c r="I509" s="6" t="str">
        <f>_xlfn.XLOOKUP(C509,products!A:A,products!B:B)</f>
        <v>Shampoo</v>
      </c>
      <c r="J509" s="6">
        <f>_xlfn.XLOOKUP(B509,orders!A:A,orders!C:C)</f>
        <v>45687</v>
      </c>
      <c r="K509" s="6" t="str">
        <f t="shared" si="15"/>
        <v>Jan-2025</v>
      </c>
      <c r="L509" s="6">
        <f>_xlfn.XLOOKUP(B509,orders!A:A,orders!B:B)</f>
        <v>362</v>
      </c>
      <c r="M509" s="6" t="str">
        <f>_xlfn.XLOOKUP("C"&amp;TEXT(L509,"000"),customers!A:A,customers!B:B,"Not Found")</f>
        <v>Kavya F.</v>
      </c>
    </row>
    <row r="510" spans="1:13">
      <c r="A510">
        <v>509</v>
      </c>
      <c r="B510">
        <v>355</v>
      </c>
      <c r="C510">
        <v>36</v>
      </c>
      <c r="D510" s="4">
        <v>4</v>
      </c>
      <c r="E510">
        <f>_xlfn.XLOOKUP(C510,products!A:A,products!D:D)</f>
        <v>5432</v>
      </c>
      <c r="F510">
        <f t="shared" si="14"/>
        <v>21728</v>
      </c>
      <c r="G510">
        <f>D510*(E510-_xlfn.XLOOKUP(C510,products!A:A,products!E:E))</f>
        <v>7822.08</v>
      </c>
      <c r="H510" s="6" t="str">
        <f>_xlfn.XLOOKUP(C510,products!A:A,products!C:C)</f>
        <v>Sports</v>
      </c>
      <c r="I510" s="6" t="str">
        <f>_xlfn.XLOOKUP(C510,products!A:A,products!B:B)</f>
        <v>Cricket Bat</v>
      </c>
      <c r="J510" s="6">
        <f>_xlfn.XLOOKUP(B510,orders!A:A,orders!C:C)</f>
        <v>45690</v>
      </c>
      <c r="K510" s="6" t="str">
        <f t="shared" si="15"/>
        <v>Feb-2025</v>
      </c>
      <c r="L510" s="6">
        <f>_xlfn.XLOOKUP(B510,orders!A:A,orders!B:B)</f>
        <v>399</v>
      </c>
      <c r="M510" s="6" t="str">
        <f>_xlfn.XLOOKUP("C"&amp;TEXT(L510,"000"),customers!A:A,customers!B:B,"Not Found")</f>
        <v>Divya M.</v>
      </c>
    </row>
    <row r="511" spans="1:13">
      <c r="A511">
        <v>510</v>
      </c>
      <c r="B511">
        <v>355</v>
      </c>
      <c r="C511">
        <v>49</v>
      </c>
      <c r="D511" s="4">
        <v>1</v>
      </c>
      <c r="E511">
        <f>_xlfn.XLOOKUP(C511,products!A:A,products!D:D)</f>
        <v>7213</v>
      </c>
      <c r="F511">
        <f t="shared" si="14"/>
        <v>7213</v>
      </c>
      <c r="G511">
        <f>D511*(E511-_xlfn.XLOOKUP(C511,products!A:A,products!E:E))</f>
        <v>2272.09</v>
      </c>
      <c r="H511" s="6" t="str">
        <f>_xlfn.XLOOKUP(C511,products!A:A,products!C:C)</f>
        <v>Toys</v>
      </c>
      <c r="I511" s="6" t="str">
        <f>_xlfn.XLOOKUP(C511,products!A:A,products!B:B)</f>
        <v>Remote Car</v>
      </c>
      <c r="J511" s="6">
        <f>_xlfn.XLOOKUP(B511,orders!A:A,orders!C:C)</f>
        <v>45690</v>
      </c>
      <c r="K511" s="6" t="str">
        <f t="shared" si="15"/>
        <v>Feb-2025</v>
      </c>
      <c r="L511" s="6">
        <f>_xlfn.XLOOKUP(B511,orders!A:A,orders!B:B)</f>
        <v>399</v>
      </c>
      <c r="M511" s="6" t="str">
        <f>_xlfn.XLOOKUP("C"&amp;TEXT(L511,"000"),customers!A:A,customers!B:B,"Not Found")</f>
        <v>Divya M.</v>
      </c>
    </row>
    <row r="512" spans="1:13">
      <c r="A512">
        <v>511</v>
      </c>
      <c r="B512">
        <v>356</v>
      </c>
      <c r="C512">
        <v>43</v>
      </c>
      <c r="D512" s="4">
        <v>1</v>
      </c>
      <c r="E512">
        <f>_xlfn.XLOOKUP(C512,products!A:A,products!D:D)</f>
        <v>6391</v>
      </c>
      <c r="F512">
        <f t="shared" si="14"/>
        <v>6391</v>
      </c>
      <c r="G512">
        <f>D512*(E512-_xlfn.XLOOKUP(C512,products!A:A,products!E:E))</f>
        <v>2588.35</v>
      </c>
      <c r="H512" s="6" t="str">
        <f>_xlfn.XLOOKUP(C512,products!A:A,products!C:C)</f>
        <v>Beauty</v>
      </c>
      <c r="I512" s="6" t="str">
        <f>_xlfn.XLOOKUP(C512,products!A:A,products!B:B)</f>
        <v>Perfume</v>
      </c>
      <c r="J512" s="6">
        <f>_xlfn.XLOOKUP(B512,orders!A:A,orders!C:C)</f>
        <v>45693</v>
      </c>
      <c r="K512" s="6" t="str">
        <f t="shared" si="15"/>
        <v>Feb-2025</v>
      </c>
      <c r="L512" s="6">
        <f>_xlfn.XLOOKUP(B512,orders!A:A,orders!B:B)</f>
        <v>436</v>
      </c>
      <c r="M512" s="6" t="str">
        <f>_xlfn.XLOOKUP("C"&amp;TEXT(L512,"000"),customers!A:A,customers!B:B,"Not Found")</f>
        <v>Manoj E.</v>
      </c>
    </row>
    <row r="513" spans="1:13">
      <c r="A513">
        <v>512</v>
      </c>
      <c r="B513">
        <v>356</v>
      </c>
      <c r="C513">
        <v>6</v>
      </c>
      <c r="D513" s="4">
        <v>2</v>
      </c>
      <c r="E513">
        <f>_xlfn.XLOOKUP(C513,products!A:A,products!D:D)</f>
        <v>1322</v>
      </c>
      <c r="F513">
        <f t="shared" si="14"/>
        <v>2644</v>
      </c>
      <c r="G513">
        <f>D513*(E513-_xlfn.XLOOKUP(C513,products!A:A,products!E:E))</f>
        <v>951.83999999999992</v>
      </c>
      <c r="H513" s="6" t="str">
        <f>_xlfn.XLOOKUP(C513,products!A:A,products!C:C)</f>
        <v>Electronics</v>
      </c>
      <c r="I513" s="6" t="str">
        <f>_xlfn.XLOOKUP(C513,products!A:A,products!B:B)</f>
        <v>Mouse</v>
      </c>
      <c r="J513" s="6">
        <f>_xlfn.XLOOKUP(B513,orders!A:A,orders!C:C)</f>
        <v>45693</v>
      </c>
      <c r="K513" s="6" t="str">
        <f t="shared" si="15"/>
        <v>Feb-2025</v>
      </c>
      <c r="L513" s="6">
        <f>_xlfn.XLOOKUP(B513,orders!A:A,orders!B:B)</f>
        <v>436</v>
      </c>
      <c r="M513" s="6" t="str">
        <f>_xlfn.XLOOKUP("C"&amp;TEXT(L513,"000"),customers!A:A,customers!B:B,"Not Found")</f>
        <v>Manoj E.</v>
      </c>
    </row>
    <row r="514" spans="1:13">
      <c r="A514">
        <v>513</v>
      </c>
      <c r="B514">
        <v>357</v>
      </c>
      <c r="C514">
        <v>50</v>
      </c>
      <c r="D514" s="4">
        <v>2</v>
      </c>
      <c r="E514">
        <f>_xlfn.XLOOKUP(C514,products!A:A,products!D:D)</f>
        <v>7350</v>
      </c>
      <c r="F514">
        <f t="shared" ref="F514:F577" si="16">D514*E514</f>
        <v>14700</v>
      </c>
      <c r="G514">
        <f>D514*(E514-_xlfn.XLOOKUP(C514,products!A:A,products!E:E))</f>
        <v>6615</v>
      </c>
      <c r="H514" s="6" t="str">
        <f>_xlfn.XLOOKUP(C514,products!A:A,products!C:C)</f>
        <v>Toys</v>
      </c>
      <c r="I514" s="6" t="str">
        <f>_xlfn.XLOOKUP(C514,products!A:A,products!B:B)</f>
        <v>Building Blocks</v>
      </c>
      <c r="J514" s="6">
        <f>_xlfn.XLOOKUP(B514,orders!A:A,orders!C:C)</f>
        <v>45696</v>
      </c>
      <c r="K514" s="6" t="str">
        <f t="shared" ref="K514:K577" si="17">TEXT(J514,"mmm-yyyy")</f>
        <v>Feb-2025</v>
      </c>
      <c r="L514" s="6">
        <f>_xlfn.XLOOKUP(B514,orders!A:A,orders!B:B)</f>
        <v>473</v>
      </c>
      <c r="M514" s="6" t="str">
        <f>_xlfn.XLOOKUP("C"&amp;TEXT(L514,"000"),customers!A:A,customers!B:B,"Not Found")</f>
        <v>Manoj K.</v>
      </c>
    </row>
    <row r="515" spans="1:13">
      <c r="A515">
        <v>514</v>
      </c>
      <c r="B515">
        <v>357</v>
      </c>
      <c r="C515">
        <v>13</v>
      </c>
      <c r="D515" s="4">
        <v>3</v>
      </c>
      <c r="E515">
        <f>_xlfn.XLOOKUP(C515,products!A:A,products!D:D)</f>
        <v>2281</v>
      </c>
      <c r="F515">
        <f t="shared" si="16"/>
        <v>6843</v>
      </c>
      <c r="G515">
        <f>D515*(E515-_xlfn.XLOOKUP(C515,products!A:A,products!E:E))</f>
        <v>2771.3999999999996</v>
      </c>
      <c r="H515" s="6" t="str">
        <f>_xlfn.XLOOKUP(C515,products!A:A,products!C:C)</f>
        <v>Fashion</v>
      </c>
      <c r="I515" s="6" t="str">
        <f>_xlfn.XLOOKUP(C515,products!A:A,products!B:B)</f>
        <v>Shirt</v>
      </c>
      <c r="J515" s="6">
        <f>_xlfn.XLOOKUP(B515,orders!A:A,orders!C:C)</f>
        <v>45696</v>
      </c>
      <c r="K515" s="6" t="str">
        <f t="shared" si="17"/>
        <v>Feb-2025</v>
      </c>
      <c r="L515" s="6">
        <f>_xlfn.XLOOKUP(B515,orders!A:A,orders!B:B)</f>
        <v>473</v>
      </c>
      <c r="M515" s="6" t="str">
        <f>_xlfn.XLOOKUP("C"&amp;TEXT(L515,"000"),customers!A:A,customers!B:B,"Not Found")</f>
        <v>Manoj K.</v>
      </c>
    </row>
    <row r="516" spans="1:13">
      <c r="A516">
        <v>515</v>
      </c>
      <c r="B516">
        <v>358</v>
      </c>
      <c r="C516">
        <v>7</v>
      </c>
      <c r="D516" s="4">
        <v>3</v>
      </c>
      <c r="E516">
        <f>_xlfn.XLOOKUP(C516,products!A:A,products!D:D)</f>
        <v>1459</v>
      </c>
      <c r="F516">
        <f t="shared" si="16"/>
        <v>4377</v>
      </c>
      <c r="G516">
        <f>D516*(E516-_xlfn.XLOOKUP(C516,products!A:A,products!E:E))</f>
        <v>1510.0500000000002</v>
      </c>
      <c r="H516" s="6" t="str">
        <f>_xlfn.XLOOKUP(C516,products!A:A,products!C:C)</f>
        <v>Electronics</v>
      </c>
      <c r="I516" s="6" t="str">
        <f>_xlfn.XLOOKUP(C516,products!A:A,products!B:B)</f>
        <v>Monitor</v>
      </c>
      <c r="J516" s="6">
        <f>_xlfn.XLOOKUP(B516,orders!A:A,orders!C:C)</f>
        <v>45699</v>
      </c>
      <c r="K516" s="6" t="str">
        <f t="shared" si="17"/>
        <v>Feb-2025</v>
      </c>
      <c r="L516" s="6">
        <f>_xlfn.XLOOKUP(B516,orders!A:A,orders!B:B)</f>
        <v>10</v>
      </c>
      <c r="M516" s="6" t="str">
        <f>_xlfn.XLOOKUP("C"&amp;TEXT(L516,"000"),customers!A:A,customers!B:B,"Not Found")</f>
        <v>Rohit R.</v>
      </c>
    </row>
    <row r="517" spans="1:13">
      <c r="A517">
        <v>516</v>
      </c>
      <c r="B517">
        <v>358</v>
      </c>
      <c r="C517">
        <v>20</v>
      </c>
      <c r="D517" s="4">
        <v>4</v>
      </c>
      <c r="E517">
        <f>_xlfn.XLOOKUP(C517,products!A:A,products!D:D)</f>
        <v>3240</v>
      </c>
      <c r="F517">
        <f t="shared" si="16"/>
        <v>12960</v>
      </c>
      <c r="G517">
        <f>D517*(E517-_xlfn.XLOOKUP(C517,products!A:A,products!E:E))</f>
        <v>5832</v>
      </c>
      <c r="H517" s="6" t="str">
        <f>_xlfn.XLOOKUP(C517,products!A:A,products!C:C)</f>
        <v>Fashion</v>
      </c>
      <c r="I517" s="6" t="str">
        <f>_xlfn.XLOOKUP(C517,products!A:A,products!B:B)</f>
        <v>Belt</v>
      </c>
      <c r="J517" s="6">
        <f>_xlfn.XLOOKUP(B517,orders!A:A,orders!C:C)</f>
        <v>45699</v>
      </c>
      <c r="K517" s="6" t="str">
        <f t="shared" si="17"/>
        <v>Feb-2025</v>
      </c>
      <c r="L517" s="6">
        <f>_xlfn.XLOOKUP(B517,orders!A:A,orders!B:B)</f>
        <v>10</v>
      </c>
      <c r="M517" s="6" t="str">
        <f>_xlfn.XLOOKUP("C"&amp;TEXT(L517,"000"),customers!A:A,customers!B:B,"Not Found")</f>
        <v>Rohit R.</v>
      </c>
    </row>
    <row r="518" spans="1:13">
      <c r="A518">
        <v>517</v>
      </c>
      <c r="B518">
        <v>359</v>
      </c>
      <c r="C518">
        <v>14</v>
      </c>
      <c r="D518" s="4">
        <v>4</v>
      </c>
      <c r="E518">
        <f>_xlfn.XLOOKUP(C518,products!A:A,products!D:D)</f>
        <v>2418</v>
      </c>
      <c r="F518">
        <f t="shared" si="16"/>
        <v>9672</v>
      </c>
      <c r="G518">
        <f>D518*(E518-_xlfn.XLOOKUP(C518,products!A:A,products!E:E))</f>
        <v>3772.08</v>
      </c>
      <c r="H518" s="6" t="str">
        <f>_xlfn.XLOOKUP(C518,products!A:A,products!C:C)</f>
        <v>Fashion</v>
      </c>
      <c r="I518" s="6" t="str">
        <f>_xlfn.XLOOKUP(C518,products!A:A,products!B:B)</f>
        <v>Jacket</v>
      </c>
      <c r="J518" s="6">
        <f>_xlfn.XLOOKUP(B518,orders!A:A,orders!C:C)</f>
        <v>45702</v>
      </c>
      <c r="K518" s="6" t="str">
        <f t="shared" si="17"/>
        <v>Feb-2025</v>
      </c>
      <c r="L518" s="6">
        <f>_xlfn.XLOOKUP(B518,orders!A:A,orders!B:B)</f>
        <v>47</v>
      </c>
      <c r="M518" s="6" t="str">
        <f>_xlfn.XLOOKUP("C"&amp;TEXT(L518,"000"),customers!A:A,customers!B:B,"Not Found")</f>
        <v>Kavya O.</v>
      </c>
    </row>
    <row r="519" spans="1:13">
      <c r="A519">
        <v>518</v>
      </c>
      <c r="B519">
        <v>359</v>
      </c>
      <c r="C519">
        <v>27</v>
      </c>
      <c r="D519" s="4">
        <v>1</v>
      </c>
      <c r="E519">
        <f>_xlfn.XLOOKUP(C519,products!A:A,products!D:D)</f>
        <v>4199</v>
      </c>
      <c r="F519">
        <f t="shared" si="16"/>
        <v>4199</v>
      </c>
      <c r="G519">
        <f>D519*(E519-_xlfn.XLOOKUP(C519,products!A:A,products!E:E))</f>
        <v>1448.65</v>
      </c>
      <c r="H519" s="6" t="str">
        <f>_xlfn.XLOOKUP(C519,products!A:A,products!C:C)</f>
        <v>Home &amp; Kitchen</v>
      </c>
      <c r="I519" s="6" t="str">
        <f>_xlfn.XLOOKUP(C519,products!A:A,products!B:B)</f>
        <v>Cookware Set</v>
      </c>
      <c r="J519" s="6">
        <f>_xlfn.XLOOKUP(B519,orders!A:A,orders!C:C)</f>
        <v>45702</v>
      </c>
      <c r="K519" s="6" t="str">
        <f t="shared" si="17"/>
        <v>Feb-2025</v>
      </c>
      <c r="L519" s="6">
        <f>_xlfn.XLOOKUP(B519,orders!A:A,orders!B:B)</f>
        <v>47</v>
      </c>
      <c r="M519" s="6" t="str">
        <f>_xlfn.XLOOKUP("C"&amp;TEXT(L519,"000"),customers!A:A,customers!B:B,"Not Found")</f>
        <v>Kavya O.</v>
      </c>
    </row>
    <row r="520" spans="1:13">
      <c r="A520">
        <v>519</v>
      </c>
      <c r="B520">
        <v>360</v>
      </c>
      <c r="C520">
        <v>21</v>
      </c>
      <c r="D520" s="4">
        <v>1</v>
      </c>
      <c r="E520">
        <f>_xlfn.XLOOKUP(C520,products!A:A,products!D:D)</f>
        <v>3377</v>
      </c>
      <c r="F520">
        <f t="shared" si="16"/>
        <v>3377</v>
      </c>
      <c r="G520">
        <f>D520*(E520-_xlfn.XLOOKUP(C520,products!A:A,products!E:E))</f>
        <v>1468.99</v>
      </c>
      <c r="H520" s="6" t="str">
        <f>_xlfn.XLOOKUP(C520,products!A:A,products!C:C)</f>
        <v>Home Appliances</v>
      </c>
      <c r="I520" s="6" t="str">
        <f>_xlfn.XLOOKUP(C520,products!A:A,products!B:B)</f>
        <v>Mixer</v>
      </c>
      <c r="J520" s="6">
        <f>_xlfn.XLOOKUP(B520,orders!A:A,orders!C:C)</f>
        <v>45705</v>
      </c>
      <c r="K520" s="6" t="str">
        <f t="shared" si="17"/>
        <v>Feb-2025</v>
      </c>
      <c r="L520" s="6">
        <f>_xlfn.XLOOKUP(B520,orders!A:A,orders!B:B)</f>
        <v>84</v>
      </c>
      <c r="M520" s="6" t="str">
        <f>_xlfn.XLOOKUP("C"&amp;TEXT(L520,"000"),customers!A:A,customers!B:B,"Not Found")</f>
        <v>Vikram F.</v>
      </c>
    </row>
    <row r="521" spans="1:13">
      <c r="A521">
        <v>520</v>
      </c>
      <c r="B521">
        <v>360</v>
      </c>
      <c r="C521">
        <v>34</v>
      </c>
      <c r="D521" s="4">
        <v>2</v>
      </c>
      <c r="E521">
        <f>_xlfn.XLOOKUP(C521,products!A:A,products!D:D)</f>
        <v>5158</v>
      </c>
      <c r="F521">
        <f t="shared" si="16"/>
        <v>10316</v>
      </c>
      <c r="G521">
        <f>D521*(E521-_xlfn.XLOOKUP(C521,products!A:A,products!E:E))</f>
        <v>4023.24</v>
      </c>
      <c r="H521" s="6" t="str">
        <f>_xlfn.XLOOKUP(C521,products!A:A,products!C:C)</f>
        <v>Books</v>
      </c>
      <c r="I521" s="6" t="str">
        <f>_xlfn.XLOOKUP(C521,products!A:A,products!B:B)</f>
        <v>Cookbook</v>
      </c>
      <c r="J521" s="6">
        <f>_xlfn.XLOOKUP(B521,orders!A:A,orders!C:C)</f>
        <v>45705</v>
      </c>
      <c r="K521" s="6" t="str">
        <f t="shared" si="17"/>
        <v>Feb-2025</v>
      </c>
      <c r="L521" s="6">
        <f>_xlfn.XLOOKUP(B521,orders!A:A,orders!B:B)</f>
        <v>84</v>
      </c>
      <c r="M521" s="6" t="str">
        <f>_xlfn.XLOOKUP("C"&amp;TEXT(L521,"000"),customers!A:A,customers!B:B,"Not Found")</f>
        <v>Vikram F.</v>
      </c>
    </row>
    <row r="522" spans="1:13">
      <c r="A522">
        <v>521</v>
      </c>
      <c r="B522">
        <v>361</v>
      </c>
      <c r="C522">
        <v>28</v>
      </c>
      <c r="D522" s="4">
        <v>2</v>
      </c>
      <c r="E522">
        <f>_xlfn.XLOOKUP(C522,products!A:A,products!D:D)</f>
        <v>4336</v>
      </c>
      <c r="F522">
        <f t="shared" si="16"/>
        <v>8672</v>
      </c>
      <c r="G522">
        <f>D522*(E522-_xlfn.XLOOKUP(C522,products!A:A,products!E:E))</f>
        <v>2861.76</v>
      </c>
      <c r="H522" s="6" t="str">
        <f>_xlfn.XLOOKUP(C522,products!A:A,products!C:C)</f>
        <v>Home &amp; Kitchen</v>
      </c>
      <c r="I522" s="6" t="str">
        <f>_xlfn.XLOOKUP(C522,products!A:A,products!B:B)</f>
        <v>Bottle</v>
      </c>
      <c r="J522" s="6">
        <f>_xlfn.XLOOKUP(B522,orders!A:A,orders!C:C)</f>
        <v>45708</v>
      </c>
      <c r="K522" s="6" t="str">
        <f t="shared" si="17"/>
        <v>Feb-2025</v>
      </c>
      <c r="L522" s="6">
        <f>_xlfn.XLOOKUP(B522,orders!A:A,orders!B:B)</f>
        <v>121</v>
      </c>
      <c r="M522" s="6" t="str">
        <f>_xlfn.XLOOKUP("C"&amp;TEXT(L522,"000"),customers!A:A,customers!B:B,"Not Found")</f>
        <v>Amit P.</v>
      </c>
    </row>
    <row r="523" spans="1:13">
      <c r="A523">
        <v>522</v>
      </c>
      <c r="B523">
        <v>361</v>
      </c>
      <c r="C523">
        <v>41</v>
      </c>
      <c r="D523" s="4">
        <v>3</v>
      </c>
      <c r="E523">
        <f>_xlfn.XLOOKUP(C523,products!A:A,products!D:D)</f>
        <v>6117</v>
      </c>
      <c r="F523">
        <f t="shared" si="16"/>
        <v>18351</v>
      </c>
      <c r="G523">
        <f>D523*(E523-_xlfn.XLOOKUP(C523,products!A:A,products!E:E))</f>
        <v>7982.67</v>
      </c>
      <c r="H523" s="6" t="str">
        <f>_xlfn.XLOOKUP(C523,products!A:A,products!C:C)</f>
        <v>Beauty</v>
      </c>
      <c r="I523" s="6" t="str">
        <f>_xlfn.XLOOKUP(C523,products!A:A,products!B:B)</f>
        <v>Face Wash</v>
      </c>
      <c r="J523" s="6">
        <f>_xlfn.XLOOKUP(B523,orders!A:A,orders!C:C)</f>
        <v>45708</v>
      </c>
      <c r="K523" s="6" t="str">
        <f t="shared" si="17"/>
        <v>Feb-2025</v>
      </c>
      <c r="L523" s="6">
        <f>_xlfn.XLOOKUP(B523,orders!A:A,orders!B:B)</f>
        <v>121</v>
      </c>
      <c r="M523" s="6" t="str">
        <f>_xlfn.XLOOKUP("C"&amp;TEXT(L523,"000"),customers!A:A,customers!B:B,"Not Found")</f>
        <v>Amit P.</v>
      </c>
    </row>
    <row r="524" spans="1:13">
      <c r="A524">
        <v>523</v>
      </c>
      <c r="B524">
        <v>362</v>
      </c>
      <c r="C524">
        <v>35</v>
      </c>
      <c r="D524" s="4">
        <v>3</v>
      </c>
      <c r="E524">
        <f>_xlfn.XLOOKUP(C524,products!A:A,products!D:D)</f>
        <v>5295</v>
      </c>
      <c r="F524">
        <f t="shared" si="16"/>
        <v>15885</v>
      </c>
      <c r="G524">
        <f>D524*(E524-_xlfn.XLOOKUP(C524,products!A:A,products!E:E))</f>
        <v>5956.86</v>
      </c>
      <c r="H524" s="6" t="str">
        <f>_xlfn.XLOOKUP(C524,products!A:A,products!C:C)</f>
        <v>Books</v>
      </c>
      <c r="I524" s="6" t="str">
        <f>_xlfn.XLOOKUP(C524,products!A:A,products!B:B)</f>
        <v>Novel</v>
      </c>
      <c r="J524" s="6">
        <f>_xlfn.XLOOKUP(B524,orders!A:A,orders!C:C)</f>
        <v>45711</v>
      </c>
      <c r="K524" s="6" t="str">
        <f t="shared" si="17"/>
        <v>Feb-2025</v>
      </c>
      <c r="L524" s="6">
        <f>_xlfn.XLOOKUP(B524,orders!A:A,orders!B:B)</f>
        <v>158</v>
      </c>
      <c r="M524" s="6" t="str">
        <f>_xlfn.XLOOKUP("C"&amp;TEXT(L524,"000"),customers!A:A,customers!B:B,"Not Found")</f>
        <v>Suresh D.</v>
      </c>
    </row>
    <row r="525" spans="1:13">
      <c r="A525">
        <v>524</v>
      </c>
      <c r="B525">
        <v>362</v>
      </c>
      <c r="C525">
        <v>48</v>
      </c>
      <c r="D525" s="4">
        <v>4</v>
      </c>
      <c r="E525">
        <f>_xlfn.XLOOKUP(C525,products!A:A,products!D:D)</f>
        <v>7076</v>
      </c>
      <c r="F525">
        <f t="shared" si="16"/>
        <v>28304</v>
      </c>
      <c r="G525">
        <f>D525*(E525-_xlfn.XLOOKUP(C525,products!A:A,products!E:E))</f>
        <v>9340.32</v>
      </c>
      <c r="H525" s="6" t="str">
        <f>_xlfn.XLOOKUP(C525,products!A:A,products!C:C)</f>
        <v>Toys</v>
      </c>
      <c r="I525" s="6" t="str">
        <f>_xlfn.XLOOKUP(C525,products!A:A,products!B:B)</f>
        <v>Board Game</v>
      </c>
      <c r="J525" s="6">
        <f>_xlfn.XLOOKUP(B525,orders!A:A,orders!C:C)</f>
        <v>45711</v>
      </c>
      <c r="K525" s="6" t="str">
        <f t="shared" si="17"/>
        <v>Feb-2025</v>
      </c>
      <c r="L525" s="6">
        <f>_xlfn.XLOOKUP(B525,orders!A:A,orders!B:B)</f>
        <v>158</v>
      </c>
      <c r="M525" s="6" t="str">
        <f>_xlfn.XLOOKUP("C"&amp;TEXT(L525,"000"),customers!A:A,customers!B:B,"Not Found")</f>
        <v>Suresh D.</v>
      </c>
    </row>
    <row r="526" spans="1:13">
      <c r="A526">
        <v>525</v>
      </c>
      <c r="B526">
        <v>363</v>
      </c>
      <c r="C526">
        <v>42</v>
      </c>
      <c r="D526" s="4">
        <v>4</v>
      </c>
      <c r="E526">
        <f>_xlfn.XLOOKUP(C526,products!A:A,products!D:D)</f>
        <v>6254</v>
      </c>
      <c r="F526">
        <f t="shared" si="16"/>
        <v>25016</v>
      </c>
      <c r="G526">
        <f>D526*(E526-_xlfn.XLOOKUP(C526,products!A:A,products!E:E))</f>
        <v>10506.72</v>
      </c>
      <c r="H526" s="6" t="str">
        <f>_xlfn.XLOOKUP(C526,products!A:A,products!C:C)</f>
        <v>Beauty</v>
      </c>
      <c r="I526" s="6" t="str">
        <f>_xlfn.XLOOKUP(C526,products!A:A,products!B:B)</f>
        <v>Shampoo</v>
      </c>
      <c r="J526" s="6">
        <f>_xlfn.XLOOKUP(B526,orders!A:A,orders!C:C)</f>
        <v>45714</v>
      </c>
      <c r="K526" s="6" t="str">
        <f t="shared" si="17"/>
        <v>Feb-2025</v>
      </c>
      <c r="L526" s="6">
        <f>_xlfn.XLOOKUP(B526,orders!A:A,orders!B:B)</f>
        <v>195</v>
      </c>
      <c r="M526" s="6" t="str">
        <f>_xlfn.XLOOKUP("C"&amp;TEXT(L526,"000"),customers!A:A,customers!B:B,"Not Found")</f>
        <v>Swathi U.</v>
      </c>
    </row>
    <row r="527" spans="1:13">
      <c r="A527">
        <v>526</v>
      </c>
      <c r="B527">
        <v>363</v>
      </c>
      <c r="C527">
        <v>5</v>
      </c>
      <c r="D527" s="4">
        <v>1</v>
      </c>
      <c r="E527">
        <f>_xlfn.XLOOKUP(C527,products!A:A,products!D:D)</f>
        <v>1185</v>
      </c>
      <c r="F527">
        <f t="shared" si="16"/>
        <v>1185</v>
      </c>
      <c r="G527">
        <f>D527*(E527-_xlfn.XLOOKUP(C527,products!A:A,products!E:E))</f>
        <v>444.38</v>
      </c>
      <c r="H527" s="6" t="str">
        <f>_xlfn.XLOOKUP(C527,products!A:A,products!C:C)</f>
        <v>Electronics</v>
      </c>
      <c r="I527" s="6" t="str">
        <f>_xlfn.XLOOKUP(C527,products!A:A,products!B:B)</f>
        <v>Keyboard</v>
      </c>
      <c r="J527" s="6">
        <f>_xlfn.XLOOKUP(B527,orders!A:A,orders!C:C)</f>
        <v>45714</v>
      </c>
      <c r="K527" s="6" t="str">
        <f t="shared" si="17"/>
        <v>Feb-2025</v>
      </c>
      <c r="L527" s="6">
        <f>_xlfn.XLOOKUP(B527,orders!A:A,orders!B:B)</f>
        <v>195</v>
      </c>
      <c r="M527" s="6" t="str">
        <f>_xlfn.XLOOKUP("C"&amp;TEXT(L527,"000"),customers!A:A,customers!B:B,"Not Found")</f>
        <v>Swathi U.</v>
      </c>
    </row>
    <row r="528" spans="1:13">
      <c r="A528">
        <v>527</v>
      </c>
      <c r="B528">
        <v>364</v>
      </c>
      <c r="C528">
        <v>49</v>
      </c>
      <c r="D528" s="4">
        <v>1</v>
      </c>
      <c r="E528">
        <f>_xlfn.XLOOKUP(C528,products!A:A,products!D:D)</f>
        <v>7213</v>
      </c>
      <c r="F528">
        <f t="shared" si="16"/>
        <v>7213</v>
      </c>
      <c r="G528">
        <f>D528*(E528-_xlfn.XLOOKUP(C528,products!A:A,products!E:E))</f>
        <v>2272.09</v>
      </c>
      <c r="H528" s="6" t="str">
        <f>_xlfn.XLOOKUP(C528,products!A:A,products!C:C)</f>
        <v>Toys</v>
      </c>
      <c r="I528" s="6" t="str">
        <f>_xlfn.XLOOKUP(C528,products!A:A,products!B:B)</f>
        <v>Remote Car</v>
      </c>
      <c r="J528" s="6">
        <f>_xlfn.XLOOKUP(B528,orders!A:A,orders!C:C)</f>
        <v>45717</v>
      </c>
      <c r="K528" s="6" t="str">
        <f t="shared" si="17"/>
        <v>Mar-2025</v>
      </c>
      <c r="L528" s="6">
        <f>_xlfn.XLOOKUP(B528,orders!A:A,orders!B:B)</f>
        <v>232</v>
      </c>
      <c r="M528" s="6" t="str">
        <f>_xlfn.XLOOKUP("C"&amp;TEXT(L528,"000"),customers!A:A,customers!B:B,"Not Found")</f>
        <v>Ravi T.</v>
      </c>
    </row>
    <row r="529" spans="1:13">
      <c r="A529">
        <v>528</v>
      </c>
      <c r="B529">
        <v>364</v>
      </c>
      <c r="C529">
        <v>12</v>
      </c>
      <c r="D529" s="4">
        <v>2</v>
      </c>
      <c r="E529">
        <f>_xlfn.XLOOKUP(C529,products!A:A,products!D:D)</f>
        <v>2144</v>
      </c>
      <c r="F529">
        <f t="shared" si="16"/>
        <v>4288</v>
      </c>
      <c r="G529">
        <f>D529*(E529-_xlfn.XLOOKUP(C529,products!A:A,products!E:E))</f>
        <v>1800.96</v>
      </c>
      <c r="H529" s="6" t="str">
        <f>_xlfn.XLOOKUP(C529,products!A:A,products!C:C)</f>
        <v>Fashion</v>
      </c>
      <c r="I529" s="6" t="str">
        <f>_xlfn.XLOOKUP(C529,products!A:A,products!B:B)</f>
        <v>Jeans</v>
      </c>
      <c r="J529" s="6">
        <f>_xlfn.XLOOKUP(B529,orders!A:A,orders!C:C)</f>
        <v>45717</v>
      </c>
      <c r="K529" s="6" t="str">
        <f t="shared" si="17"/>
        <v>Mar-2025</v>
      </c>
      <c r="L529" s="6">
        <f>_xlfn.XLOOKUP(B529,orders!A:A,orders!B:B)</f>
        <v>232</v>
      </c>
      <c r="M529" s="6" t="str">
        <f>_xlfn.XLOOKUP("C"&amp;TEXT(L529,"000"),customers!A:A,customers!B:B,"Not Found")</f>
        <v>Ravi T.</v>
      </c>
    </row>
    <row r="530" spans="1:13">
      <c r="A530">
        <v>529</v>
      </c>
      <c r="B530">
        <v>365</v>
      </c>
      <c r="C530">
        <v>6</v>
      </c>
      <c r="D530" s="4">
        <v>2</v>
      </c>
      <c r="E530">
        <f>_xlfn.XLOOKUP(C530,products!A:A,products!D:D)</f>
        <v>1322</v>
      </c>
      <c r="F530">
        <f t="shared" si="16"/>
        <v>2644</v>
      </c>
      <c r="G530">
        <f>D530*(E530-_xlfn.XLOOKUP(C530,products!A:A,products!E:E))</f>
        <v>951.83999999999992</v>
      </c>
      <c r="H530" s="6" t="str">
        <f>_xlfn.XLOOKUP(C530,products!A:A,products!C:C)</f>
        <v>Electronics</v>
      </c>
      <c r="I530" s="6" t="str">
        <f>_xlfn.XLOOKUP(C530,products!A:A,products!B:B)</f>
        <v>Mouse</v>
      </c>
      <c r="J530" s="6">
        <f>_xlfn.XLOOKUP(B530,orders!A:A,orders!C:C)</f>
        <v>45720</v>
      </c>
      <c r="K530" s="6" t="str">
        <f t="shared" si="17"/>
        <v>Mar-2025</v>
      </c>
      <c r="L530" s="6">
        <f>_xlfn.XLOOKUP(B530,orders!A:A,orders!B:B)</f>
        <v>269</v>
      </c>
      <c r="M530" s="6" t="str">
        <f>_xlfn.XLOOKUP("C"&amp;TEXT(L530,"000"),customers!A:A,customers!B:B,"Not Found")</f>
        <v>Nikhil R.</v>
      </c>
    </row>
    <row r="531" spans="1:13">
      <c r="A531">
        <v>530</v>
      </c>
      <c r="B531">
        <v>365</v>
      </c>
      <c r="C531">
        <v>19</v>
      </c>
      <c r="D531" s="4">
        <v>3</v>
      </c>
      <c r="E531">
        <f>_xlfn.XLOOKUP(C531,products!A:A,products!D:D)</f>
        <v>3103</v>
      </c>
      <c r="F531">
        <f t="shared" si="16"/>
        <v>9309</v>
      </c>
      <c r="G531">
        <f>D531*(E531-_xlfn.XLOOKUP(C531,products!A:A,products!E:E))</f>
        <v>2932.32</v>
      </c>
      <c r="H531" s="6" t="str">
        <f>_xlfn.XLOOKUP(C531,products!A:A,products!C:C)</f>
        <v>Fashion</v>
      </c>
      <c r="I531" s="6" t="str">
        <f>_xlfn.XLOOKUP(C531,products!A:A,products!B:B)</f>
        <v>Wallet</v>
      </c>
      <c r="J531" s="6">
        <f>_xlfn.XLOOKUP(B531,orders!A:A,orders!C:C)</f>
        <v>45720</v>
      </c>
      <c r="K531" s="6" t="str">
        <f t="shared" si="17"/>
        <v>Mar-2025</v>
      </c>
      <c r="L531" s="6">
        <f>_xlfn.XLOOKUP(B531,orders!A:A,orders!B:B)</f>
        <v>269</v>
      </c>
      <c r="M531" s="6" t="str">
        <f>_xlfn.XLOOKUP("C"&amp;TEXT(L531,"000"),customers!A:A,customers!B:B,"Not Found")</f>
        <v>Nikhil R.</v>
      </c>
    </row>
    <row r="532" spans="1:13">
      <c r="A532">
        <v>531</v>
      </c>
      <c r="B532">
        <v>366</v>
      </c>
      <c r="C532">
        <v>13</v>
      </c>
      <c r="D532" s="4">
        <v>3</v>
      </c>
      <c r="E532">
        <f>_xlfn.XLOOKUP(C532,products!A:A,products!D:D)</f>
        <v>2281</v>
      </c>
      <c r="F532">
        <f t="shared" si="16"/>
        <v>6843</v>
      </c>
      <c r="G532">
        <f>D532*(E532-_xlfn.XLOOKUP(C532,products!A:A,products!E:E))</f>
        <v>2771.3999999999996</v>
      </c>
      <c r="H532" s="6" t="str">
        <f>_xlfn.XLOOKUP(C532,products!A:A,products!C:C)</f>
        <v>Fashion</v>
      </c>
      <c r="I532" s="6" t="str">
        <f>_xlfn.XLOOKUP(C532,products!A:A,products!B:B)</f>
        <v>Shirt</v>
      </c>
      <c r="J532" s="6">
        <f>_xlfn.XLOOKUP(B532,orders!A:A,orders!C:C)</f>
        <v>45723</v>
      </c>
      <c r="K532" s="6" t="str">
        <f t="shared" si="17"/>
        <v>Mar-2025</v>
      </c>
      <c r="L532" s="6">
        <f>_xlfn.XLOOKUP(B532,orders!A:A,orders!B:B)</f>
        <v>306</v>
      </c>
      <c r="M532" s="6" t="str">
        <f>_xlfn.XLOOKUP("C"&amp;TEXT(L532,"000"),customers!A:A,customers!B:B,"Not Found")</f>
        <v>Nikhil M.</v>
      </c>
    </row>
    <row r="533" spans="1:13">
      <c r="A533">
        <v>532</v>
      </c>
      <c r="B533">
        <v>366</v>
      </c>
      <c r="C533">
        <v>26</v>
      </c>
      <c r="D533" s="4">
        <v>4</v>
      </c>
      <c r="E533">
        <f>_xlfn.XLOOKUP(C533,products!A:A,products!D:D)</f>
        <v>4062</v>
      </c>
      <c r="F533">
        <f t="shared" si="16"/>
        <v>16248</v>
      </c>
      <c r="G533">
        <f>D533*(E533-_xlfn.XLOOKUP(C533,products!A:A,products!E:E))</f>
        <v>5849.2800000000007</v>
      </c>
      <c r="H533" s="6" t="str">
        <f>_xlfn.XLOOKUP(C533,products!A:A,products!C:C)</f>
        <v>Home &amp; Kitchen</v>
      </c>
      <c r="I533" s="6" t="str">
        <f>_xlfn.XLOOKUP(C533,products!A:A,products!B:B)</f>
        <v>Bedsheet</v>
      </c>
      <c r="J533" s="6">
        <f>_xlfn.XLOOKUP(B533,orders!A:A,orders!C:C)</f>
        <v>45723</v>
      </c>
      <c r="K533" s="6" t="str">
        <f t="shared" si="17"/>
        <v>Mar-2025</v>
      </c>
      <c r="L533" s="6">
        <f>_xlfn.XLOOKUP(B533,orders!A:A,orders!B:B)</f>
        <v>306</v>
      </c>
      <c r="M533" s="6" t="str">
        <f>_xlfn.XLOOKUP("C"&amp;TEXT(L533,"000"),customers!A:A,customers!B:B,"Not Found")</f>
        <v>Nikhil M.</v>
      </c>
    </row>
    <row r="534" spans="1:13">
      <c r="A534">
        <v>533</v>
      </c>
      <c r="B534">
        <v>367</v>
      </c>
      <c r="C534">
        <v>20</v>
      </c>
      <c r="D534" s="4">
        <v>4</v>
      </c>
      <c r="E534">
        <f>_xlfn.XLOOKUP(C534,products!A:A,products!D:D)</f>
        <v>3240</v>
      </c>
      <c r="F534">
        <f t="shared" si="16"/>
        <v>12960</v>
      </c>
      <c r="G534">
        <f>D534*(E534-_xlfn.XLOOKUP(C534,products!A:A,products!E:E))</f>
        <v>5832</v>
      </c>
      <c r="H534" s="6" t="str">
        <f>_xlfn.XLOOKUP(C534,products!A:A,products!C:C)</f>
        <v>Fashion</v>
      </c>
      <c r="I534" s="6" t="str">
        <f>_xlfn.XLOOKUP(C534,products!A:A,products!B:B)</f>
        <v>Belt</v>
      </c>
      <c r="J534" s="6">
        <f>_xlfn.XLOOKUP(B534,orders!A:A,orders!C:C)</f>
        <v>45726</v>
      </c>
      <c r="K534" s="6" t="str">
        <f t="shared" si="17"/>
        <v>Mar-2025</v>
      </c>
      <c r="L534" s="6">
        <f>_xlfn.XLOOKUP(B534,orders!A:A,orders!B:B)</f>
        <v>343</v>
      </c>
      <c r="M534" s="6" t="str">
        <f>_xlfn.XLOOKUP("C"&amp;TEXT(L534,"000"),customers!A:A,customers!B:B,"Not Found")</f>
        <v>Nikhil O.</v>
      </c>
    </row>
    <row r="535" spans="1:13">
      <c r="A535">
        <v>534</v>
      </c>
      <c r="B535">
        <v>367</v>
      </c>
      <c r="C535">
        <v>33</v>
      </c>
      <c r="D535" s="4">
        <v>1</v>
      </c>
      <c r="E535">
        <f>_xlfn.XLOOKUP(C535,products!A:A,products!D:D)</f>
        <v>5021</v>
      </c>
      <c r="F535">
        <f t="shared" si="16"/>
        <v>5021</v>
      </c>
      <c r="G535">
        <f>D535*(E535-_xlfn.XLOOKUP(C535,products!A:A,products!E:E))</f>
        <v>2033.5</v>
      </c>
      <c r="H535" s="6" t="str">
        <f>_xlfn.XLOOKUP(C535,products!A:A,products!C:C)</f>
        <v>Books</v>
      </c>
      <c r="I535" s="6" t="str">
        <f>_xlfn.XLOOKUP(C535,products!A:A,products!B:B)</f>
        <v>Pen Set</v>
      </c>
      <c r="J535" s="6">
        <f>_xlfn.XLOOKUP(B535,orders!A:A,orders!C:C)</f>
        <v>45726</v>
      </c>
      <c r="K535" s="6" t="str">
        <f t="shared" si="17"/>
        <v>Mar-2025</v>
      </c>
      <c r="L535" s="6">
        <f>_xlfn.XLOOKUP(B535,orders!A:A,orders!B:B)</f>
        <v>343</v>
      </c>
      <c r="M535" s="6" t="str">
        <f>_xlfn.XLOOKUP("C"&amp;TEXT(L535,"000"),customers!A:A,customers!B:B,"Not Found")</f>
        <v>Nikhil O.</v>
      </c>
    </row>
    <row r="536" spans="1:13">
      <c r="A536">
        <v>535</v>
      </c>
      <c r="B536">
        <v>368</v>
      </c>
      <c r="C536">
        <v>27</v>
      </c>
      <c r="D536" s="4">
        <v>1</v>
      </c>
      <c r="E536">
        <f>_xlfn.XLOOKUP(C536,products!A:A,products!D:D)</f>
        <v>4199</v>
      </c>
      <c r="F536">
        <f t="shared" si="16"/>
        <v>4199</v>
      </c>
      <c r="G536">
        <f>D536*(E536-_xlfn.XLOOKUP(C536,products!A:A,products!E:E))</f>
        <v>1448.65</v>
      </c>
      <c r="H536" s="6" t="str">
        <f>_xlfn.XLOOKUP(C536,products!A:A,products!C:C)</f>
        <v>Home &amp; Kitchen</v>
      </c>
      <c r="I536" s="6" t="str">
        <f>_xlfn.XLOOKUP(C536,products!A:A,products!B:B)</f>
        <v>Cookware Set</v>
      </c>
      <c r="J536" s="6">
        <f>_xlfn.XLOOKUP(B536,orders!A:A,orders!C:C)</f>
        <v>45729</v>
      </c>
      <c r="K536" s="6" t="str">
        <f t="shared" si="17"/>
        <v>Mar-2025</v>
      </c>
      <c r="L536" s="6">
        <f>_xlfn.XLOOKUP(B536,orders!A:A,orders!B:B)</f>
        <v>380</v>
      </c>
      <c r="M536" s="6" t="str">
        <f>_xlfn.XLOOKUP("C"&amp;TEXT(L536,"000"),customers!A:A,customers!B:B,"Not Found")</f>
        <v>Rohit L.</v>
      </c>
    </row>
    <row r="537" spans="1:13">
      <c r="A537">
        <v>536</v>
      </c>
      <c r="B537">
        <v>368</v>
      </c>
      <c r="C537">
        <v>40</v>
      </c>
      <c r="D537" s="4">
        <v>2</v>
      </c>
      <c r="E537">
        <f>_xlfn.XLOOKUP(C537,products!A:A,products!D:D)</f>
        <v>5980</v>
      </c>
      <c r="F537">
        <f t="shared" si="16"/>
        <v>11960</v>
      </c>
      <c r="G537">
        <f>D537*(E537-_xlfn.XLOOKUP(C537,products!A:A,products!E:E))</f>
        <v>5382</v>
      </c>
      <c r="H537" s="6" t="str">
        <f>_xlfn.XLOOKUP(C537,products!A:A,products!C:C)</f>
        <v>Sports</v>
      </c>
      <c r="I537" s="6" t="str">
        <f>_xlfn.XLOOKUP(C537,products!A:A,products!B:B)</f>
        <v>Dumbbells</v>
      </c>
      <c r="J537" s="6">
        <f>_xlfn.XLOOKUP(B537,orders!A:A,orders!C:C)</f>
        <v>45729</v>
      </c>
      <c r="K537" s="6" t="str">
        <f t="shared" si="17"/>
        <v>Mar-2025</v>
      </c>
      <c r="L537" s="6">
        <f>_xlfn.XLOOKUP(B537,orders!A:A,orders!B:B)</f>
        <v>380</v>
      </c>
      <c r="M537" s="6" t="str">
        <f>_xlfn.XLOOKUP("C"&amp;TEXT(L537,"000"),customers!A:A,customers!B:B,"Not Found")</f>
        <v>Rohit L.</v>
      </c>
    </row>
    <row r="538" spans="1:13">
      <c r="A538">
        <v>537</v>
      </c>
      <c r="B538">
        <v>369</v>
      </c>
      <c r="C538">
        <v>34</v>
      </c>
      <c r="D538" s="4">
        <v>2</v>
      </c>
      <c r="E538">
        <f>_xlfn.XLOOKUP(C538,products!A:A,products!D:D)</f>
        <v>5158</v>
      </c>
      <c r="F538">
        <f t="shared" si="16"/>
        <v>10316</v>
      </c>
      <c r="G538">
        <f>D538*(E538-_xlfn.XLOOKUP(C538,products!A:A,products!E:E))</f>
        <v>4023.24</v>
      </c>
      <c r="H538" s="6" t="str">
        <f>_xlfn.XLOOKUP(C538,products!A:A,products!C:C)</f>
        <v>Books</v>
      </c>
      <c r="I538" s="6" t="str">
        <f>_xlfn.XLOOKUP(C538,products!A:A,products!B:B)</f>
        <v>Cookbook</v>
      </c>
      <c r="J538" s="6">
        <f>_xlfn.XLOOKUP(B538,orders!A:A,orders!C:C)</f>
        <v>45732</v>
      </c>
      <c r="K538" s="6" t="str">
        <f t="shared" si="17"/>
        <v>Mar-2025</v>
      </c>
      <c r="L538" s="6">
        <f>_xlfn.XLOOKUP(B538,orders!A:A,orders!B:B)</f>
        <v>417</v>
      </c>
      <c r="M538" s="6" t="str">
        <f>_xlfn.XLOOKUP("C"&amp;TEXT(L538,"000"),customers!A:A,customers!B:B,"Not Found")</f>
        <v>Amit E.</v>
      </c>
    </row>
    <row r="539" spans="1:13">
      <c r="A539">
        <v>538</v>
      </c>
      <c r="B539">
        <v>369</v>
      </c>
      <c r="C539">
        <v>47</v>
      </c>
      <c r="D539" s="4">
        <v>3</v>
      </c>
      <c r="E539">
        <f>_xlfn.XLOOKUP(C539,products!A:A,products!D:D)</f>
        <v>6939</v>
      </c>
      <c r="F539">
        <f t="shared" si="16"/>
        <v>20817</v>
      </c>
      <c r="G539">
        <f>D539*(E539-_xlfn.XLOOKUP(C539,products!A:A,products!E:E))</f>
        <v>7181.8499999999995</v>
      </c>
      <c r="H539" s="6" t="str">
        <f>_xlfn.XLOOKUP(C539,products!A:A,products!C:C)</f>
        <v>Toys</v>
      </c>
      <c r="I539" s="6" t="str">
        <f>_xlfn.XLOOKUP(C539,products!A:A,products!B:B)</f>
        <v>Puzzle</v>
      </c>
      <c r="J539" s="6">
        <f>_xlfn.XLOOKUP(B539,orders!A:A,orders!C:C)</f>
        <v>45732</v>
      </c>
      <c r="K539" s="6" t="str">
        <f t="shared" si="17"/>
        <v>Mar-2025</v>
      </c>
      <c r="L539" s="6">
        <f>_xlfn.XLOOKUP(B539,orders!A:A,orders!B:B)</f>
        <v>417</v>
      </c>
      <c r="M539" s="6" t="str">
        <f>_xlfn.XLOOKUP("C"&amp;TEXT(L539,"000"),customers!A:A,customers!B:B,"Not Found")</f>
        <v>Amit E.</v>
      </c>
    </row>
    <row r="540" spans="1:13">
      <c r="A540">
        <v>539</v>
      </c>
      <c r="B540">
        <v>370</v>
      </c>
      <c r="C540">
        <v>41</v>
      </c>
      <c r="D540" s="4">
        <v>3</v>
      </c>
      <c r="E540">
        <f>_xlfn.XLOOKUP(C540,products!A:A,products!D:D)</f>
        <v>6117</v>
      </c>
      <c r="F540">
        <f t="shared" si="16"/>
        <v>18351</v>
      </c>
      <c r="G540">
        <f>D540*(E540-_xlfn.XLOOKUP(C540,products!A:A,products!E:E))</f>
        <v>7982.67</v>
      </c>
      <c r="H540" s="6" t="str">
        <f>_xlfn.XLOOKUP(C540,products!A:A,products!C:C)</f>
        <v>Beauty</v>
      </c>
      <c r="I540" s="6" t="str">
        <f>_xlfn.XLOOKUP(C540,products!A:A,products!B:B)</f>
        <v>Face Wash</v>
      </c>
      <c r="J540" s="6">
        <f>_xlfn.XLOOKUP(B540,orders!A:A,orders!C:C)</f>
        <v>45735</v>
      </c>
      <c r="K540" s="6" t="str">
        <f t="shared" si="17"/>
        <v>Mar-2025</v>
      </c>
      <c r="L540" s="6">
        <f>_xlfn.XLOOKUP(B540,orders!A:A,orders!B:B)</f>
        <v>454</v>
      </c>
      <c r="M540" s="6" t="str">
        <f>_xlfn.XLOOKUP("C"&amp;TEXT(L540,"000"),customers!A:A,customers!B:B,"Not Found")</f>
        <v>Neha Y.</v>
      </c>
    </row>
    <row r="541" spans="1:13">
      <c r="A541">
        <v>540</v>
      </c>
      <c r="B541">
        <v>370</v>
      </c>
      <c r="C541">
        <v>4</v>
      </c>
      <c r="D541" s="4">
        <v>4</v>
      </c>
      <c r="E541">
        <f>_xlfn.XLOOKUP(C541,products!A:A,products!D:D)</f>
        <v>1048</v>
      </c>
      <c r="F541">
        <f t="shared" si="16"/>
        <v>4192</v>
      </c>
      <c r="G541">
        <f>D541*(E541-_xlfn.XLOOKUP(C541,products!A:A,products!E:E))</f>
        <v>1634.88</v>
      </c>
      <c r="H541" s="6" t="str">
        <f>_xlfn.XLOOKUP(C541,products!A:A,products!C:C)</f>
        <v>Electronics</v>
      </c>
      <c r="I541" s="6" t="str">
        <f>_xlfn.XLOOKUP(C541,products!A:A,products!B:B)</f>
        <v>Smart Watch</v>
      </c>
      <c r="J541" s="6">
        <f>_xlfn.XLOOKUP(B541,orders!A:A,orders!C:C)</f>
        <v>45735</v>
      </c>
      <c r="K541" s="6" t="str">
        <f t="shared" si="17"/>
        <v>Mar-2025</v>
      </c>
      <c r="L541" s="6">
        <f>_xlfn.XLOOKUP(B541,orders!A:A,orders!B:B)</f>
        <v>454</v>
      </c>
      <c r="M541" s="6" t="str">
        <f>_xlfn.XLOOKUP("C"&amp;TEXT(L541,"000"),customers!A:A,customers!B:B,"Not Found")</f>
        <v>Neha Y.</v>
      </c>
    </row>
    <row r="542" spans="1:13">
      <c r="A542">
        <v>541</v>
      </c>
      <c r="B542">
        <v>371</v>
      </c>
      <c r="C542">
        <v>48</v>
      </c>
      <c r="D542" s="4">
        <v>4</v>
      </c>
      <c r="E542">
        <f>_xlfn.XLOOKUP(C542,products!A:A,products!D:D)</f>
        <v>7076</v>
      </c>
      <c r="F542">
        <f t="shared" si="16"/>
        <v>28304</v>
      </c>
      <c r="G542">
        <f>D542*(E542-_xlfn.XLOOKUP(C542,products!A:A,products!E:E))</f>
        <v>9340.32</v>
      </c>
      <c r="H542" s="6" t="str">
        <f>_xlfn.XLOOKUP(C542,products!A:A,products!C:C)</f>
        <v>Toys</v>
      </c>
      <c r="I542" s="6" t="str">
        <f>_xlfn.XLOOKUP(C542,products!A:A,products!B:B)</f>
        <v>Board Game</v>
      </c>
      <c r="J542" s="6">
        <f>_xlfn.XLOOKUP(B542,orders!A:A,orders!C:C)</f>
        <v>45738</v>
      </c>
      <c r="K542" s="6" t="str">
        <f t="shared" si="17"/>
        <v>Mar-2025</v>
      </c>
      <c r="L542" s="6">
        <f>_xlfn.XLOOKUP(B542,orders!A:A,orders!B:B)</f>
        <v>491</v>
      </c>
      <c r="M542" s="6" t="str">
        <f>_xlfn.XLOOKUP("C"&amp;TEXT(L542,"000"),customers!A:A,customers!B:B,"Not Found")</f>
        <v>Nikhil C.</v>
      </c>
    </row>
    <row r="543" spans="1:13">
      <c r="A543">
        <v>542</v>
      </c>
      <c r="B543">
        <v>371</v>
      </c>
      <c r="C543">
        <v>11</v>
      </c>
      <c r="D543" s="4">
        <v>1</v>
      </c>
      <c r="E543">
        <f>_xlfn.XLOOKUP(C543,products!A:A,products!D:D)</f>
        <v>2007</v>
      </c>
      <c r="F543">
        <f t="shared" si="16"/>
        <v>2007</v>
      </c>
      <c r="G543">
        <f>D543*(E543-_xlfn.XLOOKUP(C543,products!A:A,products!E:E))</f>
        <v>873.04</v>
      </c>
      <c r="H543" s="6" t="str">
        <f>_xlfn.XLOOKUP(C543,products!A:A,products!C:C)</f>
        <v>Fashion</v>
      </c>
      <c r="I543" s="6" t="str">
        <f>_xlfn.XLOOKUP(C543,products!A:A,products!B:B)</f>
        <v>T-Shirt</v>
      </c>
      <c r="J543" s="6">
        <f>_xlfn.XLOOKUP(B543,orders!A:A,orders!C:C)</f>
        <v>45738</v>
      </c>
      <c r="K543" s="6" t="str">
        <f t="shared" si="17"/>
        <v>Mar-2025</v>
      </c>
      <c r="L543" s="6">
        <f>_xlfn.XLOOKUP(B543,orders!A:A,orders!B:B)</f>
        <v>491</v>
      </c>
      <c r="M543" s="6" t="str">
        <f>_xlfn.XLOOKUP("C"&amp;TEXT(L543,"000"),customers!A:A,customers!B:B,"Not Found")</f>
        <v>Nikhil C.</v>
      </c>
    </row>
    <row r="544" spans="1:13">
      <c r="A544">
        <v>543</v>
      </c>
      <c r="B544">
        <v>372</v>
      </c>
      <c r="C544">
        <v>5</v>
      </c>
      <c r="D544" s="4">
        <v>1</v>
      </c>
      <c r="E544">
        <f>_xlfn.XLOOKUP(C544,products!A:A,products!D:D)</f>
        <v>1185</v>
      </c>
      <c r="F544">
        <f t="shared" si="16"/>
        <v>1185</v>
      </c>
      <c r="G544">
        <f>D544*(E544-_xlfn.XLOOKUP(C544,products!A:A,products!E:E))</f>
        <v>444.38</v>
      </c>
      <c r="H544" s="6" t="str">
        <f>_xlfn.XLOOKUP(C544,products!A:A,products!C:C)</f>
        <v>Electronics</v>
      </c>
      <c r="I544" s="6" t="str">
        <f>_xlfn.XLOOKUP(C544,products!A:A,products!B:B)</f>
        <v>Keyboard</v>
      </c>
      <c r="J544" s="6">
        <f>_xlfn.XLOOKUP(B544,orders!A:A,orders!C:C)</f>
        <v>45741</v>
      </c>
      <c r="K544" s="6" t="str">
        <f t="shared" si="17"/>
        <v>Mar-2025</v>
      </c>
      <c r="L544" s="6">
        <f>_xlfn.XLOOKUP(B544,orders!A:A,orders!B:B)</f>
        <v>28</v>
      </c>
      <c r="M544" s="6" t="str">
        <f>_xlfn.XLOOKUP("C"&amp;TEXT(L544,"000"),customers!A:A,customers!B:B,"Not Found")</f>
        <v>Divya N.</v>
      </c>
    </row>
    <row r="545" spans="1:13">
      <c r="A545">
        <v>544</v>
      </c>
      <c r="B545">
        <v>372</v>
      </c>
      <c r="C545">
        <v>18</v>
      </c>
      <c r="D545" s="4">
        <v>2</v>
      </c>
      <c r="E545">
        <f>_xlfn.XLOOKUP(C545,products!A:A,products!D:D)</f>
        <v>2966</v>
      </c>
      <c r="F545">
        <f t="shared" si="16"/>
        <v>5932</v>
      </c>
      <c r="G545">
        <f>D545*(E545-_xlfn.XLOOKUP(C545,products!A:A,products!E:E))</f>
        <v>1957.56</v>
      </c>
      <c r="H545" s="6" t="str">
        <f>_xlfn.XLOOKUP(C545,products!A:A,products!C:C)</f>
        <v>Fashion</v>
      </c>
      <c r="I545" s="6" t="str">
        <f>_xlfn.XLOOKUP(C545,products!A:A,products!B:B)</f>
        <v>Backpack</v>
      </c>
      <c r="J545" s="6">
        <f>_xlfn.XLOOKUP(B545,orders!A:A,orders!C:C)</f>
        <v>45741</v>
      </c>
      <c r="K545" s="6" t="str">
        <f t="shared" si="17"/>
        <v>Mar-2025</v>
      </c>
      <c r="L545" s="6">
        <f>_xlfn.XLOOKUP(B545,orders!A:A,orders!B:B)</f>
        <v>28</v>
      </c>
      <c r="M545" s="6" t="str">
        <f>_xlfn.XLOOKUP("C"&amp;TEXT(L545,"000"),customers!A:A,customers!B:B,"Not Found")</f>
        <v>Divya N.</v>
      </c>
    </row>
    <row r="546" spans="1:13">
      <c r="A546">
        <v>545</v>
      </c>
      <c r="B546">
        <v>373</v>
      </c>
      <c r="C546">
        <v>12</v>
      </c>
      <c r="D546" s="4">
        <v>2</v>
      </c>
      <c r="E546">
        <f>_xlfn.XLOOKUP(C546,products!A:A,products!D:D)</f>
        <v>2144</v>
      </c>
      <c r="F546">
        <f t="shared" si="16"/>
        <v>4288</v>
      </c>
      <c r="G546">
        <f>D546*(E546-_xlfn.XLOOKUP(C546,products!A:A,products!E:E))</f>
        <v>1800.96</v>
      </c>
      <c r="H546" s="6" t="str">
        <f>_xlfn.XLOOKUP(C546,products!A:A,products!C:C)</f>
        <v>Fashion</v>
      </c>
      <c r="I546" s="6" t="str">
        <f>_xlfn.XLOOKUP(C546,products!A:A,products!B:B)</f>
        <v>Jeans</v>
      </c>
      <c r="J546" s="6">
        <f>_xlfn.XLOOKUP(B546,orders!A:A,orders!C:C)</f>
        <v>45744</v>
      </c>
      <c r="K546" s="6" t="str">
        <f t="shared" si="17"/>
        <v>Mar-2025</v>
      </c>
      <c r="L546" s="6">
        <f>_xlfn.XLOOKUP(B546,orders!A:A,orders!B:B)</f>
        <v>65</v>
      </c>
      <c r="M546" s="6" t="str">
        <f>_xlfn.XLOOKUP("C"&amp;TEXT(L546,"000"),customers!A:A,customers!B:B,"Not Found")</f>
        <v>Suresh Y.</v>
      </c>
    </row>
    <row r="547" spans="1:13">
      <c r="A547">
        <v>546</v>
      </c>
      <c r="B547">
        <v>373</v>
      </c>
      <c r="C547">
        <v>25</v>
      </c>
      <c r="D547" s="4">
        <v>3</v>
      </c>
      <c r="E547">
        <f>_xlfn.XLOOKUP(C547,products!A:A,products!D:D)</f>
        <v>3925</v>
      </c>
      <c r="F547">
        <f t="shared" si="16"/>
        <v>11775</v>
      </c>
      <c r="G547">
        <f>D547*(E547-_xlfn.XLOOKUP(C547,products!A:A,products!E:E))</f>
        <v>4415.6400000000003</v>
      </c>
      <c r="H547" s="6" t="str">
        <f>_xlfn.XLOOKUP(C547,products!A:A,products!C:C)</f>
        <v>Home Appliances</v>
      </c>
      <c r="I547" s="6" t="str">
        <f>_xlfn.XLOOKUP(C547,products!A:A,products!B:B)</f>
        <v>Vacuum Cleaner</v>
      </c>
      <c r="J547" s="6">
        <f>_xlfn.XLOOKUP(B547,orders!A:A,orders!C:C)</f>
        <v>45744</v>
      </c>
      <c r="K547" s="6" t="str">
        <f t="shared" si="17"/>
        <v>Mar-2025</v>
      </c>
      <c r="L547" s="6">
        <f>_xlfn.XLOOKUP(B547,orders!A:A,orders!B:B)</f>
        <v>65</v>
      </c>
      <c r="M547" s="6" t="str">
        <f>_xlfn.XLOOKUP("C"&amp;TEXT(L547,"000"),customers!A:A,customers!B:B,"Not Found")</f>
        <v>Suresh Y.</v>
      </c>
    </row>
    <row r="548" spans="1:13">
      <c r="A548">
        <v>547</v>
      </c>
      <c r="B548">
        <v>374</v>
      </c>
      <c r="C548">
        <v>19</v>
      </c>
      <c r="D548" s="4">
        <v>3</v>
      </c>
      <c r="E548">
        <f>_xlfn.XLOOKUP(C548,products!A:A,products!D:D)</f>
        <v>3103</v>
      </c>
      <c r="F548">
        <f t="shared" si="16"/>
        <v>9309</v>
      </c>
      <c r="G548">
        <f>D548*(E548-_xlfn.XLOOKUP(C548,products!A:A,products!E:E))</f>
        <v>2932.32</v>
      </c>
      <c r="H548" s="6" t="str">
        <f>_xlfn.XLOOKUP(C548,products!A:A,products!C:C)</f>
        <v>Fashion</v>
      </c>
      <c r="I548" s="6" t="str">
        <f>_xlfn.XLOOKUP(C548,products!A:A,products!B:B)</f>
        <v>Wallet</v>
      </c>
      <c r="J548" s="6">
        <f>_xlfn.XLOOKUP(B548,orders!A:A,orders!C:C)</f>
        <v>45747</v>
      </c>
      <c r="K548" s="6" t="str">
        <f t="shared" si="17"/>
        <v>Mar-2025</v>
      </c>
      <c r="L548" s="6">
        <f>_xlfn.XLOOKUP(B548,orders!A:A,orders!B:B)</f>
        <v>102</v>
      </c>
      <c r="M548" s="6" t="str">
        <f>_xlfn.XLOOKUP("C"&amp;TEXT(L548,"000"),customers!A:A,customers!B:B,"Not Found")</f>
        <v>Rohit O.</v>
      </c>
    </row>
    <row r="549" spans="1:13">
      <c r="A549">
        <v>548</v>
      </c>
      <c r="B549">
        <v>374</v>
      </c>
      <c r="C549">
        <v>32</v>
      </c>
      <c r="D549" s="4">
        <v>4</v>
      </c>
      <c r="E549">
        <f>_xlfn.XLOOKUP(C549,products!A:A,products!D:D)</f>
        <v>4884</v>
      </c>
      <c r="F549">
        <f t="shared" si="16"/>
        <v>19536</v>
      </c>
      <c r="G549">
        <f>D549*(E549-_xlfn.XLOOKUP(C549,products!A:A,products!E:E))</f>
        <v>8205.1200000000008</v>
      </c>
      <c r="H549" s="6" t="str">
        <f>_xlfn.XLOOKUP(C549,products!A:A,products!C:C)</f>
        <v>Books</v>
      </c>
      <c r="I549" s="6" t="str">
        <f>_xlfn.XLOOKUP(C549,products!A:A,products!B:B)</f>
        <v>Notebook</v>
      </c>
      <c r="J549" s="6">
        <f>_xlfn.XLOOKUP(B549,orders!A:A,orders!C:C)</f>
        <v>45747</v>
      </c>
      <c r="K549" s="6" t="str">
        <f t="shared" si="17"/>
        <v>Mar-2025</v>
      </c>
      <c r="L549" s="6">
        <f>_xlfn.XLOOKUP(B549,orders!A:A,orders!B:B)</f>
        <v>102</v>
      </c>
      <c r="M549" s="6" t="str">
        <f>_xlfn.XLOOKUP("C"&amp;TEXT(L549,"000"),customers!A:A,customers!B:B,"Not Found")</f>
        <v>Rohit O.</v>
      </c>
    </row>
    <row r="550" spans="1:13">
      <c r="A550">
        <v>549</v>
      </c>
      <c r="B550">
        <v>375</v>
      </c>
      <c r="C550">
        <v>26</v>
      </c>
      <c r="D550" s="4">
        <v>4</v>
      </c>
      <c r="E550">
        <f>_xlfn.XLOOKUP(C550,products!A:A,products!D:D)</f>
        <v>4062</v>
      </c>
      <c r="F550">
        <f t="shared" si="16"/>
        <v>16248</v>
      </c>
      <c r="G550">
        <f>D550*(E550-_xlfn.XLOOKUP(C550,products!A:A,products!E:E))</f>
        <v>5849.2800000000007</v>
      </c>
      <c r="H550" s="6" t="str">
        <f>_xlfn.XLOOKUP(C550,products!A:A,products!C:C)</f>
        <v>Home &amp; Kitchen</v>
      </c>
      <c r="I550" s="6" t="str">
        <f>_xlfn.XLOOKUP(C550,products!A:A,products!B:B)</f>
        <v>Bedsheet</v>
      </c>
      <c r="J550" s="6">
        <f>_xlfn.XLOOKUP(B550,orders!A:A,orders!C:C)</f>
        <v>45750</v>
      </c>
      <c r="K550" s="6" t="str">
        <f t="shared" si="17"/>
        <v>Apr-2025</v>
      </c>
      <c r="L550" s="6">
        <f>_xlfn.XLOOKUP(B550,orders!A:A,orders!B:B)</f>
        <v>139</v>
      </c>
      <c r="M550" s="6" t="str">
        <f>_xlfn.XLOOKUP("C"&amp;TEXT(L550,"000"),customers!A:A,customers!B:B,"Not Found")</f>
        <v>Divya V.</v>
      </c>
    </row>
    <row r="551" spans="1:13">
      <c r="A551">
        <v>550</v>
      </c>
      <c r="B551">
        <v>375</v>
      </c>
      <c r="C551">
        <v>39</v>
      </c>
      <c r="D551" s="4">
        <v>1</v>
      </c>
      <c r="E551">
        <f>_xlfn.XLOOKUP(C551,products!A:A,products!D:D)</f>
        <v>5843</v>
      </c>
      <c r="F551">
        <f t="shared" si="16"/>
        <v>5843</v>
      </c>
      <c r="G551">
        <f>D551*(E551-_xlfn.XLOOKUP(C551,products!A:A,products!E:E))</f>
        <v>1840.54</v>
      </c>
      <c r="H551" s="6" t="str">
        <f>_xlfn.XLOOKUP(C551,products!A:A,products!C:C)</f>
        <v>Sports</v>
      </c>
      <c r="I551" s="6" t="str">
        <f>_xlfn.XLOOKUP(C551,products!A:A,products!B:B)</f>
        <v>Yoga Mat</v>
      </c>
      <c r="J551" s="6">
        <f>_xlfn.XLOOKUP(B551,orders!A:A,orders!C:C)</f>
        <v>45750</v>
      </c>
      <c r="K551" s="6" t="str">
        <f t="shared" si="17"/>
        <v>Apr-2025</v>
      </c>
      <c r="L551" s="6">
        <f>_xlfn.XLOOKUP(B551,orders!A:A,orders!B:B)</f>
        <v>139</v>
      </c>
      <c r="M551" s="6" t="str">
        <f>_xlfn.XLOOKUP("C"&amp;TEXT(L551,"000"),customers!A:A,customers!B:B,"Not Found")</f>
        <v>Divya V.</v>
      </c>
    </row>
    <row r="552" spans="1:13">
      <c r="A552">
        <v>551</v>
      </c>
      <c r="B552">
        <v>376</v>
      </c>
      <c r="C552">
        <v>33</v>
      </c>
      <c r="D552" s="4">
        <v>1</v>
      </c>
      <c r="E552">
        <f>_xlfn.XLOOKUP(C552,products!A:A,products!D:D)</f>
        <v>5021</v>
      </c>
      <c r="F552">
        <f t="shared" si="16"/>
        <v>5021</v>
      </c>
      <c r="G552">
        <f>D552*(E552-_xlfn.XLOOKUP(C552,products!A:A,products!E:E))</f>
        <v>2033.5</v>
      </c>
      <c r="H552" s="6" t="str">
        <f>_xlfn.XLOOKUP(C552,products!A:A,products!C:C)</f>
        <v>Books</v>
      </c>
      <c r="I552" s="6" t="str">
        <f>_xlfn.XLOOKUP(C552,products!A:A,products!B:B)</f>
        <v>Pen Set</v>
      </c>
      <c r="J552" s="6">
        <f>_xlfn.XLOOKUP(B552,orders!A:A,orders!C:C)</f>
        <v>45753</v>
      </c>
      <c r="K552" s="6" t="str">
        <f t="shared" si="17"/>
        <v>Apr-2025</v>
      </c>
      <c r="L552" s="6">
        <f>_xlfn.XLOOKUP(B552,orders!A:A,orders!B:B)</f>
        <v>176</v>
      </c>
      <c r="M552" s="6" t="str">
        <f>_xlfn.XLOOKUP("C"&amp;TEXT(L552,"000"),customers!A:A,customers!B:B,"Not Found")</f>
        <v>Meena P.</v>
      </c>
    </row>
    <row r="553" spans="1:13">
      <c r="A553">
        <v>552</v>
      </c>
      <c r="B553">
        <v>376</v>
      </c>
      <c r="C553">
        <v>46</v>
      </c>
      <c r="D553" s="4">
        <v>2</v>
      </c>
      <c r="E553">
        <f>_xlfn.XLOOKUP(C553,products!A:A,products!D:D)</f>
        <v>6802</v>
      </c>
      <c r="F553">
        <f t="shared" si="16"/>
        <v>13604</v>
      </c>
      <c r="G553">
        <f>D553*(E553-_xlfn.XLOOKUP(C553,products!A:A,products!E:E))</f>
        <v>4897.4400000000005</v>
      </c>
      <c r="H553" s="6" t="str">
        <f>_xlfn.XLOOKUP(C553,products!A:A,products!C:C)</f>
        <v>Toys</v>
      </c>
      <c r="I553" s="6" t="str">
        <f>_xlfn.XLOOKUP(C553,products!A:A,products!B:B)</f>
        <v>Toys Car</v>
      </c>
      <c r="J553" s="6">
        <f>_xlfn.XLOOKUP(B553,orders!A:A,orders!C:C)</f>
        <v>45753</v>
      </c>
      <c r="K553" s="6" t="str">
        <f t="shared" si="17"/>
        <v>Apr-2025</v>
      </c>
      <c r="L553" s="6">
        <f>_xlfn.XLOOKUP(B553,orders!A:A,orders!B:B)</f>
        <v>176</v>
      </c>
      <c r="M553" s="6" t="str">
        <f>_xlfn.XLOOKUP("C"&amp;TEXT(L553,"000"),customers!A:A,customers!B:B,"Not Found")</f>
        <v>Meena P.</v>
      </c>
    </row>
    <row r="554" spans="1:13">
      <c r="A554">
        <v>553</v>
      </c>
      <c r="B554">
        <v>377</v>
      </c>
      <c r="C554">
        <v>40</v>
      </c>
      <c r="D554" s="4">
        <v>2</v>
      </c>
      <c r="E554">
        <f>_xlfn.XLOOKUP(C554,products!A:A,products!D:D)</f>
        <v>5980</v>
      </c>
      <c r="F554">
        <f t="shared" si="16"/>
        <v>11960</v>
      </c>
      <c r="G554">
        <f>D554*(E554-_xlfn.XLOOKUP(C554,products!A:A,products!E:E))</f>
        <v>5382</v>
      </c>
      <c r="H554" s="6" t="str">
        <f>_xlfn.XLOOKUP(C554,products!A:A,products!C:C)</f>
        <v>Sports</v>
      </c>
      <c r="I554" s="6" t="str">
        <f>_xlfn.XLOOKUP(C554,products!A:A,products!B:B)</f>
        <v>Dumbbells</v>
      </c>
      <c r="J554" s="6">
        <f>_xlfn.XLOOKUP(B554,orders!A:A,orders!C:C)</f>
        <v>45756</v>
      </c>
      <c r="K554" s="6" t="str">
        <f t="shared" si="17"/>
        <v>Apr-2025</v>
      </c>
      <c r="L554" s="6">
        <f>_xlfn.XLOOKUP(B554,orders!A:A,orders!B:B)</f>
        <v>213</v>
      </c>
      <c r="M554" s="6" t="str">
        <f>_xlfn.XLOOKUP("C"&amp;TEXT(L554,"000"),customers!A:A,customers!B:B,"Not Found")</f>
        <v>Arjun C.</v>
      </c>
    </row>
    <row r="555" spans="1:13">
      <c r="A555">
        <v>554</v>
      </c>
      <c r="B555">
        <v>377</v>
      </c>
      <c r="C555">
        <v>3</v>
      </c>
      <c r="D555" s="4">
        <v>3</v>
      </c>
      <c r="E555">
        <f>_xlfn.XLOOKUP(C555,products!A:A,products!D:D)</f>
        <v>911</v>
      </c>
      <c r="F555">
        <f t="shared" si="16"/>
        <v>2733</v>
      </c>
      <c r="G555">
        <f>D555*(E555-_xlfn.XLOOKUP(C555,products!A:A,products!E:E))</f>
        <v>1106.8500000000001</v>
      </c>
      <c r="H555" s="6" t="str">
        <f>_xlfn.XLOOKUP(C555,products!A:A,products!C:C)</f>
        <v>Electronics</v>
      </c>
      <c r="I555" s="6" t="str">
        <f>_xlfn.XLOOKUP(C555,products!A:A,products!B:B)</f>
        <v>Headphones</v>
      </c>
      <c r="J555" s="6">
        <f>_xlfn.XLOOKUP(B555,orders!A:A,orders!C:C)</f>
        <v>45756</v>
      </c>
      <c r="K555" s="6" t="str">
        <f t="shared" si="17"/>
        <v>Apr-2025</v>
      </c>
      <c r="L555" s="6">
        <f>_xlfn.XLOOKUP(B555,orders!A:A,orders!B:B)</f>
        <v>213</v>
      </c>
      <c r="M555" s="6" t="str">
        <f>_xlfn.XLOOKUP("C"&amp;TEXT(L555,"000"),customers!A:A,customers!B:B,"Not Found")</f>
        <v>Arjun C.</v>
      </c>
    </row>
    <row r="556" spans="1:13">
      <c r="A556">
        <v>555</v>
      </c>
      <c r="B556">
        <v>378</v>
      </c>
      <c r="C556">
        <v>47</v>
      </c>
      <c r="D556" s="4">
        <v>3</v>
      </c>
      <c r="E556">
        <f>_xlfn.XLOOKUP(C556,products!A:A,products!D:D)</f>
        <v>6939</v>
      </c>
      <c r="F556">
        <f t="shared" si="16"/>
        <v>20817</v>
      </c>
      <c r="G556">
        <f>D556*(E556-_xlfn.XLOOKUP(C556,products!A:A,products!E:E))</f>
        <v>7181.8499999999995</v>
      </c>
      <c r="H556" s="6" t="str">
        <f>_xlfn.XLOOKUP(C556,products!A:A,products!C:C)</f>
        <v>Toys</v>
      </c>
      <c r="I556" s="6" t="str">
        <f>_xlfn.XLOOKUP(C556,products!A:A,products!B:B)</f>
        <v>Puzzle</v>
      </c>
      <c r="J556" s="6">
        <f>_xlfn.XLOOKUP(B556,orders!A:A,orders!C:C)</f>
        <v>45759</v>
      </c>
      <c r="K556" s="6" t="str">
        <f t="shared" si="17"/>
        <v>Apr-2025</v>
      </c>
      <c r="L556" s="6">
        <f>_xlfn.XLOOKUP(B556,orders!A:A,orders!B:B)</f>
        <v>250</v>
      </c>
      <c r="M556" s="6" t="str">
        <f>_xlfn.XLOOKUP("C"&amp;TEXT(L556,"000"),customers!A:A,customers!B:B,"Not Found")</f>
        <v>Priya W.</v>
      </c>
    </row>
    <row r="557" spans="1:13">
      <c r="A557">
        <v>556</v>
      </c>
      <c r="B557">
        <v>378</v>
      </c>
      <c r="C557">
        <v>10</v>
      </c>
      <c r="D557" s="4">
        <v>4</v>
      </c>
      <c r="E557">
        <f>_xlfn.XLOOKUP(C557,products!A:A,products!D:D)</f>
        <v>1870</v>
      </c>
      <c r="F557">
        <f t="shared" si="16"/>
        <v>7480</v>
      </c>
      <c r="G557">
        <f>D557*(E557-_xlfn.XLOOKUP(C557,products!A:A,products!E:E))</f>
        <v>3366</v>
      </c>
      <c r="H557" s="6" t="str">
        <f>_xlfn.XLOOKUP(C557,products!A:A,products!C:C)</f>
        <v>Electronics</v>
      </c>
      <c r="I557" s="6" t="str">
        <f>_xlfn.XLOOKUP(C557,products!A:A,products!B:B)</f>
        <v>Earbuds</v>
      </c>
      <c r="J557" s="6">
        <f>_xlfn.XLOOKUP(B557,orders!A:A,orders!C:C)</f>
        <v>45759</v>
      </c>
      <c r="K557" s="6" t="str">
        <f t="shared" si="17"/>
        <v>Apr-2025</v>
      </c>
      <c r="L557" s="6">
        <f>_xlfn.XLOOKUP(B557,orders!A:A,orders!B:B)</f>
        <v>250</v>
      </c>
      <c r="M557" s="6" t="str">
        <f>_xlfn.XLOOKUP("C"&amp;TEXT(L557,"000"),customers!A:A,customers!B:B,"Not Found")</f>
        <v>Priya W.</v>
      </c>
    </row>
    <row r="558" spans="1:13">
      <c r="A558">
        <v>557</v>
      </c>
      <c r="B558">
        <v>379</v>
      </c>
      <c r="C558">
        <v>4</v>
      </c>
      <c r="D558" s="4">
        <v>4</v>
      </c>
      <c r="E558">
        <f>_xlfn.XLOOKUP(C558,products!A:A,products!D:D)</f>
        <v>1048</v>
      </c>
      <c r="F558">
        <f t="shared" si="16"/>
        <v>4192</v>
      </c>
      <c r="G558">
        <f>D558*(E558-_xlfn.XLOOKUP(C558,products!A:A,products!E:E))</f>
        <v>1634.88</v>
      </c>
      <c r="H558" s="6" t="str">
        <f>_xlfn.XLOOKUP(C558,products!A:A,products!C:C)</f>
        <v>Electronics</v>
      </c>
      <c r="I558" s="6" t="str">
        <f>_xlfn.XLOOKUP(C558,products!A:A,products!B:B)</f>
        <v>Smart Watch</v>
      </c>
      <c r="J558" s="6">
        <f>_xlfn.XLOOKUP(B558,orders!A:A,orders!C:C)</f>
        <v>45762</v>
      </c>
      <c r="K558" s="6" t="str">
        <f t="shared" si="17"/>
        <v>Apr-2025</v>
      </c>
      <c r="L558" s="6">
        <f>_xlfn.XLOOKUP(B558,orders!A:A,orders!B:B)</f>
        <v>287</v>
      </c>
      <c r="M558" s="6" t="str">
        <f>_xlfn.XLOOKUP("C"&amp;TEXT(L558,"000"),customers!A:A,customers!B:B,"Not Found")</f>
        <v>Rahul C.</v>
      </c>
    </row>
    <row r="559" spans="1:13">
      <c r="A559">
        <v>558</v>
      </c>
      <c r="B559">
        <v>379</v>
      </c>
      <c r="C559">
        <v>17</v>
      </c>
      <c r="D559" s="4">
        <v>1</v>
      </c>
      <c r="E559">
        <f>_xlfn.XLOOKUP(C559,products!A:A,products!D:D)</f>
        <v>2829</v>
      </c>
      <c r="F559">
        <f t="shared" si="16"/>
        <v>2829</v>
      </c>
      <c r="G559">
        <f>D559*(E559-_xlfn.XLOOKUP(C559,products!A:A,products!E:E))</f>
        <v>976</v>
      </c>
      <c r="H559" s="6" t="str">
        <f>_xlfn.XLOOKUP(C559,products!A:A,products!C:C)</f>
        <v>Fashion</v>
      </c>
      <c r="I559" s="6" t="str">
        <f>_xlfn.XLOOKUP(C559,products!A:A,products!B:B)</f>
        <v>Dress</v>
      </c>
      <c r="J559" s="6">
        <f>_xlfn.XLOOKUP(B559,orders!A:A,orders!C:C)</f>
        <v>45762</v>
      </c>
      <c r="K559" s="6" t="str">
        <f t="shared" si="17"/>
        <v>Apr-2025</v>
      </c>
      <c r="L559" s="6">
        <f>_xlfn.XLOOKUP(B559,orders!A:A,orders!B:B)</f>
        <v>287</v>
      </c>
      <c r="M559" s="6" t="str">
        <f>_xlfn.XLOOKUP("C"&amp;TEXT(L559,"000"),customers!A:A,customers!B:B,"Not Found")</f>
        <v>Rahul C.</v>
      </c>
    </row>
    <row r="560" spans="1:13">
      <c r="A560">
        <v>559</v>
      </c>
      <c r="B560">
        <v>380</v>
      </c>
      <c r="C560">
        <v>11</v>
      </c>
      <c r="D560" s="4">
        <v>1</v>
      </c>
      <c r="E560">
        <f>_xlfn.XLOOKUP(C560,products!A:A,products!D:D)</f>
        <v>2007</v>
      </c>
      <c r="F560">
        <f t="shared" si="16"/>
        <v>2007</v>
      </c>
      <c r="G560">
        <f>D560*(E560-_xlfn.XLOOKUP(C560,products!A:A,products!E:E))</f>
        <v>873.04</v>
      </c>
      <c r="H560" s="6" t="str">
        <f>_xlfn.XLOOKUP(C560,products!A:A,products!C:C)</f>
        <v>Fashion</v>
      </c>
      <c r="I560" s="6" t="str">
        <f>_xlfn.XLOOKUP(C560,products!A:A,products!B:B)</f>
        <v>T-Shirt</v>
      </c>
      <c r="J560" s="6">
        <f>_xlfn.XLOOKUP(B560,orders!A:A,orders!C:C)</f>
        <v>45765</v>
      </c>
      <c r="K560" s="6" t="str">
        <f t="shared" si="17"/>
        <v>Apr-2025</v>
      </c>
      <c r="L560" s="6">
        <f>_xlfn.XLOOKUP(B560,orders!A:A,orders!B:B)</f>
        <v>324</v>
      </c>
      <c r="M560" s="6" t="str">
        <f>_xlfn.XLOOKUP("C"&amp;TEXT(L560,"000"),customers!A:A,customers!B:B,"Not Found")</f>
        <v>Manoj T.</v>
      </c>
    </row>
    <row r="561" spans="1:13">
      <c r="A561">
        <v>560</v>
      </c>
      <c r="B561">
        <v>380</v>
      </c>
      <c r="C561">
        <v>24</v>
      </c>
      <c r="D561" s="4">
        <v>2</v>
      </c>
      <c r="E561">
        <f>_xlfn.XLOOKUP(C561,products!A:A,products!D:D)</f>
        <v>3788</v>
      </c>
      <c r="F561">
        <f t="shared" si="16"/>
        <v>7576</v>
      </c>
      <c r="G561">
        <f>D561*(E561-_xlfn.XLOOKUP(C561,products!A:A,products!E:E))</f>
        <v>2954.6400000000003</v>
      </c>
      <c r="H561" s="6" t="str">
        <f>_xlfn.XLOOKUP(C561,products!A:A,products!C:C)</f>
        <v>Home Appliances</v>
      </c>
      <c r="I561" s="6" t="str">
        <f>_xlfn.XLOOKUP(C561,products!A:A,products!B:B)</f>
        <v>Iron</v>
      </c>
      <c r="J561" s="6">
        <f>_xlfn.XLOOKUP(B561,orders!A:A,orders!C:C)</f>
        <v>45765</v>
      </c>
      <c r="K561" s="6" t="str">
        <f t="shared" si="17"/>
        <v>Apr-2025</v>
      </c>
      <c r="L561" s="6">
        <f>_xlfn.XLOOKUP(B561,orders!A:A,orders!B:B)</f>
        <v>324</v>
      </c>
      <c r="M561" s="6" t="str">
        <f>_xlfn.XLOOKUP("C"&amp;TEXT(L561,"000"),customers!A:A,customers!B:B,"Not Found")</f>
        <v>Manoj T.</v>
      </c>
    </row>
    <row r="562" spans="1:13">
      <c r="A562">
        <v>561</v>
      </c>
      <c r="B562">
        <v>381</v>
      </c>
      <c r="C562">
        <v>18</v>
      </c>
      <c r="D562" s="4">
        <v>2</v>
      </c>
      <c r="E562">
        <f>_xlfn.XLOOKUP(C562,products!A:A,products!D:D)</f>
        <v>2966</v>
      </c>
      <c r="F562">
        <f t="shared" si="16"/>
        <v>5932</v>
      </c>
      <c r="G562">
        <f>D562*(E562-_xlfn.XLOOKUP(C562,products!A:A,products!E:E))</f>
        <v>1957.56</v>
      </c>
      <c r="H562" s="6" t="str">
        <f>_xlfn.XLOOKUP(C562,products!A:A,products!C:C)</f>
        <v>Fashion</v>
      </c>
      <c r="I562" s="6" t="str">
        <f>_xlfn.XLOOKUP(C562,products!A:A,products!B:B)</f>
        <v>Backpack</v>
      </c>
      <c r="J562" s="6">
        <f>_xlfn.XLOOKUP(B562,orders!A:A,orders!C:C)</f>
        <v>45768</v>
      </c>
      <c r="K562" s="6" t="str">
        <f t="shared" si="17"/>
        <v>Apr-2025</v>
      </c>
      <c r="L562" s="6">
        <f>_xlfn.XLOOKUP(B562,orders!A:A,orders!B:B)</f>
        <v>361</v>
      </c>
      <c r="M562" s="6" t="str">
        <f>_xlfn.XLOOKUP("C"&amp;TEXT(L562,"000"),customers!A:A,customers!B:B,"Not Found")</f>
        <v>Rahul T.</v>
      </c>
    </row>
    <row r="563" spans="1:13">
      <c r="A563">
        <v>562</v>
      </c>
      <c r="B563">
        <v>381</v>
      </c>
      <c r="C563">
        <v>31</v>
      </c>
      <c r="D563" s="4">
        <v>3</v>
      </c>
      <c r="E563">
        <f>_xlfn.XLOOKUP(C563,products!A:A,products!D:D)</f>
        <v>4747</v>
      </c>
      <c r="F563">
        <f t="shared" si="16"/>
        <v>14241</v>
      </c>
      <c r="G563">
        <f>D563*(E563-_xlfn.XLOOKUP(C563,products!A:A,products!E:E))</f>
        <v>6194.82</v>
      </c>
      <c r="H563" s="6" t="str">
        <f>_xlfn.XLOOKUP(C563,products!A:A,products!C:C)</f>
        <v>Books</v>
      </c>
      <c r="I563" s="6" t="str">
        <f>_xlfn.XLOOKUP(C563,products!A:A,products!B:B)</f>
        <v>Book</v>
      </c>
      <c r="J563" s="6">
        <f>_xlfn.XLOOKUP(B563,orders!A:A,orders!C:C)</f>
        <v>45768</v>
      </c>
      <c r="K563" s="6" t="str">
        <f t="shared" si="17"/>
        <v>Apr-2025</v>
      </c>
      <c r="L563" s="6">
        <f>_xlfn.XLOOKUP(B563,orders!A:A,orders!B:B)</f>
        <v>361</v>
      </c>
      <c r="M563" s="6" t="str">
        <f>_xlfn.XLOOKUP("C"&amp;TEXT(L563,"000"),customers!A:A,customers!B:B,"Not Found")</f>
        <v>Rahul T.</v>
      </c>
    </row>
    <row r="564" spans="1:13">
      <c r="A564">
        <v>563</v>
      </c>
      <c r="B564">
        <v>382</v>
      </c>
      <c r="C564">
        <v>25</v>
      </c>
      <c r="D564" s="4">
        <v>3</v>
      </c>
      <c r="E564">
        <f>_xlfn.XLOOKUP(C564,products!A:A,products!D:D)</f>
        <v>3925</v>
      </c>
      <c r="F564">
        <f t="shared" si="16"/>
        <v>11775</v>
      </c>
      <c r="G564">
        <f>D564*(E564-_xlfn.XLOOKUP(C564,products!A:A,products!E:E))</f>
        <v>4415.6400000000003</v>
      </c>
      <c r="H564" s="6" t="str">
        <f>_xlfn.XLOOKUP(C564,products!A:A,products!C:C)</f>
        <v>Home Appliances</v>
      </c>
      <c r="I564" s="6" t="str">
        <f>_xlfn.XLOOKUP(C564,products!A:A,products!B:B)</f>
        <v>Vacuum Cleaner</v>
      </c>
      <c r="J564" s="6">
        <f>_xlfn.XLOOKUP(B564,orders!A:A,orders!C:C)</f>
        <v>45771</v>
      </c>
      <c r="K564" s="6" t="str">
        <f t="shared" si="17"/>
        <v>Apr-2025</v>
      </c>
      <c r="L564" s="6">
        <f>_xlfn.XLOOKUP(B564,orders!A:A,orders!B:B)</f>
        <v>398</v>
      </c>
      <c r="M564" s="6" t="str">
        <f>_xlfn.XLOOKUP("C"&amp;TEXT(L564,"000"),customers!A:A,customers!B:B,"Not Found")</f>
        <v>Lakshmi E.</v>
      </c>
    </row>
    <row r="565" spans="1:13">
      <c r="A565">
        <v>564</v>
      </c>
      <c r="B565">
        <v>382</v>
      </c>
      <c r="C565">
        <v>38</v>
      </c>
      <c r="D565" s="4">
        <v>4</v>
      </c>
      <c r="E565">
        <f>_xlfn.XLOOKUP(C565,products!A:A,products!D:D)</f>
        <v>5706</v>
      </c>
      <c r="F565">
        <f t="shared" si="16"/>
        <v>22824</v>
      </c>
      <c r="G565">
        <f>D565*(E565-_xlfn.XLOOKUP(C565,products!A:A,products!E:E))</f>
        <v>7531.92</v>
      </c>
      <c r="H565" s="6" t="str">
        <f>_xlfn.XLOOKUP(C565,products!A:A,products!C:C)</f>
        <v>Sports</v>
      </c>
      <c r="I565" s="6" t="str">
        <f>_xlfn.XLOOKUP(C565,products!A:A,products!B:B)</f>
        <v>Badminton Racket</v>
      </c>
      <c r="J565" s="6">
        <f>_xlfn.XLOOKUP(B565,orders!A:A,orders!C:C)</f>
        <v>45771</v>
      </c>
      <c r="K565" s="6" t="str">
        <f t="shared" si="17"/>
        <v>Apr-2025</v>
      </c>
      <c r="L565" s="6">
        <f>_xlfn.XLOOKUP(B565,orders!A:A,orders!B:B)</f>
        <v>398</v>
      </c>
      <c r="M565" s="6" t="str">
        <f>_xlfn.XLOOKUP("C"&amp;TEXT(L565,"000"),customers!A:A,customers!B:B,"Not Found")</f>
        <v>Lakshmi E.</v>
      </c>
    </row>
    <row r="566" spans="1:13">
      <c r="A566">
        <v>565</v>
      </c>
      <c r="B566">
        <v>383</v>
      </c>
      <c r="C566">
        <v>32</v>
      </c>
      <c r="D566" s="4">
        <v>4</v>
      </c>
      <c r="E566">
        <f>_xlfn.XLOOKUP(C566,products!A:A,products!D:D)</f>
        <v>4884</v>
      </c>
      <c r="F566">
        <f t="shared" si="16"/>
        <v>19536</v>
      </c>
      <c r="G566">
        <f>D566*(E566-_xlfn.XLOOKUP(C566,products!A:A,products!E:E))</f>
        <v>8205.1200000000008</v>
      </c>
      <c r="H566" s="6" t="str">
        <f>_xlfn.XLOOKUP(C566,products!A:A,products!C:C)</f>
        <v>Books</v>
      </c>
      <c r="I566" s="6" t="str">
        <f>_xlfn.XLOOKUP(C566,products!A:A,products!B:B)</f>
        <v>Notebook</v>
      </c>
      <c r="J566" s="6">
        <f>_xlfn.XLOOKUP(B566,orders!A:A,orders!C:C)</f>
        <v>45774</v>
      </c>
      <c r="K566" s="6" t="str">
        <f t="shared" si="17"/>
        <v>Apr-2025</v>
      </c>
      <c r="L566" s="6">
        <f>_xlfn.XLOOKUP(B566,orders!A:A,orders!B:B)</f>
        <v>435</v>
      </c>
      <c r="M566" s="6" t="str">
        <f>_xlfn.XLOOKUP("C"&amp;TEXT(L566,"000"),customers!A:A,customers!B:B,"Not Found")</f>
        <v>Swathi Q.</v>
      </c>
    </row>
    <row r="567" spans="1:13">
      <c r="A567">
        <v>566</v>
      </c>
      <c r="B567">
        <v>383</v>
      </c>
      <c r="C567">
        <v>45</v>
      </c>
      <c r="D567" s="4">
        <v>1</v>
      </c>
      <c r="E567">
        <f>_xlfn.XLOOKUP(C567,products!A:A,products!D:D)</f>
        <v>6665</v>
      </c>
      <c r="F567">
        <f t="shared" si="16"/>
        <v>6665</v>
      </c>
      <c r="G567">
        <f>D567*(E567-_xlfn.XLOOKUP(C567,products!A:A,products!E:E))</f>
        <v>2499.38</v>
      </c>
      <c r="H567" s="6" t="str">
        <f>_xlfn.XLOOKUP(C567,products!A:A,products!C:C)</f>
        <v>Beauty</v>
      </c>
      <c r="I567" s="6" t="str">
        <f>_xlfn.XLOOKUP(C567,products!A:A,products!B:B)</f>
        <v>Sunscreen</v>
      </c>
      <c r="J567" s="6">
        <f>_xlfn.XLOOKUP(B567,orders!A:A,orders!C:C)</f>
        <v>45774</v>
      </c>
      <c r="K567" s="6" t="str">
        <f t="shared" si="17"/>
        <v>Apr-2025</v>
      </c>
      <c r="L567" s="6">
        <f>_xlfn.XLOOKUP(B567,orders!A:A,orders!B:B)</f>
        <v>435</v>
      </c>
      <c r="M567" s="6" t="str">
        <f>_xlfn.XLOOKUP("C"&amp;TEXT(L567,"000"),customers!A:A,customers!B:B,"Not Found")</f>
        <v>Swathi Q.</v>
      </c>
    </row>
    <row r="568" spans="1:13">
      <c r="A568">
        <v>567</v>
      </c>
      <c r="B568">
        <v>384</v>
      </c>
      <c r="C568">
        <v>39</v>
      </c>
      <c r="D568" s="4">
        <v>1</v>
      </c>
      <c r="E568">
        <f>_xlfn.XLOOKUP(C568,products!A:A,products!D:D)</f>
        <v>5843</v>
      </c>
      <c r="F568">
        <f t="shared" si="16"/>
        <v>5843</v>
      </c>
      <c r="G568">
        <f>D568*(E568-_xlfn.XLOOKUP(C568,products!A:A,products!E:E))</f>
        <v>1840.54</v>
      </c>
      <c r="H568" s="6" t="str">
        <f>_xlfn.XLOOKUP(C568,products!A:A,products!C:C)</f>
        <v>Sports</v>
      </c>
      <c r="I568" s="6" t="str">
        <f>_xlfn.XLOOKUP(C568,products!A:A,products!B:B)</f>
        <v>Yoga Mat</v>
      </c>
      <c r="J568" s="6">
        <f>_xlfn.XLOOKUP(B568,orders!A:A,orders!C:C)</f>
        <v>45777</v>
      </c>
      <c r="K568" s="6" t="str">
        <f t="shared" si="17"/>
        <v>Apr-2025</v>
      </c>
      <c r="L568" s="6">
        <f>_xlfn.XLOOKUP(B568,orders!A:A,orders!B:B)</f>
        <v>472</v>
      </c>
      <c r="M568" s="6" t="str">
        <f>_xlfn.XLOOKUP("C"&amp;TEXT(L568,"000"),customers!A:A,customers!B:B,"Not Found")</f>
        <v>Ravi F.</v>
      </c>
    </row>
    <row r="569" spans="1:13">
      <c r="A569">
        <v>568</v>
      </c>
      <c r="B569">
        <v>384</v>
      </c>
      <c r="C569">
        <v>2</v>
      </c>
      <c r="D569" s="4">
        <v>2</v>
      </c>
      <c r="E569">
        <f>_xlfn.XLOOKUP(C569,products!A:A,products!D:D)</f>
        <v>774</v>
      </c>
      <c r="F569">
        <f t="shared" si="16"/>
        <v>1548</v>
      </c>
      <c r="G569">
        <f>D569*(E569-_xlfn.XLOOKUP(C569,products!A:A,products!E:E))</f>
        <v>650.16</v>
      </c>
      <c r="H569" s="6" t="str">
        <f>_xlfn.XLOOKUP(C569,products!A:A,products!C:C)</f>
        <v>Electronics</v>
      </c>
      <c r="I569" s="6" t="str">
        <f>_xlfn.XLOOKUP(C569,products!A:A,products!B:B)</f>
        <v>Mobile</v>
      </c>
      <c r="J569" s="6">
        <f>_xlfn.XLOOKUP(B569,orders!A:A,orders!C:C)</f>
        <v>45777</v>
      </c>
      <c r="K569" s="6" t="str">
        <f t="shared" si="17"/>
        <v>Apr-2025</v>
      </c>
      <c r="L569" s="6">
        <f>_xlfn.XLOOKUP(B569,orders!A:A,orders!B:B)</f>
        <v>472</v>
      </c>
      <c r="M569" s="6" t="str">
        <f>_xlfn.XLOOKUP("C"&amp;TEXT(L569,"000"),customers!A:A,customers!B:B,"Not Found")</f>
        <v>Ravi F.</v>
      </c>
    </row>
    <row r="570" spans="1:13">
      <c r="A570">
        <v>569</v>
      </c>
      <c r="B570">
        <v>385</v>
      </c>
      <c r="C570">
        <v>46</v>
      </c>
      <c r="D570" s="4">
        <v>2</v>
      </c>
      <c r="E570">
        <f>_xlfn.XLOOKUP(C570,products!A:A,products!D:D)</f>
        <v>6802</v>
      </c>
      <c r="F570">
        <f t="shared" si="16"/>
        <v>13604</v>
      </c>
      <c r="G570">
        <f>D570*(E570-_xlfn.XLOOKUP(C570,products!A:A,products!E:E))</f>
        <v>4897.4400000000005</v>
      </c>
      <c r="H570" s="6" t="str">
        <f>_xlfn.XLOOKUP(C570,products!A:A,products!C:C)</f>
        <v>Toys</v>
      </c>
      <c r="I570" s="6" t="str">
        <f>_xlfn.XLOOKUP(C570,products!A:A,products!B:B)</f>
        <v>Toys Car</v>
      </c>
      <c r="J570" s="6">
        <f>_xlfn.XLOOKUP(B570,orders!A:A,orders!C:C)</f>
        <v>45780</v>
      </c>
      <c r="K570" s="6" t="str">
        <f t="shared" si="17"/>
        <v>May-2025</v>
      </c>
      <c r="L570" s="6">
        <f>_xlfn.XLOOKUP(B570,orders!A:A,orders!B:B)</f>
        <v>9</v>
      </c>
      <c r="M570" s="6" t="str">
        <f>_xlfn.XLOOKUP("C"&amp;TEXT(L570,"000"),customers!A:A,customers!B:B,"Not Found")</f>
        <v>Neha L.</v>
      </c>
    </row>
    <row r="571" spans="1:13">
      <c r="A571">
        <v>570</v>
      </c>
      <c r="B571">
        <v>385</v>
      </c>
      <c r="C571">
        <v>9</v>
      </c>
      <c r="D571" s="4">
        <v>3</v>
      </c>
      <c r="E571">
        <f>_xlfn.XLOOKUP(C571,products!A:A,products!D:D)</f>
        <v>1733</v>
      </c>
      <c r="F571">
        <f t="shared" si="16"/>
        <v>5199</v>
      </c>
      <c r="G571">
        <f>D571*(E571-_xlfn.XLOOKUP(C571,products!A:A,products!E:E))</f>
        <v>1637.6700000000003</v>
      </c>
      <c r="H571" s="6" t="str">
        <f>_xlfn.XLOOKUP(C571,products!A:A,products!C:C)</f>
        <v>Electronics</v>
      </c>
      <c r="I571" s="6" t="str">
        <f>_xlfn.XLOOKUP(C571,products!A:A,products!B:B)</f>
        <v>Power Bank</v>
      </c>
      <c r="J571" s="6">
        <f>_xlfn.XLOOKUP(B571,orders!A:A,orders!C:C)</f>
        <v>45780</v>
      </c>
      <c r="K571" s="6" t="str">
        <f t="shared" si="17"/>
        <v>May-2025</v>
      </c>
      <c r="L571" s="6">
        <f>_xlfn.XLOOKUP(B571,orders!A:A,orders!B:B)</f>
        <v>9</v>
      </c>
      <c r="M571" s="6" t="str">
        <f>_xlfn.XLOOKUP("C"&amp;TEXT(L571,"000"),customers!A:A,customers!B:B,"Not Found")</f>
        <v>Neha L.</v>
      </c>
    </row>
    <row r="572" spans="1:13">
      <c r="A572">
        <v>571</v>
      </c>
      <c r="B572">
        <v>386</v>
      </c>
      <c r="C572">
        <v>3</v>
      </c>
      <c r="D572" s="4">
        <v>3</v>
      </c>
      <c r="E572">
        <f>_xlfn.XLOOKUP(C572,products!A:A,products!D:D)</f>
        <v>911</v>
      </c>
      <c r="F572">
        <f t="shared" si="16"/>
        <v>2733</v>
      </c>
      <c r="G572">
        <f>D572*(E572-_xlfn.XLOOKUP(C572,products!A:A,products!E:E))</f>
        <v>1106.8500000000001</v>
      </c>
      <c r="H572" s="6" t="str">
        <f>_xlfn.XLOOKUP(C572,products!A:A,products!C:C)</f>
        <v>Electronics</v>
      </c>
      <c r="I572" s="6" t="str">
        <f>_xlfn.XLOOKUP(C572,products!A:A,products!B:B)</f>
        <v>Headphones</v>
      </c>
      <c r="J572" s="6">
        <f>_xlfn.XLOOKUP(B572,orders!A:A,orders!C:C)</f>
        <v>45783</v>
      </c>
      <c r="K572" s="6" t="str">
        <f t="shared" si="17"/>
        <v>May-2025</v>
      </c>
      <c r="L572" s="6">
        <f>_xlfn.XLOOKUP(B572,orders!A:A,orders!B:B)</f>
        <v>46</v>
      </c>
      <c r="M572" s="6" t="str">
        <f>_xlfn.XLOOKUP("C"&amp;TEXT(L572,"000"),customers!A:A,customers!B:B,"Not Found")</f>
        <v>Anjali V.</v>
      </c>
    </row>
    <row r="573" spans="1:13">
      <c r="A573">
        <v>572</v>
      </c>
      <c r="B573">
        <v>386</v>
      </c>
      <c r="C573">
        <v>16</v>
      </c>
      <c r="D573" s="4">
        <v>4</v>
      </c>
      <c r="E573">
        <f>_xlfn.XLOOKUP(C573,products!A:A,products!D:D)</f>
        <v>2692</v>
      </c>
      <c r="F573">
        <f t="shared" si="16"/>
        <v>10768</v>
      </c>
      <c r="G573">
        <f>D573*(E573-_xlfn.XLOOKUP(C573,products!A:A,products!E:E))</f>
        <v>3876.4799999999996</v>
      </c>
      <c r="H573" s="6" t="str">
        <f>_xlfn.XLOOKUP(C573,products!A:A,products!C:C)</f>
        <v>Fashion</v>
      </c>
      <c r="I573" s="6" t="str">
        <f>_xlfn.XLOOKUP(C573,products!A:A,products!B:B)</f>
        <v>Saree</v>
      </c>
      <c r="J573" s="6">
        <f>_xlfn.XLOOKUP(B573,orders!A:A,orders!C:C)</f>
        <v>45783</v>
      </c>
      <c r="K573" s="6" t="str">
        <f t="shared" si="17"/>
        <v>May-2025</v>
      </c>
      <c r="L573" s="6">
        <f>_xlfn.XLOOKUP(B573,orders!A:A,orders!B:B)</f>
        <v>46</v>
      </c>
      <c r="M573" s="6" t="str">
        <f>_xlfn.XLOOKUP("C"&amp;TEXT(L573,"000"),customers!A:A,customers!B:B,"Not Found")</f>
        <v>Anjali V.</v>
      </c>
    </row>
    <row r="574" spans="1:13">
      <c r="A574">
        <v>573</v>
      </c>
      <c r="B574">
        <v>387</v>
      </c>
      <c r="C574">
        <v>10</v>
      </c>
      <c r="D574" s="4">
        <v>4</v>
      </c>
      <c r="E574">
        <f>_xlfn.XLOOKUP(C574,products!A:A,products!D:D)</f>
        <v>1870</v>
      </c>
      <c r="F574">
        <f t="shared" si="16"/>
        <v>7480</v>
      </c>
      <c r="G574">
        <f>D574*(E574-_xlfn.XLOOKUP(C574,products!A:A,products!E:E))</f>
        <v>3366</v>
      </c>
      <c r="H574" s="6" t="str">
        <f>_xlfn.XLOOKUP(C574,products!A:A,products!C:C)</f>
        <v>Electronics</v>
      </c>
      <c r="I574" s="6" t="str">
        <f>_xlfn.XLOOKUP(C574,products!A:A,products!B:B)</f>
        <v>Earbuds</v>
      </c>
      <c r="J574" s="6">
        <f>_xlfn.XLOOKUP(B574,orders!A:A,orders!C:C)</f>
        <v>45786</v>
      </c>
      <c r="K574" s="6" t="str">
        <f t="shared" si="17"/>
        <v>May-2025</v>
      </c>
      <c r="L574" s="6">
        <f>_xlfn.XLOOKUP(B574,orders!A:A,orders!B:B)</f>
        <v>83</v>
      </c>
      <c r="M574" s="6" t="str">
        <f>_xlfn.XLOOKUP("C"&amp;TEXT(L574,"000"),customers!A:A,customers!B:B,"Not Found")</f>
        <v>Sneha X.</v>
      </c>
    </row>
    <row r="575" spans="1:13">
      <c r="A575">
        <v>574</v>
      </c>
      <c r="B575">
        <v>387</v>
      </c>
      <c r="C575">
        <v>23</v>
      </c>
      <c r="D575" s="4">
        <v>1</v>
      </c>
      <c r="E575">
        <f>_xlfn.XLOOKUP(C575,products!A:A,products!D:D)</f>
        <v>3651</v>
      </c>
      <c r="F575">
        <f t="shared" si="16"/>
        <v>3651</v>
      </c>
      <c r="G575">
        <f>D575*(E575-_xlfn.XLOOKUP(C575,products!A:A,products!E:E))</f>
        <v>1478.65</v>
      </c>
      <c r="H575" s="6" t="str">
        <f>_xlfn.XLOOKUP(C575,products!A:A,products!C:C)</f>
        <v>Home Appliances</v>
      </c>
      <c r="I575" s="6" t="str">
        <f>_xlfn.XLOOKUP(C575,products!A:A,products!B:B)</f>
        <v>Fan</v>
      </c>
      <c r="J575" s="6">
        <f>_xlfn.XLOOKUP(B575,orders!A:A,orders!C:C)</f>
        <v>45786</v>
      </c>
      <c r="K575" s="6" t="str">
        <f t="shared" si="17"/>
        <v>May-2025</v>
      </c>
      <c r="L575" s="6">
        <f>_xlfn.XLOOKUP(B575,orders!A:A,orders!B:B)</f>
        <v>83</v>
      </c>
      <c r="M575" s="6" t="str">
        <f>_xlfn.XLOOKUP("C"&amp;TEXT(L575,"000"),customers!A:A,customers!B:B,"Not Found")</f>
        <v>Sneha X.</v>
      </c>
    </row>
    <row r="576" spans="1:13">
      <c r="A576">
        <v>575</v>
      </c>
      <c r="B576">
        <v>388</v>
      </c>
      <c r="C576">
        <v>17</v>
      </c>
      <c r="D576" s="4">
        <v>1</v>
      </c>
      <c r="E576">
        <f>_xlfn.XLOOKUP(C576,products!A:A,products!D:D)</f>
        <v>2829</v>
      </c>
      <c r="F576">
        <f t="shared" si="16"/>
        <v>2829</v>
      </c>
      <c r="G576">
        <f>D576*(E576-_xlfn.XLOOKUP(C576,products!A:A,products!E:E))</f>
        <v>976</v>
      </c>
      <c r="H576" s="6" t="str">
        <f>_xlfn.XLOOKUP(C576,products!A:A,products!C:C)</f>
        <v>Fashion</v>
      </c>
      <c r="I576" s="6" t="str">
        <f>_xlfn.XLOOKUP(C576,products!A:A,products!B:B)</f>
        <v>Dress</v>
      </c>
      <c r="J576" s="6">
        <f>_xlfn.XLOOKUP(B576,orders!A:A,orders!C:C)</f>
        <v>45789</v>
      </c>
      <c r="K576" s="6" t="str">
        <f t="shared" si="17"/>
        <v>May-2025</v>
      </c>
      <c r="L576" s="6">
        <f>_xlfn.XLOOKUP(B576,orders!A:A,orders!B:B)</f>
        <v>120</v>
      </c>
      <c r="M576" s="6" t="str">
        <f>_xlfn.XLOOKUP("C"&amp;TEXT(L576,"000"),customers!A:A,customers!B:B,"Not Found")</f>
        <v>Amit Y.</v>
      </c>
    </row>
    <row r="577" spans="1:13">
      <c r="A577">
        <v>576</v>
      </c>
      <c r="B577">
        <v>388</v>
      </c>
      <c r="C577">
        <v>30</v>
      </c>
      <c r="D577" s="4">
        <v>2</v>
      </c>
      <c r="E577">
        <f>_xlfn.XLOOKUP(C577,products!A:A,products!D:D)</f>
        <v>4610</v>
      </c>
      <c r="F577">
        <f t="shared" si="16"/>
        <v>9220</v>
      </c>
      <c r="G577">
        <f>D577*(E577-_xlfn.XLOOKUP(C577,products!A:A,products!E:E))</f>
        <v>4149</v>
      </c>
      <c r="H577" s="6" t="str">
        <f>_xlfn.XLOOKUP(C577,products!A:A,products!C:C)</f>
        <v>Furniture</v>
      </c>
      <c r="I577" s="6" t="str">
        <f>_xlfn.XLOOKUP(C577,products!A:A,products!B:B)</f>
        <v>Table</v>
      </c>
      <c r="J577" s="6">
        <f>_xlfn.XLOOKUP(B577,orders!A:A,orders!C:C)</f>
        <v>45789</v>
      </c>
      <c r="K577" s="6" t="str">
        <f t="shared" si="17"/>
        <v>May-2025</v>
      </c>
      <c r="L577" s="6">
        <f>_xlfn.XLOOKUP(B577,orders!A:A,orders!B:B)</f>
        <v>120</v>
      </c>
      <c r="M577" s="6" t="str">
        <f>_xlfn.XLOOKUP("C"&amp;TEXT(L577,"000"),customers!A:A,customers!B:B,"Not Found")</f>
        <v>Amit Y.</v>
      </c>
    </row>
    <row r="578" spans="1:13">
      <c r="A578">
        <v>577</v>
      </c>
      <c r="B578">
        <v>389</v>
      </c>
      <c r="C578">
        <v>24</v>
      </c>
      <c r="D578" s="4">
        <v>2</v>
      </c>
      <c r="E578">
        <f>_xlfn.XLOOKUP(C578,products!A:A,products!D:D)</f>
        <v>3788</v>
      </c>
      <c r="F578">
        <f t="shared" ref="F578:F641" si="18">D578*E578</f>
        <v>7576</v>
      </c>
      <c r="G578">
        <f>D578*(E578-_xlfn.XLOOKUP(C578,products!A:A,products!E:E))</f>
        <v>2954.6400000000003</v>
      </c>
      <c r="H578" s="6" t="str">
        <f>_xlfn.XLOOKUP(C578,products!A:A,products!C:C)</f>
        <v>Home Appliances</v>
      </c>
      <c r="I578" s="6" t="str">
        <f>_xlfn.XLOOKUP(C578,products!A:A,products!B:B)</f>
        <v>Iron</v>
      </c>
      <c r="J578" s="6">
        <f>_xlfn.XLOOKUP(B578,orders!A:A,orders!C:C)</f>
        <v>45792</v>
      </c>
      <c r="K578" s="6" t="str">
        <f t="shared" ref="K578:K641" si="19">TEXT(J578,"mmm-yyyy")</f>
        <v>May-2025</v>
      </c>
      <c r="L578" s="6">
        <f>_xlfn.XLOOKUP(B578,orders!A:A,orders!B:B)</f>
        <v>157</v>
      </c>
      <c r="M578" s="6" t="str">
        <f>_xlfn.XLOOKUP("C"&amp;TEXT(L578,"000"),customers!A:A,customers!B:B,"Not Found")</f>
        <v>Divya I.</v>
      </c>
    </row>
    <row r="579" spans="1:13">
      <c r="A579">
        <v>578</v>
      </c>
      <c r="B579">
        <v>389</v>
      </c>
      <c r="C579">
        <v>37</v>
      </c>
      <c r="D579" s="4">
        <v>3</v>
      </c>
      <c r="E579">
        <f>_xlfn.XLOOKUP(C579,products!A:A,products!D:D)</f>
        <v>5569</v>
      </c>
      <c r="F579">
        <f t="shared" si="18"/>
        <v>16707</v>
      </c>
      <c r="G579">
        <f>D579*(E579-_xlfn.XLOOKUP(C579,products!A:A,products!E:E))</f>
        <v>5763.9000000000005</v>
      </c>
      <c r="H579" s="6" t="str">
        <f>_xlfn.XLOOKUP(C579,products!A:A,products!C:C)</f>
        <v>Sports</v>
      </c>
      <c r="I579" s="6" t="str">
        <f>_xlfn.XLOOKUP(C579,products!A:A,products!B:B)</f>
        <v>Football</v>
      </c>
      <c r="J579" s="6">
        <f>_xlfn.XLOOKUP(B579,orders!A:A,orders!C:C)</f>
        <v>45792</v>
      </c>
      <c r="K579" s="6" t="str">
        <f t="shared" si="19"/>
        <v>May-2025</v>
      </c>
      <c r="L579" s="6">
        <f>_xlfn.XLOOKUP(B579,orders!A:A,orders!B:B)</f>
        <v>157</v>
      </c>
      <c r="M579" s="6" t="str">
        <f>_xlfn.XLOOKUP("C"&amp;TEXT(L579,"000"),customers!A:A,customers!B:B,"Not Found")</f>
        <v>Divya I.</v>
      </c>
    </row>
    <row r="580" spans="1:13">
      <c r="A580">
        <v>579</v>
      </c>
      <c r="B580">
        <v>390</v>
      </c>
      <c r="C580">
        <v>31</v>
      </c>
      <c r="D580" s="4">
        <v>3</v>
      </c>
      <c r="E580">
        <f>_xlfn.XLOOKUP(C580,products!A:A,products!D:D)</f>
        <v>4747</v>
      </c>
      <c r="F580">
        <f t="shared" si="18"/>
        <v>14241</v>
      </c>
      <c r="G580">
        <f>D580*(E580-_xlfn.XLOOKUP(C580,products!A:A,products!E:E))</f>
        <v>6194.82</v>
      </c>
      <c r="H580" s="6" t="str">
        <f>_xlfn.XLOOKUP(C580,products!A:A,products!C:C)</f>
        <v>Books</v>
      </c>
      <c r="I580" s="6" t="str">
        <f>_xlfn.XLOOKUP(C580,products!A:A,products!B:B)</f>
        <v>Book</v>
      </c>
      <c r="J580" s="6">
        <f>_xlfn.XLOOKUP(B580,orders!A:A,orders!C:C)</f>
        <v>45795</v>
      </c>
      <c r="K580" s="6" t="str">
        <f t="shared" si="19"/>
        <v>May-2025</v>
      </c>
      <c r="L580" s="6">
        <f>_xlfn.XLOOKUP(B580,orders!A:A,orders!B:B)</f>
        <v>194</v>
      </c>
      <c r="M580" s="6" t="str">
        <f>_xlfn.XLOOKUP("C"&amp;TEXT(L580,"000"),customers!A:A,customers!B:B,"Not Found")</f>
        <v>Priya G.</v>
      </c>
    </row>
    <row r="581" spans="1:13">
      <c r="A581">
        <v>580</v>
      </c>
      <c r="B581">
        <v>390</v>
      </c>
      <c r="C581">
        <v>44</v>
      </c>
      <c r="D581" s="4">
        <v>4</v>
      </c>
      <c r="E581">
        <f>_xlfn.XLOOKUP(C581,products!A:A,products!D:D)</f>
        <v>6528</v>
      </c>
      <c r="F581">
        <f t="shared" si="18"/>
        <v>26112</v>
      </c>
      <c r="G581">
        <f>D581*(E581-_xlfn.XLOOKUP(C581,products!A:A,products!E:E))</f>
        <v>10183.68</v>
      </c>
      <c r="H581" s="6" t="str">
        <f>_xlfn.XLOOKUP(C581,products!A:A,products!C:C)</f>
        <v>Beauty</v>
      </c>
      <c r="I581" s="6" t="str">
        <f>_xlfn.XLOOKUP(C581,products!A:A,products!B:B)</f>
        <v>Moisturizer</v>
      </c>
      <c r="J581" s="6">
        <f>_xlfn.XLOOKUP(B581,orders!A:A,orders!C:C)</f>
        <v>45795</v>
      </c>
      <c r="K581" s="6" t="str">
        <f t="shared" si="19"/>
        <v>May-2025</v>
      </c>
      <c r="L581" s="6">
        <f>_xlfn.XLOOKUP(B581,orders!A:A,orders!B:B)</f>
        <v>194</v>
      </c>
      <c r="M581" s="6" t="str">
        <f>_xlfn.XLOOKUP("C"&amp;TEXT(L581,"000"),customers!A:A,customers!B:B,"Not Found")</f>
        <v>Priya G.</v>
      </c>
    </row>
    <row r="582" spans="1:13">
      <c r="A582">
        <v>581</v>
      </c>
      <c r="B582">
        <v>391</v>
      </c>
      <c r="C582">
        <v>38</v>
      </c>
      <c r="D582" s="4">
        <v>4</v>
      </c>
      <c r="E582">
        <f>_xlfn.XLOOKUP(C582,products!A:A,products!D:D)</f>
        <v>5706</v>
      </c>
      <c r="F582">
        <f t="shared" si="18"/>
        <v>22824</v>
      </c>
      <c r="G582">
        <f>D582*(E582-_xlfn.XLOOKUP(C582,products!A:A,products!E:E))</f>
        <v>7531.92</v>
      </c>
      <c r="H582" s="6" t="str">
        <f>_xlfn.XLOOKUP(C582,products!A:A,products!C:C)</f>
        <v>Sports</v>
      </c>
      <c r="I582" s="6" t="str">
        <f>_xlfn.XLOOKUP(C582,products!A:A,products!B:B)</f>
        <v>Badminton Racket</v>
      </c>
      <c r="J582" s="6">
        <f>_xlfn.XLOOKUP(B582,orders!A:A,orders!C:C)</f>
        <v>45798</v>
      </c>
      <c r="K582" s="6" t="str">
        <f t="shared" si="19"/>
        <v>May-2025</v>
      </c>
      <c r="L582" s="6">
        <f>_xlfn.XLOOKUP(B582,orders!A:A,orders!B:B)</f>
        <v>231</v>
      </c>
      <c r="M582" s="6" t="str">
        <f>_xlfn.XLOOKUP("C"&amp;TEXT(L582,"000"),customers!A:A,customers!B:B,"Not Found")</f>
        <v>Swathi J.</v>
      </c>
    </row>
    <row r="583" spans="1:13">
      <c r="A583">
        <v>582</v>
      </c>
      <c r="B583">
        <v>391</v>
      </c>
      <c r="C583">
        <v>1</v>
      </c>
      <c r="D583" s="4">
        <v>1</v>
      </c>
      <c r="E583">
        <f>_xlfn.XLOOKUP(C583,products!A:A,products!D:D)</f>
        <v>637</v>
      </c>
      <c r="F583">
        <f t="shared" si="18"/>
        <v>637</v>
      </c>
      <c r="G583">
        <f>D583*(E583-_xlfn.XLOOKUP(C583,products!A:A,products!E:E))</f>
        <v>277.08999999999997</v>
      </c>
      <c r="H583" s="6" t="str">
        <f>_xlfn.XLOOKUP(C583,products!A:A,products!C:C)</f>
        <v>Electronics</v>
      </c>
      <c r="I583" s="6" t="str">
        <f>_xlfn.XLOOKUP(C583,products!A:A,products!B:B)</f>
        <v>Laptop</v>
      </c>
      <c r="J583" s="6">
        <f>_xlfn.XLOOKUP(B583,orders!A:A,orders!C:C)</f>
        <v>45798</v>
      </c>
      <c r="K583" s="6" t="str">
        <f t="shared" si="19"/>
        <v>May-2025</v>
      </c>
      <c r="L583" s="6">
        <f>_xlfn.XLOOKUP(B583,orders!A:A,orders!B:B)</f>
        <v>231</v>
      </c>
      <c r="M583" s="6" t="str">
        <f>_xlfn.XLOOKUP("C"&amp;TEXT(L583,"000"),customers!A:A,customers!B:B,"Not Found")</f>
        <v>Swathi J.</v>
      </c>
    </row>
    <row r="584" spans="1:13">
      <c r="A584">
        <v>583</v>
      </c>
      <c r="B584">
        <v>392</v>
      </c>
      <c r="C584">
        <v>45</v>
      </c>
      <c r="D584" s="4">
        <v>1</v>
      </c>
      <c r="E584">
        <f>_xlfn.XLOOKUP(C584,products!A:A,products!D:D)</f>
        <v>6665</v>
      </c>
      <c r="F584">
        <f t="shared" si="18"/>
        <v>6665</v>
      </c>
      <c r="G584">
        <f>D584*(E584-_xlfn.XLOOKUP(C584,products!A:A,products!E:E))</f>
        <v>2499.38</v>
      </c>
      <c r="H584" s="6" t="str">
        <f>_xlfn.XLOOKUP(C584,products!A:A,products!C:C)</f>
        <v>Beauty</v>
      </c>
      <c r="I584" s="6" t="str">
        <f>_xlfn.XLOOKUP(C584,products!A:A,products!B:B)</f>
        <v>Sunscreen</v>
      </c>
      <c r="J584" s="6">
        <f>_xlfn.XLOOKUP(B584,orders!A:A,orders!C:C)</f>
        <v>45801</v>
      </c>
      <c r="K584" s="6" t="str">
        <f t="shared" si="19"/>
        <v>May-2025</v>
      </c>
      <c r="L584" s="6">
        <f>_xlfn.XLOOKUP(B584,orders!A:A,orders!B:B)</f>
        <v>268</v>
      </c>
      <c r="M584" s="6" t="str">
        <f>_xlfn.XLOOKUP("C"&amp;TEXT(L584,"000"),customers!A:A,customers!B:B,"Not Found")</f>
        <v>Arjun C.</v>
      </c>
    </row>
    <row r="585" spans="1:13">
      <c r="A585">
        <v>584</v>
      </c>
      <c r="B585">
        <v>392</v>
      </c>
      <c r="C585">
        <v>8</v>
      </c>
      <c r="D585" s="4">
        <v>2</v>
      </c>
      <c r="E585">
        <f>_xlfn.XLOOKUP(C585,products!A:A,products!D:D)</f>
        <v>1596</v>
      </c>
      <c r="F585">
        <f t="shared" si="18"/>
        <v>3192</v>
      </c>
      <c r="G585">
        <f>D585*(E585-_xlfn.XLOOKUP(C585,products!A:A,products!E:E))</f>
        <v>1053.3600000000001</v>
      </c>
      <c r="H585" s="6" t="str">
        <f>_xlfn.XLOOKUP(C585,products!A:A,products!C:C)</f>
        <v>Electronics</v>
      </c>
      <c r="I585" s="6" t="str">
        <f>_xlfn.XLOOKUP(C585,products!A:A,products!B:B)</f>
        <v>Tablet</v>
      </c>
      <c r="J585" s="6">
        <f>_xlfn.XLOOKUP(B585,orders!A:A,orders!C:C)</f>
        <v>45801</v>
      </c>
      <c r="K585" s="6" t="str">
        <f t="shared" si="19"/>
        <v>May-2025</v>
      </c>
      <c r="L585" s="6">
        <f>_xlfn.XLOOKUP(B585,orders!A:A,orders!B:B)</f>
        <v>268</v>
      </c>
      <c r="M585" s="6" t="str">
        <f>_xlfn.XLOOKUP("C"&amp;TEXT(L585,"000"),customers!A:A,customers!B:B,"Not Found")</f>
        <v>Arjun C.</v>
      </c>
    </row>
    <row r="586" spans="1:13">
      <c r="A586">
        <v>585</v>
      </c>
      <c r="B586">
        <v>393</v>
      </c>
      <c r="C586">
        <v>2</v>
      </c>
      <c r="D586" s="4">
        <v>2</v>
      </c>
      <c r="E586">
        <f>_xlfn.XLOOKUP(C586,products!A:A,products!D:D)</f>
        <v>774</v>
      </c>
      <c r="F586">
        <f t="shared" si="18"/>
        <v>1548</v>
      </c>
      <c r="G586">
        <f>D586*(E586-_xlfn.XLOOKUP(C586,products!A:A,products!E:E))</f>
        <v>650.16</v>
      </c>
      <c r="H586" s="6" t="str">
        <f>_xlfn.XLOOKUP(C586,products!A:A,products!C:C)</f>
        <v>Electronics</v>
      </c>
      <c r="I586" s="6" t="str">
        <f>_xlfn.XLOOKUP(C586,products!A:A,products!B:B)</f>
        <v>Mobile</v>
      </c>
      <c r="J586" s="6">
        <f>_xlfn.XLOOKUP(B586,orders!A:A,orders!C:C)</f>
        <v>45804</v>
      </c>
      <c r="K586" s="6" t="str">
        <f t="shared" si="19"/>
        <v>May-2025</v>
      </c>
      <c r="L586" s="6">
        <f>_xlfn.XLOOKUP(B586,orders!A:A,orders!B:B)</f>
        <v>305</v>
      </c>
      <c r="M586" s="6" t="str">
        <f>_xlfn.XLOOKUP("C"&amp;TEXT(L586,"000"),customers!A:A,customers!B:B,"Not Found")</f>
        <v>Kiran N.</v>
      </c>
    </row>
    <row r="587" spans="1:13">
      <c r="A587">
        <v>586</v>
      </c>
      <c r="B587">
        <v>393</v>
      </c>
      <c r="C587">
        <v>15</v>
      </c>
      <c r="D587" s="4">
        <v>3</v>
      </c>
      <c r="E587">
        <f>_xlfn.XLOOKUP(C587,products!A:A,products!D:D)</f>
        <v>2555</v>
      </c>
      <c r="F587">
        <f t="shared" si="18"/>
        <v>7665</v>
      </c>
      <c r="G587">
        <f>D587*(E587-_xlfn.XLOOKUP(C587,products!A:A,products!E:E))</f>
        <v>2874.3599999999997</v>
      </c>
      <c r="H587" s="6" t="str">
        <f>_xlfn.XLOOKUP(C587,products!A:A,products!C:C)</f>
        <v>Fashion</v>
      </c>
      <c r="I587" s="6" t="str">
        <f>_xlfn.XLOOKUP(C587,products!A:A,products!B:B)</f>
        <v>Shoes</v>
      </c>
      <c r="J587" s="6">
        <f>_xlfn.XLOOKUP(B587,orders!A:A,orders!C:C)</f>
        <v>45804</v>
      </c>
      <c r="K587" s="6" t="str">
        <f t="shared" si="19"/>
        <v>May-2025</v>
      </c>
      <c r="L587" s="6">
        <f>_xlfn.XLOOKUP(B587,orders!A:A,orders!B:B)</f>
        <v>305</v>
      </c>
      <c r="M587" s="6" t="str">
        <f>_xlfn.XLOOKUP("C"&amp;TEXT(L587,"000"),customers!A:A,customers!B:B,"Not Found")</f>
        <v>Kiran N.</v>
      </c>
    </row>
    <row r="588" spans="1:13">
      <c r="A588">
        <v>587</v>
      </c>
      <c r="B588">
        <v>394</v>
      </c>
      <c r="C588">
        <v>9</v>
      </c>
      <c r="D588" s="4">
        <v>3</v>
      </c>
      <c r="E588">
        <f>_xlfn.XLOOKUP(C588,products!A:A,products!D:D)</f>
        <v>1733</v>
      </c>
      <c r="F588">
        <f t="shared" si="18"/>
        <v>5199</v>
      </c>
      <c r="G588">
        <f>D588*(E588-_xlfn.XLOOKUP(C588,products!A:A,products!E:E))</f>
        <v>1637.6700000000003</v>
      </c>
      <c r="H588" s="6" t="str">
        <f>_xlfn.XLOOKUP(C588,products!A:A,products!C:C)</f>
        <v>Electronics</v>
      </c>
      <c r="I588" s="6" t="str">
        <f>_xlfn.XLOOKUP(C588,products!A:A,products!B:B)</f>
        <v>Power Bank</v>
      </c>
      <c r="J588" s="6">
        <f>_xlfn.XLOOKUP(B588,orders!A:A,orders!C:C)</f>
        <v>45807</v>
      </c>
      <c r="K588" s="6" t="str">
        <f t="shared" si="19"/>
        <v>May-2025</v>
      </c>
      <c r="L588" s="6">
        <f>_xlfn.XLOOKUP(B588,orders!A:A,orders!B:B)</f>
        <v>342</v>
      </c>
      <c r="M588" s="6" t="str">
        <f>_xlfn.XLOOKUP("C"&amp;TEXT(L588,"000"),customers!A:A,customers!B:B,"Not Found")</f>
        <v>Pooja J.</v>
      </c>
    </row>
    <row r="589" spans="1:13">
      <c r="A589">
        <v>588</v>
      </c>
      <c r="B589">
        <v>394</v>
      </c>
      <c r="C589">
        <v>22</v>
      </c>
      <c r="D589" s="4">
        <v>4</v>
      </c>
      <c r="E589">
        <f>_xlfn.XLOOKUP(C589,products!A:A,products!D:D)</f>
        <v>3514</v>
      </c>
      <c r="F589">
        <f t="shared" si="18"/>
        <v>14056</v>
      </c>
      <c r="G589">
        <f>D589*(E589-_xlfn.XLOOKUP(C589,products!A:A,products!E:E))</f>
        <v>5903.52</v>
      </c>
      <c r="H589" s="6" t="str">
        <f>_xlfn.XLOOKUP(C589,products!A:A,products!C:C)</f>
        <v>Home Appliances</v>
      </c>
      <c r="I589" s="6" t="str">
        <f>_xlfn.XLOOKUP(C589,products!A:A,products!B:B)</f>
        <v>Microwave</v>
      </c>
      <c r="J589" s="6">
        <f>_xlfn.XLOOKUP(B589,orders!A:A,orders!C:C)</f>
        <v>45807</v>
      </c>
      <c r="K589" s="6" t="str">
        <f t="shared" si="19"/>
        <v>May-2025</v>
      </c>
      <c r="L589" s="6">
        <f>_xlfn.XLOOKUP(B589,orders!A:A,orders!B:B)</f>
        <v>342</v>
      </c>
      <c r="M589" s="6" t="str">
        <f>_xlfn.XLOOKUP("C"&amp;TEXT(L589,"000"),customers!A:A,customers!B:B,"Not Found")</f>
        <v>Pooja J.</v>
      </c>
    </row>
    <row r="590" spans="1:13">
      <c r="A590">
        <v>589</v>
      </c>
      <c r="B590">
        <v>395</v>
      </c>
      <c r="C590">
        <v>16</v>
      </c>
      <c r="D590" s="4">
        <v>4</v>
      </c>
      <c r="E590">
        <f>_xlfn.XLOOKUP(C590,products!A:A,products!D:D)</f>
        <v>2692</v>
      </c>
      <c r="F590">
        <f t="shared" si="18"/>
        <v>10768</v>
      </c>
      <c r="G590">
        <f>D590*(E590-_xlfn.XLOOKUP(C590,products!A:A,products!E:E))</f>
        <v>3876.4799999999996</v>
      </c>
      <c r="H590" s="6" t="str">
        <f>_xlfn.XLOOKUP(C590,products!A:A,products!C:C)</f>
        <v>Fashion</v>
      </c>
      <c r="I590" s="6" t="str">
        <f>_xlfn.XLOOKUP(C590,products!A:A,products!B:B)</f>
        <v>Saree</v>
      </c>
      <c r="J590" s="6">
        <f>_xlfn.XLOOKUP(B590,orders!A:A,orders!C:C)</f>
        <v>45810</v>
      </c>
      <c r="K590" s="6" t="str">
        <f t="shared" si="19"/>
        <v>Jun-2025</v>
      </c>
      <c r="L590" s="6">
        <f>_xlfn.XLOOKUP(B590,orders!A:A,orders!B:B)</f>
        <v>379</v>
      </c>
      <c r="M590" s="6" t="str">
        <f>_xlfn.XLOOKUP("C"&amp;TEXT(L590,"000"),customers!A:A,customers!B:B,"Not Found")</f>
        <v>Divya J.</v>
      </c>
    </row>
    <row r="591" spans="1:13">
      <c r="A591">
        <v>590</v>
      </c>
      <c r="B591">
        <v>395</v>
      </c>
      <c r="C591">
        <v>29</v>
      </c>
      <c r="D591" s="4">
        <v>1</v>
      </c>
      <c r="E591">
        <f>_xlfn.XLOOKUP(C591,products!A:A,products!D:D)</f>
        <v>4473</v>
      </c>
      <c r="F591">
        <f t="shared" si="18"/>
        <v>4473</v>
      </c>
      <c r="G591">
        <f>D591*(E591-_xlfn.XLOOKUP(C591,products!A:A,products!E:E))</f>
        <v>1408.9899999999998</v>
      </c>
      <c r="H591" s="6" t="str">
        <f>_xlfn.XLOOKUP(C591,products!A:A,products!C:C)</f>
        <v>Furniture</v>
      </c>
      <c r="I591" s="6" t="str">
        <f>_xlfn.XLOOKUP(C591,products!A:A,products!B:B)</f>
        <v>Chair</v>
      </c>
      <c r="J591" s="6">
        <f>_xlfn.XLOOKUP(B591,orders!A:A,orders!C:C)</f>
        <v>45810</v>
      </c>
      <c r="K591" s="6" t="str">
        <f t="shared" si="19"/>
        <v>Jun-2025</v>
      </c>
      <c r="L591" s="6">
        <f>_xlfn.XLOOKUP(B591,orders!A:A,orders!B:B)</f>
        <v>379</v>
      </c>
      <c r="M591" s="6" t="str">
        <f>_xlfn.XLOOKUP("C"&amp;TEXT(L591,"000"),customers!A:A,customers!B:B,"Not Found")</f>
        <v>Divya J.</v>
      </c>
    </row>
    <row r="592" spans="1:13">
      <c r="A592">
        <v>591</v>
      </c>
      <c r="B592">
        <v>396</v>
      </c>
      <c r="C592">
        <v>23</v>
      </c>
      <c r="D592" s="4">
        <v>1</v>
      </c>
      <c r="E592">
        <f>_xlfn.XLOOKUP(C592,products!A:A,products!D:D)</f>
        <v>3651</v>
      </c>
      <c r="F592">
        <f t="shared" si="18"/>
        <v>3651</v>
      </c>
      <c r="G592">
        <f>D592*(E592-_xlfn.XLOOKUP(C592,products!A:A,products!E:E))</f>
        <v>1478.65</v>
      </c>
      <c r="H592" s="6" t="str">
        <f>_xlfn.XLOOKUP(C592,products!A:A,products!C:C)</f>
        <v>Home Appliances</v>
      </c>
      <c r="I592" s="6" t="str">
        <f>_xlfn.XLOOKUP(C592,products!A:A,products!B:B)</f>
        <v>Fan</v>
      </c>
      <c r="J592" s="6">
        <f>_xlfn.XLOOKUP(B592,orders!A:A,orders!C:C)</f>
        <v>45813</v>
      </c>
      <c r="K592" s="6" t="str">
        <f t="shared" si="19"/>
        <v>Jun-2025</v>
      </c>
      <c r="L592" s="6">
        <f>_xlfn.XLOOKUP(B592,orders!A:A,orders!B:B)</f>
        <v>416</v>
      </c>
      <c r="M592" s="6" t="str">
        <f>_xlfn.XLOOKUP("C"&amp;TEXT(L592,"000"),customers!A:A,customers!B:B,"Not Found")</f>
        <v>Meena E.</v>
      </c>
    </row>
    <row r="593" spans="1:13">
      <c r="A593">
        <v>592</v>
      </c>
      <c r="B593">
        <v>396</v>
      </c>
      <c r="C593">
        <v>36</v>
      </c>
      <c r="D593" s="4">
        <v>2</v>
      </c>
      <c r="E593">
        <f>_xlfn.XLOOKUP(C593,products!A:A,products!D:D)</f>
        <v>5432</v>
      </c>
      <c r="F593">
        <f t="shared" si="18"/>
        <v>10864</v>
      </c>
      <c r="G593">
        <f>D593*(E593-_xlfn.XLOOKUP(C593,products!A:A,products!E:E))</f>
        <v>3911.04</v>
      </c>
      <c r="H593" s="6" t="str">
        <f>_xlfn.XLOOKUP(C593,products!A:A,products!C:C)</f>
        <v>Sports</v>
      </c>
      <c r="I593" s="6" t="str">
        <f>_xlfn.XLOOKUP(C593,products!A:A,products!B:B)</f>
        <v>Cricket Bat</v>
      </c>
      <c r="J593" s="6">
        <f>_xlfn.XLOOKUP(B593,orders!A:A,orders!C:C)</f>
        <v>45813</v>
      </c>
      <c r="K593" s="6" t="str">
        <f t="shared" si="19"/>
        <v>Jun-2025</v>
      </c>
      <c r="L593" s="6">
        <f>_xlfn.XLOOKUP(B593,orders!A:A,orders!B:B)</f>
        <v>416</v>
      </c>
      <c r="M593" s="6" t="str">
        <f>_xlfn.XLOOKUP("C"&amp;TEXT(L593,"000"),customers!A:A,customers!B:B,"Not Found")</f>
        <v>Meena E.</v>
      </c>
    </row>
    <row r="594" spans="1:13">
      <c r="A594">
        <v>593</v>
      </c>
      <c r="B594">
        <v>397</v>
      </c>
      <c r="C594">
        <v>30</v>
      </c>
      <c r="D594" s="4">
        <v>2</v>
      </c>
      <c r="E594">
        <f>_xlfn.XLOOKUP(C594,products!A:A,products!D:D)</f>
        <v>4610</v>
      </c>
      <c r="F594">
        <f t="shared" si="18"/>
        <v>9220</v>
      </c>
      <c r="G594">
        <f>D594*(E594-_xlfn.XLOOKUP(C594,products!A:A,products!E:E))</f>
        <v>4149</v>
      </c>
      <c r="H594" s="6" t="str">
        <f>_xlfn.XLOOKUP(C594,products!A:A,products!C:C)</f>
        <v>Furniture</v>
      </c>
      <c r="I594" s="6" t="str">
        <f>_xlfn.XLOOKUP(C594,products!A:A,products!B:B)</f>
        <v>Table</v>
      </c>
      <c r="J594" s="6">
        <f>_xlfn.XLOOKUP(B594,orders!A:A,orders!C:C)</f>
        <v>45816</v>
      </c>
      <c r="K594" s="6" t="str">
        <f t="shared" si="19"/>
        <v>Jun-2025</v>
      </c>
      <c r="L594" s="6">
        <f>_xlfn.XLOOKUP(B594,orders!A:A,orders!B:B)</f>
        <v>453</v>
      </c>
      <c r="M594" s="6" t="str">
        <f>_xlfn.XLOOKUP("C"&amp;TEXT(L594,"000"),customers!A:A,customers!B:B,"Not Found")</f>
        <v>Vikram J.</v>
      </c>
    </row>
    <row r="595" spans="1:13">
      <c r="A595">
        <v>594</v>
      </c>
      <c r="B595">
        <v>397</v>
      </c>
      <c r="C595">
        <v>43</v>
      </c>
      <c r="D595" s="4">
        <v>3</v>
      </c>
      <c r="E595">
        <f>_xlfn.XLOOKUP(C595,products!A:A,products!D:D)</f>
        <v>6391</v>
      </c>
      <c r="F595">
        <f t="shared" si="18"/>
        <v>19173</v>
      </c>
      <c r="G595">
        <f>D595*(E595-_xlfn.XLOOKUP(C595,products!A:A,products!E:E))</f>
        <v>7765.0499999999993</v>
      </c>
      <c r="H595" s="6" t="str">
        <f>_xlfn.XLOOKUP(C595,products!A:A,products!C:C)</f>
        <v>Beauty</v>
      </c>
      <c r="I595" s="6" t="str">
        <f>_xlfn.XLOOKUP(C595,products!A:A,products!B:B)</f>
        <v>Perfume</v>
      </c>
      <c r="J595" s="6">
        <f>_xlfn.XLOOKUP(B595,orders!A:A,orders!C:C)</f>
        <v>45816</v>
      </c>
      <c r="K595" s="6" t="str">
        <f t="shared" si="19"/>
        <v>Jun-2025</v>
      </c>
      <c r="L595" s="6">
        <f>_xlfn.XLOOKUP(B595,orders!A:A,orders!B:B)</f>
        <v>453</v>
      </c>
      <c r="M595" s="6" t="str">
        <f>_xlfn.XLOOKUP("C"&amp;TEXT(L595,"000"),customers!A:A,customers!B:B,"Not Found")</f>
        <v>Vikram J.</v>
      </c>
    </row>
    <row r="596" spans="1:13">
      <c r="A596">
        <v>595</v>
      </c>
      <c r="B596">
        <v>398</v>
      </c>
      <c r="C596">
        <v>37</v>
      </c>
      <c r="D596" s="4">
        <v>3</v>
      </c>
      <c r="E596">
        <f>_xlfn.XLOOKUP(C596,products!A:A,products!D:D)</f>
        <v>5569</v>
      </c>
      <c r="F596">
        <f t="shared" si="18"/>
        <v>16707</v>
      </c>
      <c r="G596">
        <f>D596*(E596-_xlfn.XLOOKUP(C596,products!A:A,products!E:E))</f>
        <v>5763.9000000000005</v>
      </c>
      <c r="H596" s="6" t="str">
        <f>_xlfn.XLOOKUP(C596,products!A:A,products!C:C)</f>
        <v>Sports</v>
      </c>
      <c r="I596" s="6" t="str">
        <f>_xlfn.XLOOKUP(C596,products!A:A,products!B:B)</f>
        <v>Football</v>
      </c>
      <c r="J596" s="6">
        <f>_xlfn.XLOOKUP(B596,orders!A:A,orders!C:C)</f>
        <v>45819</v>
      </c>
      <c r="K596" s="6" t="str">
        <f t="shared" si="19"/>
        <v>Jun-2025</v>
      </c>
      <c r="L596" s="6">
        <f>_xlfn.XLOOKUP(B596,orders!A:A,orders!B:B)</f>
        <v>490</v>
      </c>
      <c r="M596" s="6" t="str">
        <f>_xlfn.XLOOKUP("C"&amp;TEXT(L596,"000"),customers!A:A,customers!B:B,"Not Found")</f>
        <v>Rahul M.</v>
      </c>
    </row>
    <row r="597" spans="1:13">
      <c r="A597">
        <v>596</v>
      </c>
      <c r="B597">
        <v>398</v>
      </c>
      <c r="C597">
        <v>50</v>
      </c>
      <c r="D597" s="4">
        <v>4</v>
      </c>
      <c r="E597">
        <f>_xlfn.XLOOKUP(C597,products!A:A,products!D:D)</f>
        <v>7350</v>
      </c>
      <c r="F597">
        <f t="shared" si="18"/>
        <v>29400</v>
      </c>
      <c r="G597">
        <f>D597*(E597-_xlfn.XLOOKUP(C597,products!A:A,products!E:E))</f>
        <v>13230</v>
      </c>
      <c r="H597" s="6" t="str">
        <f>_xlfn.XLOOKUP(C597,products!A:A,products!C:C)</f>
        <v>Toys</v>
      </c>
      <c r="I597" s="6" t="str">
        <f>_xlfn.XLOOKUP(C597,products!A:A,products!B:B)</f>
        <v>Building Blocks</v>
      </c>
      <c r="J597" s="6">
        <f>_xlfn.XLOOKUP(B597,orders!A:A,orders!C:C)</f>
        <v>45819</v>
      </c>
      <c r="K597" s="6" t="str">
        <f t="shared" si="19"/>
        <v>Jun-2025</v>
      </c>
      <c r="L597" s="6">
        <f>_xlfn.XLOOKUP(B597,orders!A:A,orders!B:B)</f>
        <v>490</v>
      </c>
      <c r="M597" s="6" t="str">
        <f>_xlfn.XLOOKUP("C"&amp;TEXT(L597,"000"),customers!A:A,customers!B:B,"Not Found")</f>
        <v>Rahul M.</v>
      </c>
    </row>
    <row r="598" spans="1:13">
      <c r="A598">
        <v>597</v>
      </c>
      <c r="B598">
        <v>399</v>
      </c>
      <c r="C598">
        <v>44</v>
      </c>
      <c r="D598" s="4">
        <v>4</v>
      </c>
      <c r="E598">
        <f>_xlfn.XLOOKUP(C598,products!A:A,products!D:D)</f>
        <v>6528</v>
      </c>
      <c r="F598">
        <f t="shared" si="18"/>
        <v>26112</v>
      </c>
      <c r="G598">
        <f>D598*(E598-_xlfn.XLOOKUP(C598,products!A:A,products!E:E))</f>
        <v>10183.68</v>
      </c>
      <c r="H598" s="6" t="str">
        <f>_xlfn.XLOOKUP(C598,products!A:A,products!C:C)</f>
        <v>Beauty</v>
      </c>
      <c r="I598" s="6" t="str">
        <f>_xlfn.XLOOKUP(C598,products!A:A,products!B:B)</f>
        <v>Moisturizer</v>
      </c>
      <c r="J598" s="6">
        <f>_xlfn.XLOOKUP(B598,orders!A:A,orders!C:C)</f>
        <v>45822</v>
      </c>
      <c r="K598" s="6" t="str">
        <f t="shared" si="19"/>
        <v>Jun-2025</v>
      </c>
      <c r="L598" s="6">
        <f>_xlfn.XLOOKUP(B598,orders!A:A,orders!B:B)</f>
        <v>27</v>
      </c>
      <c r="M598" s="6" t="str">
        <f>_xlfn.XLOOKUP("C"&amp;TEXT(L598,"000"),customers!A:A,customers!B:B,"Not Found")</f>
        <v>Lakshmi Y.</v>
      </c>
    </row>
    <row r="599" spans="1:13">
      <c r="A599">
        <v>598</v>
      </c>
      <c r="B599">
        <v>399</v>
      </c>
      <c r="C599">
        <v>7</v>
      </c>
      <c r="D599" s="4">
        <v>1</v>
      </c>
      <c r="E599">
        <f>_xlfn.XLOOKUP(C599,products!A:A,products!D:D)</f>
        <v>1459</v>
      </c>
      <c r="F599">
        <f t="shared" si="18"/>
        <v>1459</v>
      </c>
      <c r="G599">
        <f>D599*(E599-_xlfn.XLOOKUP(C599,products!A:A,products!E:E))</f>
        <v>503.35</v>
      </c>
      <c r="H599" s="6" t="str">
        <f>_xlfn.XLOOKUP(C599,products!A:A,products!C:C)</f>
        <v>Electronics</v>
      </c>
      <c r="I599" s="6" t="str">
        <f>_xlfn.XLOOKUP(C599,products!A:A,products!B:B)</f>
        <v>Monitor</v>
      </c>
      <c r="J599" s="6">
        <f>_xlfn.XLOOKUP(B599,orders!A:A,orders!C:C)</f>
        <v>45822</v>
      </c>
      <c r="K599" s="6" t="str">
        <f t="shared" si="19"/>
        <v>Jun-2025</v>
      </c>
      <c r="L599" s="6">
        <f>_xlfn.XLOOKUP(B599,orders!A:A,orders!B:B)</f>
        <v>27</v>
      </c>
      <c r="M599" s="6" t="str">
        <f>_xlfn.XLOOKUP("C"&amp;TEXT(L599,"000"),customers!A:A,customers!B:B,"Not Found")</f>
        <v>Lakshmi Y.</v>
      </c>
    </row>
    <row r="600" spans="1:13">
      <c r="A600">
        <v>599</v>
      </c>
      <c r="B600">
        <v>400</v>
      </c>
      <c r="C600">
        <v>1</v>
      </c>
      <c r="D600" s="4">
        <v>1</v>
      </c>
      <c r="E600">
        <f>_xlfn.XLOOKUP(C600,products!A:A,products!D:D)</f>
        <v>637</v>
      </c>
      <c r="F600">
        <f t="shared" si="18"/>
        <v>637</v>
      </c>
      <c r="G600">
        <f>D600*(E600-_xlfn.XLOOKUP(C600,products!A:A,products!E:E))</f>
        <v>277.08999999999997</v>
      </c>
      <c r="H600" s="6" t="str">
        <f>_xlfn.XLOOKUP(C600,products!A:A,products!C:C)</f>
        <v>Electronics</v>
      </c>
      <c r="I600" s="6" t="str">
        <f>_xlfn.XLOOKUP(C600,products!A:A,products!B:B)</f>
        <v>Laptop</v>
      </c>
      <c r="J600" s="6">
        <f>_xlfn.XLOOKUP(B600,orders!A:A,orders!C:C)</f>
        <v>45825</v>
      </c>
      <c r="K600" s="6" t="str">
        <f t="shared" si="19"/>
        <v>Jun-2025</v>
      </c>
      <c r="L600" s="6">
        <f>_xlfn.XLOOKUP(B600,orders!A:A,orders!B:B)</f>
        <v>64</v>
      </c>
      <c r="M600" s="6" t="str">
        <f>_xlfn.XLOOKUP("C"&amp;TEXT(L600,"000"),customers!A:A,customers!B:B,"Not Found")</f>
        <v>Amit E.</v>
      </c>
    </row>
    <row r="601" spans="1:13">
      <c r="A601">
        <v>600</v>
      </c>
      <c r="B601">
        <v>400</v>
      </c>
      <c r="C601">
        <v>14</v>
      </c>
      <c r="D601" s="4">
        <v>2</v>
      </c>
      <c r="E601">
        <f>_xlfn.XLOOKUP(C601,products!A:A,products!D:D)</f>
        <v>2418</v>
      </c>
      <c r="F601">
        <f t="shared" si="18"/>
        <v>4836</v>
      </c>
      <c r="G601">
        <f>D601*(E601-_xlfn.XLOOKUP(C601,products!A:A,products!E:E))</f>
        <v>1886.04</v>
      </c>
      <c r="H601" s="6" t="str">
        <f>_xlfn.XLOOKUP(C601,products!A:A,products!C:C)</f>
        <v>Fashion</v>
      </c>
      <c r="I601" s="6" t="str">
        <f>_xlfn.XLOOKUP(C601,products!A:A,products!B:B)</f>
        <v>Jacket</v>
      </c>
      <c r="J601" s="6">
        <f>_xlfn.XLOOKUP(B601,orders!A:A,orders!C:C)</f>
        <v>45825</v>
      </c>
      <c r="K601" s="6" t="str">
        <f t="shared" si="19"/>
        <v>Jun-2025</v>
      </c>
      <c r="L601" s="6">
        <f>_xlfn.XLOOKUP(B601,orders!A:A,orders!B:B)</f>
        <v>64</v>
      </c>
      <c r="M601" s="6" t="str">
        <f>_xlfn.XLOOKUP("C"&amp;TEXT(L601,"000"),customers!A:A,customers!B:B,"Not Found")</f>
        <v>Amit E.</v>
      </c>
    </row>
    <row r="602" spans="1:13">
      <c r="A602">
        <v>601</v>
      </c>
      <c r="B602">
        <v>401</v>
      </c>
      <c r="C602">
        <v>8</v>
      </c>
      <c r="D602" s="4">
        <v>2</v>
      </c>
      <c r="E602">
        <f>_xlfn.XLOOKUP(C602,products!A:A,products!D:D)</f>
        <v>1596</v>
      </c>
      <c r="F602">
        <f t="shared" si="18"/>
        <v>3192</v>
      </c>
      <c r="G602">
        <f>D602*(E602-_xlfn.XLOOKUP(C602,products!A:A,products!E:E))</f>
        <v>1053.3600000000001</v>
      </c>
      <c r="H602" s="6" t="str">
        <f>_xlfn.XLOOKUP(C602,products!A:A,products!C:C)</f>
        <v>Electronics</v>
      </c>
      <c r="I602" s="6" t="str">
        <f>_xlfn.XLOOKUP(C602,products!A:A,products!B:B)</f>
        <v>Tablet</v>
      </c>
      <c r="J602" s="6">
        <f>_xlfn.XLOOKUP(B602,orders!A:A,orders!C:C)</f>
        <v>45828</v>
      </c>
      <c r="K602" s="6" t="str">
        <f t="shared" si="19"/>
        <v>Jun-2025</v>
      </c>
      <c r="L602" s="6">
        <f>_xlfn.XLOOKUP(B602,orders!A:A,orders!B:B)</f>
        <v>101</v>
      </c>
      <c r="M602" s="6" t="str">
        <f>_xlfn.XLOOKUP("C"&amp;TEXT(L602,"000"),customers!A:A,customers!B:B,"Not Found")</f>
        <v>Kavya Z.</v>
      </c>
    </row>
    <row r="603" spans="1:13">
      <c r="A603">
        <v>602</v>
      </c>
      <c r="B603">
        <v>401</v>
      </c>
      <c r="C603">
        <v>21</v>
      </c>
      <c r="D603" s="4">
        <v>3</v>
      </c>
      <c r="E603">
        <f>_xlfn.XLOOKUP(C603,products!A:A,products!D:D)</f>
        <v>3377</v>
      </c>
      <c r="F603">
        <f t="shared" si="18"/>
        <v>10131</v>
      </c>
      <c r="G603">
        <f>D603*(E603-_xlfn.XLOOKUP(C603,products!A:A,products!E:E))</f>
        <v>4406.97</v>
      </c>
      <c r="H603" s="6" t="str">
        <f>_xlfn.XLOOKUP(C603,products!A:A,products!C:C)</f>
        <v>Home Appliances</v>
      </c>
      <c r="I603" s="6" t="str">
        <f>_xlfn.XLOOKUP(C603,products!A:A,products!B:B)</f>
        <v>Mixer</v>
      </c>
      <c r="J603" s="6">
        <f>_xlfn.XLOOKUP(B603,orders!A:A,orders!C:C)</f>
        <v>45828</v>
      </c>
      <c r="K603" s="6" t="str">
        <f t="shared" si="19"/>
        <v>Jun-2025</v>
      </c>
      <c r="L603" s="6">
        <f>_xlfn.XLOOKUP(B603,orders!A:A,orders!B:B)</f>
        <v>101</v>
      </c>
      <c r="M603" s="6" t="str">
        <f>_xlfn.XLOOKUP("C"&amp;TEXT(L603,"000"),customers!A:A,customers!B:B,"Not Found")</f>
        <v>Kavya Z.</v>
      </c>
    </row>
    <row r="604" spans="1:13">
      <c r="A604">
        <v>603</v>
      </c>
      <c r="B604">
        <v>402</v>
      </c>
      <c r="C604">
        <v>15</v>
      </c>
      <c r="D604" s="4">
        <v>3</v>
      </c>
      <c r="E604">
        <f>_xlfn.XLOOKUP(C604,products!A:A,products!D:D)</f>
        <v>2555</v>
      </c>
      <c r="F604">
        <f t="shared" si="18"/>
        <v>7665</v>
      </c>
      <c r="G604">
        <f>D604*(E604-_xlfn.XLOOKUP(C604,products!A:A,products!E:E))</f>
        <v>2874.3599999999997</v>
      </c>
      <c r="H604" s="6" t="str">
        <f>_xlfn.XLOOKUP(C604,products!A:A,products!C:C)</f>
        <v>Fashion</v>
      </c>
      <c r="I604" s="6" t="str">
        <f>_xlfn.XLOOKUP(C604,products!A:A,products!B:B)</f>
        <v>Shoes</v>
      </c>
      <c r="J604" s="6">
        <f>_xlfn.XLOOKUP(B604,orders!A:A,orders!C:C)</f>
        <v>45831</v>
      </c>
      <c r="K604" s="6" t="str">
        <f t="shared" si="19"/>
        <v>Jun-2025</v>
      </c>
      <c r="L604" s="6">
        <f>_xlfn.XLOOKUP(B604,orders!A:A,orders!B:B)</f>
        <v>138</v>
      </c>
      <c r="M604" s="6" t="str">
        <f>_xlfn.XLOOKUP("C"&amp;TEXT(L604,"000"),customers!A:A,customers!B:B,"Not Found")</f>
        <v>Kiran S.</v>
      </c>
    </row>
    <row r="605" spans="1:13">
      <c r="A605">
        <v>604</v>
      </c>
      <c r="B605">
        <v>402</v>
      </c>
      <c r="C605">
        <v>28</v>
      </c>
      <c r="D605" s="4">
        <v>4</v>
      </c>
      <c r="E605">
        <f>_xlfn.XLOOKUP(C605,products!A:A,products!D:D)</f>
        <v>4336</v>
      </c>
      <c r="F605">
        <f t="shared" si="18"/>
        <v>17344</v>
      </c>
      <c r="G605">
        <f>D605*(E605-_xlfn.XLOOKUP(C605,products!A:A,products!E:E))</f>
        <v>5723.52</v>
      </c>
      <c r="H605" s="6" t="str">
        <f>_xlfn.XLOOKUP(C605,products!A:A,products!C:C)</f>
        <v>Home &amp; Kitchen</v>
      </c>
      <c r="I605" s="6" t="str">
        <f>_xlfn.XLOOKUP(C605,products!A:A,products!B:B)</f>
        <v>Bottle</v>
      </c>
      <c r="J605" s="6">
        <f>_xlfn.XLOOKUP(B605,orders!A:A,orders!C:C)</f>
        <v>45831</v>
      </c>
      <c r="K605" s="6" t="str">
        <f t="shared" si="19"/>
        <v>Jun-2025</v>
      </c>
      <c r="L605" s="6">
        <f>_xlfn.XLOOKUP(B605,orders!A:A,orders!B:B)</f>
        <v>138</v>
      </c>
      <c r="M605" s="6" t="str">
        <f>_xlfn.XLOOKUP("C"&amp;TEXT(L605,"000"),customers!A:A,customers!B:B,"Not Found")</f>
        <v>Kiran S.</v>
      </c>
    </row>
    <row r="606" spans="1:13">
      <c r="A606">
        <v>605</v>
      </c>
      <c r="B606">
        <v>403</v>
      </c>
      <c r="C606">
        <v>22</v>
      </c>
      <c r="D606" s="4">
        <v>4</v>
      </c>
      <c r="E606">
        <f>_xlfn.XLOOKUP(C606,products!A:A,products!D:D)</f>
        <v>3514</v>
      </c>
      <c r="F606">
        <f t="shared" si="18"/>
        <v>14056</v>
      </c>
      <c r="G606">
        <f>D606*(E606-_xlfn.XLOOKUP(C606,products!A:A,products!E:E))</f>
        <v>5903.52</v>
      </c>
      <c r="H606" s="6" t="str">
        <f>_xlfn.XLOOKUP(C606,products!A:A,products!C:C)</f>
        <v>Home Appliances</v>
      </c>
      <c r="I606" s="6" t="str">
        <f>_xlfn.XLOOKUP(C606,products!A:A,products!B:B)</f>
        <v>Microwave</v>
      </c>
      <c r="J606" s="6">
        <f>_xlfn.XLOOKUP(B606,orders!A:A,orders!C:C)</f>
        <v>45834</v>
      </c>
      <c r="K606" s="6" t="str">
        <f t="shared" si="19"/>
        <v>Jun-2025</v>
      </c>
      <c r="L606" s="6">
        <f>_xlfn.XLOOKUP(B606,orders!A:A,orders!B:B)</f>
        <v>175</v>
      </c>
      <c r="M606" s="6" t="str">
        <f>_xlfn.XLOOKUP("C"&amp;TEXT(L606,"000"),customers!A:A,customers!B:B,"Not Found")</f>
        <v>Kiran F.</v>
      </c>
    </row>
    <row r="607" spans="1:13">
      <c r="A607">
        <v>606</v>
      </c>
      <c r="B607">
        <v>403</v>
      </c>
      <c r="C607">
        <v>35</v>
      </c>
      <c r="D607" s="4">
        <v>1</v>
      </c>
      <c r="E607">
        <f>_xlfn.XLOOKUP(C607,products!A:A,products!D:D)</f>
        <v>5295</v>
      </c>
      <c r="F607">
        <f t="shared" si="18"/>
        <v>5295</v>
      </c>
      <c r="G607">
        <f>D607*(E607-_xlfn.XLOOKUP(C607,products!A:A,products!E:E))</f>
        <v>1985.62</v>
      </c>
      <c r="H607" s="6" t="str">
        <f>_xlfn.XLOOKUP(C607,products!A:A,products!C:C)</f>
        <v>Books</v>
      </c>
      <c r="I607" s="6" t="str">
        <f>_xlfn.XLOOKUP(C607,products!A:A,products!B:B)</f>
        <v>Novel</v>
      </c>
      <c r="J607" s="6">
        <f>_xlfn.XLOOKUP(B607,orders!A:A,orders!C:C)</f>
        <v>45834</v>
      </c>
      <c r="K607" s="6" t="str">
        <f t="shared" si="19"/>
        <v>Jun-2025</v>
      </c>
      <c r="L607" s="6">
        <f>_xlfn.XLOOKUP(B607,orders!A:A,orders!B:B)</f>
        <v>175</v>
      </c>
      <c r="M607" s="6" t="str">
        <f>_xlfn.XLOOKUP("C"&amp;TEXT(L607,"000"),customers!A:A,customers!B:B,"Not Found")</f>
        <v>Kiran F.</v>
      </c>
    </row>
    <row r="608" spans="1:13">
      <c r="A608">
        <v>607</v>
      </c>
      <c r="B608">
        <v>404</v>
      </c>
      <c r="C608">
        <v>29</v>
      </c>
      <c r="D608" s="4">
        <v>1</v>
      </c>
      <c r="E608">
        <f>_xlfn.XLOOKUP(C608,products!A:A,products!D:D)</f>
        <v>4473</v>
      </c>
      <c r="F608">
        <f t="shared" si="18"/>
        <v>4473</v>
      </c>
      <c r="G608">
        <f>D608*(E608-_xlfn.XLOOKUP(C608,products!A:A,products!E:E))</f>
        <v>1408.9899999999998</v>
      </c>
      <c r="H608" s="6" t="str">
        <f>_xlfn.XLOOKUP(C608,products!A:A,products!C:C)</f>
        <v>Furniture</v>
      </c>
      <c r="I608" s="6" t="str">
        <f>_xlfn.XLOOKUP(C608,products!A:A,products!B:B)</f>
        <v>Chair</v>
      </c>
      <c r="J608" s="6">
        <f>_xlfn.XLOOKUP(B608,orders!A:A,orders!C:C)</f>
        <v>45837</v>
      </c>
      <c r="K608" s="6" t="str">
        <f t="shared" si="19"/>
        <v>Jun-2025</v>
      </c>
      <c r="L608" s="6">
        <f>_xlfn.XLOOKUP(B608,orders!A:A,orders!B:B)</f>
        <v>212</v>
      </c>
      <c r="M608" s="6" t="str">
        <f>_xlfn.XLOOKUP("C"&amp;TEXT(L608,"000"),customers!A:A,customers!B:B,"Not Found")</f>
        <v>Manoj O.</v>
      </c>
    </row>
    <row r="609" spans="1:13">
      <c r="A609">
        <v>608</v>
      </c>
      <c r="B609">
        <v>404</v>
      </c>
      <c r="C609">
        <v>42</v>
      </c>
      <c r="D609" s="4">
        <v>2</v>
      </c>
      <c r="E609">
        <f>_xlfn.XLOOKUP(C609,products!A:A,products!D:D)</f>
        <v>6254</v>
      </c>
      <c r="F609">
        <f t="shared" si="18"/>
        <v>12508</v>
      </c>
      <c r="G609">
        <f>D609*(E609-_xlfn.XLOOKUP(C609,products!A:A,products!E:E))</f>
        <v>5253.36</v>
      </c>
      <c r="H609" s="6" t="str">
        <f>_xlfn.XLOOKUP(C609,products!A:A,products!C:C)</f>
        <v>Beauty</v>
      </c>
      <c r="I609" s="6" t="str">
        <f>_xlfn.XLOOKUP(C609,products!A:A,products!B:B)</f>
        <v>Shampoo</v>
      </c>
      <c r="J609" s="6">
        <f>_xlfn.XLOOKUP(B609,orders!A:A,orders!C:C)</f>
        <v>45837</v>
      </c>
      <c r="K609" s="6" t="str">
        <f t="shared" si="19"/>
        <v>Jun-2025</v>
      </c>
      <c r="L609" s="6">
        <f>_xlfn.XLOOKUP(B609,orders!A:A,orders!B:B)</f>
        <v>212</v>
      </c>
      <c r="M609" s="6" t="str">
        <f>_xlfn.XLOOKUP("C"&amp;TEXT(L609,"000"),customers!A:A,customers!B:B,"Not Found")</f>
        <v>Manoj O.</v>
      </c>
    </row>
    <row r="610" spans="1:13">
      <c r="A610">
        <v>609</v>
      </c>
      <c r="B610">
        <v>405</v>
      </c>
      <c r="C610">
        <v>36</v>
      </c>
      <c r="D610" s="4">
        <v>2</v>
      </c>
      <c r="E610">
        <f>_xlfn.XLOOKUP(C610,products!A:A,products!D:D)</f>
        <v>5432</v>
      </c>
      <c r="F610">
        <f t="shared" si="18"/>
        <v>10864</v>
      </c>
      <c r="G610">
        <f>D610*(E610-_xlfn.XLOOKUP(C610,products!A:A,products!E:E))</f>
        <v>3911.04</v>
      </c>
      <c r="H610" s="6" t="str">
        <f>_xlfn.XLOOKUP(C610,products!A:A,products!C:C)</f>
        <v>Sports</v>
      </c>
      <c r="I610" s="6" t="str">
        <f>_xlfn.XLOOKUP(C610,products!A:A,products!B:B)</f>
        <v>Cricket Bat</v>
      </c>
      <c r="J610" s="6">
        <f>_xlfn.XLOOKUP(B610,orders!A:A,orders!C:C)</f>
        <v>45840</v>
      </c>
      <c r="K610" s="6" t="str">
        <f t="shared" si="19"/>
        <v>Jul-2025</v>
      </c>
      <c r="L610" s="6">
        <f>_xlfn.XLOOKUP(B610,orders!A:A,orders!B:B)</f>
        <v>249</v>
      </c>
      <c r="M610" s="6" t="str">
        <f>_xlfn.XLOOKUP("C"&amp;TEXT(L610,"000"),customers!A:A,customers!B:B,"Not Found")</f>
        <v>Anjali P.</v>
      </c>
    </row>
    <row r="611" spans="1:13">
      <c r="A611">
        <v>610</v>
      </c>
      <c r="B611">
        <v>405</v>
      </c>
      <c r="C611">
        <v>49</v>
      </c>
      <c r="D611" s="4">
        <v>3</v>
      </c>
      <c r="E611">
        <f>_xlfn.XLOOKUP(C611,products!A:A,products!D:D)</f>
        <v>7213</v>
      </c>
      <c r="F611">
        <f t="shared" si="18"/>
        <v>21639</v>
      </c>
      <c r="G611">
        <f>D611*(E611-_xlfn.XLOOKUP(C611,products!A:A,products!E:E))</f>
        <v>6816.27</v>
      </c>
      <c r="H611" s="6" t="str">
        <f>_xlfn.XLOOKUP(C611,products!A:A,products!C:C)</f>
        <v>Toys</v>
      </c>
      <c r="I611" s="6" t="str">
        <f>_xlfn.XLOOKUP(C611,products!A:A,products!B:B)</f>
        <v>Remote Car</v>
      </c>
      <c r="J611" s="6">
        <f>_xlfn.XLOOKUP(B611,orders!A:A,orders!C:C)</f>
        <v>45840</v>
      </c>
      <c r="K611" s="6" t="str">
        <f t="shared" si="19"/>
        <v>Jul-2025</v>
      </c>
      <c r="L611" s="6">
        <f>_xlfn.XLOOKUP(B611,orders!A:A,orders!B:B)</f>
        <v>249</v>
      </c>
      <c r="M611" s="6" t="str">
        <f>_xlfn.XLOOKUP("C"&amp;TEXT(L611,"000"),customers!A:A,customers!B:B,"Not Found")</f>
        <v>Anjali P.</v>
      </c>
    </row>
    <row r="612" spans="1:13">
      <c r="A612">
        <v>611</v>
      </c>
      <c r="B612">
        <v>406</v>
      </c>
      <c r="C612">
        <v>43</v>
      </c>
      <c r="D612" s="4">
        <v>3</v>
      </c>
      <c r="E612">
        <f>_xlfn.XLOOKUP(C612,products!A:A,products!D:D)</f>
        <v>6391</v>
      </c>
      <c r="F612">
        <f t="shared" si="18"/>
        <v>19173</v>
      </c>
      <c r="G612">
        <f>D612*(E612-_xlfn.XLOOKUP(C612,products!A:A,products!E:E))</f>
        <v>7765.0499999999993</v>
      </c>
      <c r="H612" s="6" t="str">
        <f>_xlfn.XLOOKUP(C612,products!A:A,products!C:C)</f>
        <v>Beauty</v>
      </c>
      <c r="I612" s="6" t="str">
        <f>_xlfn.XLOOKUP(C612,products!A:A,products!B:B)</f>
        <v>Perfume</v>
      </c>
      <c r="J612" s="6">
        <f>_xlfn.XLOOKUP(B612,orders!A:A,orders!C:C)</f>
        <v>45843</v>
      </c>
      <c r="K612" s="6" t="str">
        <f t="shared" si="19"/>
        <v>Jul-2025</v>
      </c>
      <c r="L612" s="6">
        <f>_xlfn.XLOOKUP(B612,orders!A:A,orders!B:B)</f>
        <v>286</v>
      </c>
      <c r="M612" s="6" t="str">
        <f>_xlfn.XLOOKUP("C"&amp;TEXT(L612,"000"),customers!A:A,customers!B:B,"Not Found")</f>
        <v>Nikhil V.</v>
      </c>
    </row>
    <row r="613" spans="1:13">
      <c r="A613">
        <v>612</v>
      </c>
      <c r="B613">
        <v>406</v>
      </c>
      <c r="C613">
        <v>6</v>
      </c>
      <c r="D613" s="4">
        <v>4</v>
      </c>
      <c r="E613">
        <f>_xlfn.XLOOKUP(C613,products!A:A,products!D:D)</f>
        <v>1322</v>
      </c>
      <c r="F613">
        <f t="shared" si="18"/>
        <v>5288</v>
      </c>
      <c r="G613">
        <f>D613*(E613-_xlfn.XLOOKUP(C613,products!A:A,products!E:E))</f>
        <v>1903.6799999999998</v>
      </c>
      <c r="H613" s="6" t="str">
        <f>_xlfn.XLOOKUP(C613,products!A:A,products!C:C)</f>
        <v>Electronics</v>
      </c>
      <c r="I613" s="6" t="str">
        <f>_xlfn.XLOOKUP(C613,products!A:A,products!B:B)</f>
        <v>Mouse</v>
      </c>
      <c r="J613" s="6">
        <f>_xlfn.XLOOKUP(B613,orders!A:A,orders!C:C)</f>
        <v>45843</v>
      </c>
      <c r="K613" s="6" t="str">
        <f t="shared" si="19"/>
        <v>Jul-2025</v>
      </c>
      <c r="L613" s="6">
        <f>_xlfn.XLOOKUP(B613,orders!A:A,orders!B:B)</f>
        <v>286</v>
      </c>
      <c r="M613" s="6" t="str">
        <f>_xlfn.XLOOKUP("C"&amp;TEXT(L613,"000"),customers!A:A,customers!B:B,"Not Found")</f>
        <v>Nikhil V.</v>
      </c>
    </row>
    <row r="614" spans="1:13">
      <c r="A614">
        <v>613</v>
      </c>
      <c r="B614">
        <v>407</v>
      </c>
      <c r="C614">
        <v>50</v>
      </c>
      <c r="D614" s="4">
        <v>4</v>
      </c>
      <c r="E614">
        <f>_xlfn.XLOOKUP(C614,products!A:A,products!D:D)</f>
        <v>7350</v>
      </c>
      <c r="F614">
        <f t="shared" si="18"/>
        <v>29400</v>
      </c>
      <c r="G614">
        <f>D614*(E614-_xlfn.XLOOKUP(C614,products!A:A,products!E:E))</f>
        <v>13230</v>
      </c>
      <c r="H614" s="6" t="str">
        <f>_xlfn.XLOOKUP(C614,products!A:A,products!C:C)</f>
        <v>Toys</v>
      </c>
      <c r="I614" s="6" t="str">
        <f>_xlfn.XLOOKUP(C614,products!A:A,products!B:B)</f>
        <v>Building Blocks</v>
      </c>
      <c r="J614" s="6">
        <f>_xlfn.XLOOKUP(B614,orders!A:A,orders!C:C)</f>
        <v>45846</v>
      </c>
      <c r="K614" s="6" t="str">
        <f t="shared" si="19"/>
        <v>Jul-2025</v>
      </c>
      <c r="L614" s="6">
        <f>_xlfn.XLOOKUP(B614,orders!A:A,orders!B:B)</f>
        <v>323</v>
      </c>
      <c r="M614" s="6" t="str">
        <f>_xlfn.XLOOKUP("C"&amp;TEXT(L614,"000"),customers!A:A,customers!B:B,"Not Found")</f>
        <v>Pooja W.</v>
      </c>
    </row>
    <row r="615" spans="1:13">
      <c r="A615">
        <v>614</v>
      </c>
      <c r="B615">
        <v>407</v>
      </c>
      <c r="C615">
        <v>13</v>
      </c>
      <c r="D615" s="4">
        <v>1</v>
      </c>
      <c r="E615">
        <f>_xlfn.XLOOKUP(C615,products!A:A,products!D:D)</f>
        <v>2281</v>
      </c>
      <c r="F615">
        <f t="shared" si="18"/>
        <v>2281</v>
      </c>
      <c r="G615">
        <f>D615*(E615-_xlfn.XLOOKUP(C615,products!A:A,products!E:E))</f>
        <v>923.8</v>
      </c>
      <c r="H615" s="6" t="str">
        <f>_xlfn.XLOOKUP(C615,products!A:A,products!C:C)</f>
        <v>Fashion</v>
      </c>
      <c r="I615" s="6" t="str">
        <f>_xlfn.XLOOKUP(C615,products!A:A,products!B:B)</f>
        <v>Shirt</v>
      </c>
      <c r="J615" s="6">
        <f>_xlfn.XLOOKUP(B615,orders!A:A,orders!C:C)</f>
        <v>45846</v>
      </c>
      <c r="K615" s="6" t="str">
        <f t="shared" si="19"/>
        <v>Jul-2025</v>
      </c>
      <c r="L615" s="6">
        <f>_xlfn.XLOOKUP(B615,orders!A:A,orders!B:B)</f>
        <v>323</v>
      </c>
      <c r="M615" s="6" t="str">
        <f>_xlfn.XLOOKUP("C"&amp;TEXT(L615,"000"),customers!A:A,customers!B:B,"Not Found")</f>
        <v>Pooja W.</v>
      </c>
    </row>
    <row r="616" spans="1:13">
      <c r="A616">
        <v>615</v>
      </c>
      <c r="B616">
        <v>408</v>
      </c>
      <c r="C616">
        <v>7</v>
      </c>
      <c r="D616" s="4">
        <v>1</v>
      </c>
      <c r="E616">
        <f>_xlfn.XLOOKUP(C616,products!A:A,products!D:D)</f>
        <v>1459</v>
      </c>
      <c r="F616">
        <f t="shared" si="18"/>
        <v>1459</v>
      </c>
      <c r="G616">
        <f>D616*(E616-_xlfn.XLOOKUP(C616,products!A:A,products!E:E))</f>
        <v>503.35</v>
      </c>
      <c r="H616" s="6" t="str">
        <f>_xlfn.XLOOKUP(C616,products!A:A,products!C:C)</f>
        <v>Electronics</v>
      </c>
      <c r="I616" s="6" t="str">
        <f>_xlfn.XLOOKUP(C616,products!A:A,products!B:B)</f>
        <v>Monitor</v>
      </c>
      <c r="J616" s="6">
        <f>_xlfn.XLOOKUP(B616,orders!A:A,orders!C:C)</f>
        <v>45849</v>
      </c>
      <c r="K616" s="6" t="str">
        <f t="shared" si="19"/>
        <v>Jul-2025</v>
      </c>
      <c r="L616" s="6">
        <f>_xlfn.XLOOKUP(B616,orders!A:A,orders!B:B)</f>
        <v>360</v>
      </c>
      <c r="M616" s="6" t="str">
        <f>_xlfn.XLOOKUP("C"&amp;TEXT(L616,"000"),customers!A:A,customers!B:B,"Not Found")</f>
        <v>Nikhil H.</v>
      </c>
    </row>
    <row r="617" spans="1:13">
      <c r="A617">
        <v>616</v>
      </c>
      <c r="B617">
        <v>408</v>
      </c>
      <c r="C617">
        <v>20</v>
      </c>
      <c r="D617" s="4">
        <v>2</v>
      </c>
      <c r="E617">
        <f>_xlfn.XLOOKUP(C617,products!A:A,products!D:D)</f>
        <v>3240</v>
      </c>
      <c r="F617">
        <f t="shared" si="18"/>
        <v>6480</v>
      </c>
      <c r="G617">
        <f>D617*(E617-_xlfn.XLOOKUP(C617,products!A:A,products!E:E))</f>
        <v>2916</v>
      </c>
      <c r="H617" s="6" t="str">
        <f>_xlfn.XLOOKUP(C617,products!A:A,products!C:C)</f>
        <v>Fashion</v>
      </c>
      <c r="I617" s="6" t="str">
        <f>_xlfn.XLOOKUP(C617,products!A:A,products!B:B)</f>
        <v>Belt</v>
      </c>
      <c r="J617" s="6">
        <f>_xlfn.XLOOKUP(B617,orders!A:A,orders!C:C)</f>
        <v>45849</v>
      </c>
      <c r="K617" s="6" t="str">
        <f t="shared" si="19"/>
        <v>Jul-2025</v>
      </c>
      <c r="L617" s="6">
        <f>_xlfn.XLOOKUP(B617,orders!A:A,orders!B:B)</f>
        <v>360</v>
      </c>
      <c r="M617" s="6" t="str">
        <f>_xlfn.XLOOKUP("C"&amp;TEXT(L617,"000"),customers!A:A,customers!B:B,"Not Found")</f>
        <v>Nikhil H.</v>
      </c>
    </row>
    <row r="618" spans="1:13">
      <c r="A618">
        <v>617</v>
      </c>
      <c r="B618">
        <v>409</v>
      </c>
      <c r="C618">
        <v>14</v>
      </c>
      <c r="D618" s="4">
        <v>2</v>
      </c>
      <c r="E618">
        <f>_xlfn.XLOOKUP(C618,products!A:A,products!D:D)</f>
        <v>2418</v>
      </c>
      <c r="F618">
        <f t="shared" si="18"/>
        <v>4836</v>
      </c>
      <c r="G618">
        <f>D618*(E618-_xlfn.XLOOKUP(C618,products!A:A,products!E:E))</f>
        <v>1886.04</v>
      </c>
      <c r="H618" s="6" t="str">
        <f>_xlfn.XLOOKUP(C618,products!A:A,products!C:C)</f>
        <v>Fashion</v>
      </c>
      <c r="I618" s="6" t="str">
        <f>_xlfn.XLOOKUP(C618,products!A:A,products!B:B)</f>
        <v>Jacket</v>
      </c>
      <c r="J618" s="6">
        <f>_xlfn.XLOOKUP(B618,orders!A:A,orders!C:C)</f>
        <v>45852</v>
      </c>
      <c r="K618" s="6" t="str">
        <f t="shared" si="19"/>
        <v>Jul-2025</v>
      </c>
      <c r="L618" s="6">
        <f>_xlfn.XLOOKUP(B618,orders!A:A,orders!B:B)</f>
        <v>397</v>
      </c>
      <c r="M618" s="6" t="str">
        <f>_xlfn.XLOOKUP("C"&amp;TEXT(L618,"000"),customers!A:A,customers!B:B,"Not Found")</f>
        <v>Rahul L.</v>
      </c>
    </row>
    <row r="619" spans="1:13">
      <c r="A619">
        <v>618</v>
      </c>
      <c r="B619">
        <v>409</v>
      </c>
      <c r="C619">
        <v>27</v>
      </c>
      <c r="D619" s="4">
        <v>3</v>
      </c>
      <c r="E619">
        <f>_xlfn.XLOOKUP(C619,products!A:A,products!D:D)</f>
        <v>4199</v>
      </c>
      <c r="F619">
        <f t="shared" si="18"/>
        <v>12597</v>
      </c>
      <c r="G619">
        <f>D619*(E619-_xlfn.XLOOKUP(C619,products!A:A,products!E:E))</f>
        <v>4345.9500000000007</v>
      </c>
      <c r="H619" s="6" t="str">
        <f>_xlfn.XLOOKUP(C619,products!A:A,products!C:C)</f>
        <v>Home &amp; Kitchen</v>
      </c>
      <c r="I619" s="6" t="str">
        <f>_xlfn.XLOOKUP(C619,products!A:A,products!B:B)</f>
        <v>Cookware Set</v>
      </c>
      <c r="J619" s="6">
        <f>_xlfn.XLOOKUP(B619,orders!A:A,orders!C:C)</f>
        <v>45852</v>
      </c>
      <c r="K619" s="6" t="str">
        <f t="shared" si="19"/>
        <v>Jul-2025</v>
      </c>
      <c r="L619" s="6">
        <f>_xlfn.XLOOKUP(B619,orders!A:A,orders!B:B)</f>
        <v>397</v>
      </c>
      <c r="M619" s="6" t="str">
        <f>_xlfn.XLOOKUP("C"&amp;TEXT(L619,"000"),customers!A:A,customers!B:B,"Not Found")</f>
        <v>Rahul L.</v>
      </c>
    </row>
    <row r="620" spans="1:13">
      <c r="A620">
        <v>619</v>
      </c>
      <c r="B620">
        <v>410</v>
      </c>
      <c r="C620">
        <v>21</v>
      </c>
      <c r="D620" s="4">
        <v>3</v>
      </c>
      <c r="E620">
        <f>_xlfn.XLOOKUP(C620,products!A:A,products!D:D)</f>
        <v>3377</v>
      </c>
      <c r="F620">
        <f t="shared" si="18"/>
        <v>10131</v>
      </c>
      <c r="G620">
        <f>D620*(E620-_xlfn.XLOOKUP(C620,products!A:A,products!E:E))</f>
        <v>4406.97</v>
      </c>
      <c r="H620" s="6" t="str">
        <f>_xlfn.XLOOKUP(C620,products!A:A,products!C:C)</f>
        <v>Home Appliances</v>
      </c>
      <c r="I620" s="6" t="str">
        <f>_xlfn.XLOOKUP(C620,products!A:A,products!B:B)</f>
        <v>Mixer</v>
      </c>
      <c r="J620" s="6">
        <f>_xlfn.XLOOKUP(B620,orders!A:A,orders!C:C)</f>
        <v>45855</v>
      </c>
      <c r="K620" s="6" t="str">
        <f t="shared" si="19"/>
        <v>Jul-2025</v>
      </c>
      <c r="L620" s="6">
        <f>_xlfn.XLOOKUP(B620,orders!A:A,orders!B:B)</f>
        <v>434</v>
      </c>
      <c r="M620" s="6" t="str">
        <f>_xlfn.XLOOKUP("C"&amp;TEXT(L620,"000"),customers!A:A,customers!B:B,"Not Found")</f>
        <v>Priya B.</v>
      </c>
    </row>
    <row r="621" spans="1:13">
      <c r="A621">
        <v>620</v>
      </c>
      <c r="B621">
        <v>410</v>
      </c>
      <c r="C621">
        <v>34</v>
      </c>
      <c r="D621" s="4">
        <v>4</v>
      </c>
      <c r="E621">
        <f>_xlfn.XLOOKUP(C621,products!A:A,products!D:D)</f>
        <v>5158</v>
      </c>
      <c r="F621">
        <f t="shared" si="18"/>
        <v>20632</v>
      </c>
      <c r="G621">
        <f>D621*(E621-_xlfn.XLOOKUP(C621,products!A:A,products!E:E))</f>
        <v>8046.48</v>
      </c>
      <c r="H621" s="6" t="str">
        <f>_xlfn.XLOOKUP(C621,products!A:A,products!C:C)</f>
        <v>Books</v>
      </c>
      <c r="I621" s="6" t="str">
        <f>_xlfn.XLOOKUP(C621,products!A:A,products!B:B)</f>
        <v>Cookbook</v>
      </c>
      <c r="J621" s="6">
        <f>_xlfn.XLOOKUP(B621,orders!A:A,orders!C:C)</f>
        <v>45855</v>
      </c>
      <c r="K621" s="6" t="str">
        <f t="shared" si="19"/>
        <v>Jul-2025</v>
      </c>
      <c r="L621" s="6">
        <f>_xlfn.XLOOKUP(B621,orders!A:A,orders!B:B)</f>
        <v>434</v>
      </c>
      <c r="M621" s="6" t="str">
        <f>_xlfn.XLOOKUP("C"&amp;TEXT(L621,"000"),customers!A:A,customers!B:B,"Not Found")</f>
        <v>Priya B.</v>
      </c>
    </row>
    <row r="622" spans="1:13">
      <c r="A622">
        <v>621</v>
      </c>
      <c r="B622">
        <v>411</v>
      </c>
      <c r="C622">
        <v>28</v>
      </c>
      <c r="D622" s="4">
        <v>4</v>
      </c>
      <c r="E622">
        <f>_xlfn.XLOOKUP(C622,products!A:A,products!D:D)</f>
        <v>4336</v>
      </c>
      <c r="F622">
        <f t="shared" si="18"/>
        <v>17344</v>
      </c>
      <c r="G622">
        <f>D622*(E622-_xlfn.XLOOKUP(C622,products!A:A,products!E:E))</f>
        <v>5723.52</v>
      </c>
      <c r="H622" s="6" t="str">
        <f>_xlfn.XLOOKUP(C622,products!A:A,products!C:C)</f>
        <v>Home &amp; Kitchen</v>
      </c>
      <c r="I622" s="6" t="str">
        <f>_xlfn.XLOOKUP(C622,products!A:A,products!B:B)</f>
        <v>Bottle</v>
      </c>
      <c r="J622" s="6">
        <f>_xlfn.XLOOKUP(B622,orders!A:A,orders!C:C)</f>
        <v>45858</v>
      </c>
      <c r="K622" s="6" t="str">
        <f t="shared" si="19"/>
        <v>Jul-2025</v>
      </c>
      <c r="L622" s="6">
        <f>_xlfn.XLOOKUP(B622,orders!A:A,orders!B:B)</f>
        <v>471</v>
      </c>
      <c r="M622" s="6" t="str">
        <f>_xlfn.XLOOKUP("C"&amp;TEXT(L622,"000"),customers!A:A,customers!B:B,"Not Found")</f>
        <v>Rahul X.</v>
      </c>
    </row>
    <row r="623" spans="1:13">
      <c r="A623">
        <v>622</v>
      </c>
      <c r="B623">
        <v>411</v>
      </c>
      <c r="C623">
        <v>41</v>
      </c>
      <c r="D623" s="4">
        <v>1</v>
      </c>
      <c r="E623">
        <f>_xlfn.XLOOKUP(C623,products!A:A,products!D:D)</f>
        <v>6117</v>
      </c>
      <c r="F623">
        <f t="shared" si="18"/>
        <v>6117</v>
      </c>
      <c r="G623">
        <f>D623*(E623-_xlfn.XLOOKUP(C623,products!A:A,products!E:E))</f>
        <v>2660.89</v>
      </c>
      <c r="H623" s="6" t="str">
        <f>_xlfn.XLOOKUP(C623,products!A:A,products!C:C)</f>
        <v>Beauty</v>
      </c>
      <c r="I623" s="6" t="str">
        <f>_xlfn.XLOOKUP(C623,products!A:A,products!B:B)</f>
        <v>Face Wash</v>
      </c>
      <c r="J623" s="6">
        <f>_xlfn.XLOOKUP(B623,orders!A:A,orders!C:C)</f>
        <v>45858</v>
      </c>
      <c r="K623" s="6" t="str">
        <f t="shared" si="19"/>
        <v>Jul-2025</v>
      </c>
      <c r="L623" s="6">
        <f>_xlfn.XLOOKUP(B623,orders!A:A,orders!B:B)</f>
        <v>471</v>
      </c>
      <c r="M623" s="6" t="str">
        <f>_xlfn.XLOOKUP("C"&amp;TEXT(L623,"000"),customers!A:A,customers!B:B,"Not Found")</f>
        <v>Rahul X.</v>
      </c>
    </row>
    <row r="624" spans="1:13">
      <c r="A624">
        <v>623</v>
      </c>
      <c r="B624">
        <v>412</v>
      </c>
      <c r="C624">
        <v>35</v>
      </c>
      <c r="D624" s="4">
        <v>1</v>
      </c>
      <c r="E624">
        <f>_xlfn.XLOOKUP(C624,products!A:A,products!D:D)</f>
        <v>5295</v>
      </c>
      <c r="F624">
        <f t="shared" si="18"/>
        <v>5295</v>
      </c>
      <c r="G624">
        <f>D624*(E624-_xlfn.XLOOKUP(C624,products!A:A,products!E:E))</f>
        <v>1985.62</v>
      </c>
      <c r="H624" s="6" t="str">
        <f>_xlfn.XLOOKUP(C624,products!A:A,products!C:C)</f>
        <v>Books</v>
      </c>
      <c r="I624" s="6" t="str">
        <f>_xlfn.XLOOKUP(C624,products!A:A,products!B:B)</f>
        <v>Novel</v>
      </c>
      <c r="J624" s="6">
        <f>_xlfn.XLOOKUP(B624,orders!A:A,orders!C:C)</f>
        <v>45861</v>
      </c>
      <c r="K624" s="6" t="str">
        <f t="shared" si="19"/>
        <v>Jul-2025</v>
      </c>
      <c r="L624" s="6">
        <f>_xlfn.XLOOKUP(B624,orders!A:A,orders!B:B)</f>
        <v>8</v>
      </c>
      <c r="M624" s="6" t="str">
        <f>_xlfn.XLOOKUP("C"&amp;TEXT(L624,"000"),customers!A:A,customers!B:B,"Not Found")</f>
        <v>Suresh D.</v>
      </c>
    </row>
    <row r="625" spans="1:13">
      <c r="A625">
        <v>624</v>
      </c>
      <c r="B625">
        <v>412</v>
      </c>
      <c r="C625">
        <v>48</v>
      </c>
      <c r="D625" s="4">
        <v>2</v>
      </c>
      <c r="E625">
        <f>_xlfn.XLOOKUP(C625,products!A:A,products!D:D)</f>
        <v>7076</v>
      </c>
      <c r="F625">
        <f t="shared" si="18"/>
        <v>14152</v>
      </c>
      <c r="G625">
        <f>D625*(E625-_xlfn.XLOOKUP(C625,products!A:A,products!E:E))</f>
        <v>4670.16</v>
      </c>
      <c r="H625" s="6" t="str">
        <f>_xlfn.XLOOKUP(C625,products!A:A,products!C:C)</f>
        <v>Toys</v>
      </c>
      <c r="I625" s="6" t="str">
        <f>_xlfn.XLOOKUP(C625,products!A:A,products!B:B)</f>
        <v>Board Game</v>
      </c>
      <c r="J625" s="6">
        <f>_xlfn.XLOOKUP(B625,orders!A:A,orders!C:C)</f>
        <v>45861</v>
      </c>
      <c r="K625" s="6" t="str">
        <f t="shared" si="19"/>
        <v>Jul-2025</v>
      </c>
      <c r="L625" s="6">
        <f>_xlfn.XLOOKUP(B625,orders!A:A,orders!B:B)</f>
        <v>8</v>
      </c>
      <c r="M625" s="6" t="str">
        <f>_xlfn.XLOOKUP("C"&amp;TEXT(L625,"000"),customers!A:A,customers!B:B,"Not Found")</f>
        <v>Suresh D.</v>
      </c>
    </row>
    <row r="626" spans="1:13">
      <c r="A626">
        <v>625</v>
      </c>
      <c r="B626">
        <v>413</v>
      </c>
      <c r="C626">
        <v>42</v>
      </c>
      <c r="D626" s="4">
        <v>2</v>
      </c>
      <c r="E626">
        <f>_xlfn.XLOOKUP(C626,products!A:A,products!D:D)</f>
        <v>6254</v>
      </c>
      <c r="F626">
        <f t="shared" si="18"/>
        <v>12508</v>
      </c>
      <c r="G626">
        <f>D626*(E626-_xlfn.XLOOKUP(C626,products!A:A,products!E:E))</f>
        <v>5253.36</v>
      </c>
      <c r="H626" s="6" t="str">
        <f>_xlfn.XLOOKUP(C626,products!A:A,products!C:C)</f>
        <v>Beauty</v>
      </c>
      <c r="I626" s="6" t="str">
        <f>_xlfn.XLOOKUP(C626,products!A:A,products!B:B)</f>
        <v>Shampoo</v>
      </c>
      <c r="J626" s="6">
        <f>_xlfn.XLOOKUP(B626,orders!A:A,orders!C:C)</f>
        <v>45864</v>
      </c>
      <c r="K626" s="6" t="str">
        <f t="shared" si="19"/>
        <v>Jul-2025</v>
      </c>
      <c r="L626" s="6">
        <f>_xlfn.XLOOKUP(B626,orders!A:A,orders!B:B)</f>
        <v>45</v>
      </c>
      <c r="M626" s="6" t="str">
        <f>_xlfn.XLOOKUP("C"&amp;TEXT(L626,"000"),customers!A:A,customers!B:B,"Not Found")</f>
        <v>Swathi Z.</v>
      </c>
    </row>
    <row r="627" spans="1:13">
      <c r="A627">
        <v>626</v>
      </c>
      <c r="B627">
        <v>413</v>
      </c>
      <c r="C627">
        <v>5</v>
      </c>
      <c r="D627" s="4">
        <v>3</v>
      </c>
      <c r="E627">
        <f>_xlfn.XLOOKUP(C627,products!A:A,products!D:D)</f>
        <v>1185</v>
      </c>
      <c r="F627">
        <f t="shared" si="18"/>
        <v>3555</v>
      </c>
      <c r="G627">
        <f>D627*(E627-_xlfn.XLOOKUP(C627,products!A:A,products!E:E))</f>
        <v>1333.1399999999999</v>
      </c>
      <c r="H627" s="6" t="str">
        <f>_xlfn.XLOOKUP(C627,products!A:A,products!C:C)</f>
        <v>Electronics</v>
      </c>
      <c r="I627" s="6" t="str">
        <f>_xlfn.XLOOKUP(C627,products!A:A,products!B:B)</f>
        <v>Keyboard</v>
      </c>
      <c r="J627" s="6">
        <f>_xlfn.XLOOKUP(B627,orders!A:A,orders!C:C)</f>
        <v>45864</v>
      </c>
      <c r="K627" s="6" t="str">
        <f t="shared" si="19"/>
        <v>Jul-2025</v>
      </c>
      <c r="L627" s="6">
        <f>_xlfn.XLOOKUP(B627,orders!A:A,orders!B:B)</f>
        <v>45</v>
      </c>
      <c r="M627" s="6" t="str">
        <f>_xlfn.XLOOKUP("C"&amp;TEXT(L627,"000"),customers!A:A,customers!B:B,"Not Found")</f>
        <v>Swathi Z.</v>
      </c>
    </row>
    <row r="628" spans="1:13">
      <c r="A628">
        <v>627</v>
      </c>
      <c r="B628">
        <v>414</v>
      </c>
      <c r="C628">
        <v>49</v>
      </c>
      <c r="D628" s="4">
        <v>3</v>
      </c>
      <c r="E628">
        <f>_xlfn.XLOOKUP(C628,products!A:A,products!D:D)</f>
        <v>7213</v>
      </c>
      <c r="F628">
        <f t="shared" si="18"/>
        <v>21639</v>
      </c>
      <c r="G628">
        <f>D628*(E628-_xlfn.XLOOKUP(C628,products!A:A,products!E:E))</f>
        <v>6816.27</v>
      </c>
      <c r="H628" s="6" t="str">
        <f>_xlfn.XLOOKUP(C628,products!A:A,products!C:C)</f>
        <v>Toys</v>
      </c>
      <c r="I628" s="6" t="str">
        <f>_xlfn.XLOOKUP(C628,products!A:A,products!B:B)</f>
        <v>Remote Car</v>
      </c>
      <c r="J628" s="6">
        <f>_xlfn.XLOOKUP(B628,orders!A:A,orders!C:C)</f>
        <v>45867</v>
      </c>
      <c r="K628" s="6" t="str">
        <f t="shared" si="19"/>
        <v>Jul-2025</v>
      </c>
      <c r="L628" s="6">
        <f>_xlfn.XLOOKUP(B628,orders!A:A,orders!B:B)</f>
        <v>82</v>
      </c>
      <c r="M628" s="6" t="str">
        <f>_xlfn.XLOOKUP("C"&amp;TEXT(L628,"000"),customers!A:A,customers!B:B,"Not Found")</f>
        <v>Sneha Z.</v>
      </c>
    </row>
    <row r="629" spans="1:13">
      <c r="A629">
        <v>628</v>
      </c>
      <c r="B629">
        <v>414</v>
      </c>
      <c r="C629">
        <v>12</v>
      </c>
      <c r="D629" s="4">
        <v>4</v>
      </c>
      <c r="E629">
        <f>_xlfn.XLOOKUP(C629,products!A:A,products!D:D)</f>
        <v>2144</v>
      </c>
      <c r="F629">
        <f t="shared" si="18"/>
        <v>8576</v>
      </c>
      <c r="G629">
        <f>D629*(E629-_xlfn.XLOOKUP(C629,products!A:A,products!E:E))</f>
        <v>3601.92</v>
      </c>
      <c r="H629" s="6" t="str">
        <f>_xlfn.XLOOKUP(C629,products!A:A,products!C:C)</f>
        <v>Fashion</v>
      </c>
      <c r="I629" s="6" t="str">
        <f>_xlfn.XLOOKUP(C629,products!A:A,products!B:B)</f>
        <v>Jeans</v>
      </c>
      <c r="J629" s="6">
        <f>_xlfn.XLOOKUP(B629,orders!A:A,orders!C:C)</f>
        <v>45867</v>
      </c>
      <c r="K629" s="6" t="str">
        <f t="shared" si="19"/>
        <v>Jul-2025</v>
      </c>
      <c r="L629" s="6">
        <f>_xlfn.XLOOKUP(B629,orders!A:A,orders!B:B)</f>
        <v>82</v>
      </c>
      <c r="M629" s="6" t="str">
        <f>_xlfn.XLOOKUP("C"&amp;TEXT(L629,"000"),customers!A:A,customers!B:B,"Not Found")</f>
        <v>Sneha Z.</v>
      </c>
    </row>
    <row r="630" spans="1:13">
      <c r="A630">
        <v>629</v>
      </c>
      <c r="B630">
        <v>415</v>
      </c>
      <c r="C630">
        <v>6</v>
      </c>
      <c r="D630" s="4">
        <v>4</v>
      </c>
      <c r="E630">
        <f>_xlfn.XLOOKUP(C630,products!A:A,products!D:D)</f>
        <v>1322</v>
      </c>
      <c r="F630">
        <f t="shared" si="18"/>
        <v>5288</v>
      </c>
      <c r="G630">
        <f>D630*(E630-_xlfn.XLOOKUP(C630,products!A:A,products!E:E))</f>
        <v>1903.6799999999998</v>
      </c>
      <c r="H630" s="6" t="str">
        <f>_xlfn.XLOOKUP(C630,products!A:A,products!C:C)</f>
        <v>Electronics</v>
      </c>
      <c r="I630" s="6" t="str">
        <f>_xlfn.XLOOKUP(C630,products!A:A,products!B:B)</f>
        <v>Mouse</v>
      </c>
      <c r="J630" s="6">
        <f>_xlfn.XLOOKUP(B630,orders!A:A,orders!C:C)</f>
        <v>45870</v>
      </c>
      <c r="K630" s="6" t="str">
        <f t="shared" si="19"/>
        <v>Aug-2025</v>
      </c>
      <c r="L630" s="6">
        <f>_xlfn.XLOOKUP(B630,orders!A:A,orders!B:B)</f>
        <v>119</v>
      </c>
      <c r="M630" s="6" t="str">
        <f>_xlfn.XLOOKUP("C"&amp;TEXT(L630,"000"),customers!A:A,customers!B:B,"Not Found")</f>
        <v>Rohit N.</v>
      </c>
    </row>
    <row r="631" spans="1:13">
      <c r="A631">
        <v>630</v>
      </c>
      <c r="B631">
        <v>415</v>
      </c>
      <c r="C631">
        <v>19</v>
      </c>
      <c r="D631" s="4">
        <v>1</v>
      </c>
      <c r="E631">
        <f>_xlfn.XLOOKUP(C631,products!A:A,products!D:D)</f>
        <v>3103</v>
      </c>
      <c r="F631">
        <f t="shared" si="18"/>
        <v>3103</v>
      </c>
      <c r="G631">
        <f>D631*(E631-_xlfn.XLOOKUP(C631,products!A:A,products!E:E))</f>
        <v>977.44</v>
      </c>
      <c r="H631" s="6" t="str">
        <f>_xlfn.XLOOKUP(C631,products!A:A,products!C:C)</f>
        <v>Fashion</v>
      </c>
      <c r="I631" s="6" t="str">
        <f>_xlfn.XLOOKUP(C631,products!A:A,products!B:B)</f>
        <v>Wallet</v>
      </c>
      <c r="J631" s="6">
        <f>_xlfn.XLOOKUP(B631,orders!A:A,orders!C:C)</f>
        <v>45870</v>
      </c>
      <c r="K631" s="6" t="str">
        <f t="shared" si="19"/>
        <v>Aug-2025</v>
      </c>
      <c r="L631" s="6">
        <f>_xlfn.XLOOKUP(B631,orders!A:A,orders!B:B)</f>
        <v>119</v>
      </c>
      <c r="M631" s="6" t="str">
        <f>_xlfn.XLOOKUP("C"&amp;TEXT(L631,"000"),customers!A:A,customers!B:B,"Not Found")</f>
        <v>Rohit N.</v>
      </c>
    </row>
    <row r="632" spans="1:13">
      <c r="A632">
        <v>631</v>
      </c>
      <c r="B632">
        <v>416</v>
      </c>
      <c r="C632">
        <v>13</v>
      </c>
      <c r="D632" s="4">
        <v>1</v>
      </c>
      <c r="E632">
        <f>_xlfn.XLOOKUP(C632,products!A:A,products!D:D)</f>
        <v>2281</v>
      </c>
      <c r="F632">
        <f t="shared" si="18"/>
        <v>2281</v>
      </c>
      <c r="G632">
        <f>D632*(E632-_xlfn.XLOOKUP(C632,products!A:A,products!E:E))</f>
        <v>923.8</v>
      </c>
      <c r="H632" s="6" t="str">
        <f>_xlfn.XLOOKUP(C632,products!A:A,products!C:C)</f>
        <v>Fashion</v>
      </c>
      <c r="I632" s="6" t="str">
        <f>_xlfn.XLOOKUP(C632,products!A:A,products!B:B)</f>
        <v>Shirt</v>
      </c>
      <c r="J632" s="6">
        <f>_xlfn.XLOOKUP(B632,orders!A:A,orders!C:C)</f>
        <v>45873</v>
      </c>
      <c r="K632" s="6" t="str">
        <f t="shared" si="19"/>
        <v>Aug-2025</v>
      </c>
      <c r="L632" s="6">
        <f>_xlfn.XLOOKUP(B632,orders!A:A,orders!B:B)</f>
        <v>156</v>
      </c>
      <c r="M632" s="6" t="str">
        <f>_xlfn.XLOOKUP("C"&amp;TEXT(L632,"000"),customers!A:A,customers!B:B,"Not Found")</f>
        <v>Lakshmi K.</v>
      </c>
    </row>
    <row r="633" spans="1:13">
      <c r="A633">
        <v>632</v>
      </c>
      <c r="B633">
        <v>416</v>
      </c>
      <c r="C633">
        <v>26</v>
      </c>
      <c r="D633" s="4">
        <v>2</v>
      </c>
      <c r="E633">
        <f>_xlfn.XLOOKUP(C633,products!A:A,products!D:D)</f>
        <v>4062</v>
      </c>
      <c r="F633">
        <f t="shared" si="18"/>
        <v>8124</v>
      </c>
      <c r="G633">
        <f>D633*(E633-_xlfn.XLOOKUP(C633,products!A:A,products!E:E))</f>
        <v>2924.6400000000003</v>
      </c>
      <c r="H633" s="6" t="str">
        <f>_xlfn.XLOOKUP(C633,products!A:A,products!C:C)</f>
        <v>Home &amp; Kitchen</v>
      </c>
      <c r="I633" s="6" t="str">
        <f>_xlfn.XLOOKUP(C633,products!A:A,products!B:B)</f>
        <v>Bedsheet</v>
      </c>
      <c r="J633" s="6">
        <f>_xlfn.XLOOKUP(B633,orders!A:A,orders!C:C)</f>
        <v>45873</v>
      </c>
      <c r="K633" s="6" t="str">
        <f t="shared" si="19"/>
        <v>Aug-2025</v>
      </c>
      <c r="L633" s="6">
        <f>_xlfn.XLOOKUP(B633,orders!A:A,orders!B:B)</f>
        <v>156</v>
      </c>
      <c r="M633" s="6" t="str">
        <f>_xlfn.XLOOKUP("C"&amp;TEXT(L633,"000"),customers!A:A,customers!B:B,"Not Found")</f>
        <v>Lakshmi K.</v>
      </c>
    </row>
    <row r="634" spans="1:13">
      <c r="A634">
        <v>633</v>
      </c>
      <c r="B634">
        <v>417</v>
      </c>
      <c r="C634">
        <v>20</v>
      </c>
      <c r="D634" s="4">
        <v>2</v>
      </c>
      <c r="E634">
        <f>_xlfn.XLOOKUP(C634,products!A:A,products!D:D)</f>
        <v>3240</v>
      </c>
      <c r="F634">
        <f t="shared" si="18"/>
        <v>6480</v>
      </c>
      <c r="G634">
        <f>D634*(E634-_xlfn.XLOOKUP(C634,products!A:A,products!E:E))</f>
        <v>2916</v>
      </c>
      <c r="H634" s="6" t="str">
        <f>_xlfn.XLOOKUP(C634,products!A:A,products!C:C)</f>
        <v>Fashion</v>
      </c>
      <c r="I634" s="6" t="str">
        <f>_xlfn.XLOOKUP(C634,products!A:A,products!B:B)</f>
        <v>Belt</v>
      </c>
      <c r="J634" s="6">
        <f>_xlfn.XLOOKUP(B634,orders!A:A,orders!C:C)</f>
        <v>45876</v>
      </c>
      <c r="K634" s="6" t="str">
        <f t="shared" si="19"/>
        <v>Aug-2025</v>
      </c>
      <c r="L634" s="6">
        <f>_xlfn.XLOOKUP(B634,orders!A:A,orders!B:B)</f>
        <v>193</v>
      </c>
      <c r="M634" s="6" t="str">
        <f>_xlfn.XLOOKUP("C"&amp;TEXT(L634,"000"),customers!A:A,customers!B:B,"Not Found")</f>
        <v>Amit Q.</v>
      </c>
    </row>
    <row r="635" spans="1:13">
      <c r="A635">
        <v>634</v>
      </c>
      <c r="B635">
        <v>417</v>
      </c>
      <c r="C635">
        <v>33</v>
      </c>
      <c r="D635" s="4">
        <v>3</v>
      </c>
      <c r="E635">
        <f>_xlfn.XLOOKUP(C635,products!A:A,products!D:D)</f>
        <v>5021</v>
      </c>
      <c r="F635">
        <f t="shared" si="18"/>
        <v>15063</v>
      </c>
      <c r="G635">
        <f>D635*(E635-_xlfn.XLOOKUP(C635,products!A:A,products!E:E))</f>
        <v>6100.5</v>
      </c>
      <c r="H635" s="6" t="str">
        <f>_xlfn.XLOOKUP(C635,products!A:A,products!C:C)</f>
        <v>Books</v>
      </c>
      <c r="I635" s="6" t="str">
        <f>_xlfn.XLOOKUP(C635,products!A:A,products!B:B)</f>
        <v>Pen Set</v>
      </c>
      <c r="J635" s="6">
        <f>_xlfn.XLOOKUP(B635,orders!A:A,orders!C:C)</f>
        <v>45876</v>
      </c>
      <c r="K635" s="6" t="str">
        <f t="shared" si="19"/>
        <v>Aug-2025</v>
      </c>
      <c r="L635" s="6">
        <f>_xlfn.XLOOKUP(B635,orders!A:A,orders!B:B)</f>
        <v>193</v>
      </c>
      <c r="M635" s="6" t="str">
        <f>_xlfn.XLOOKUP("C"&amp;TEXT(L635,"000"),customers!A:A,customers!B:B,"Not Found")</f>
        <v>Amit Q.</v>
      </c>
    </row>
    <row r="636" spans="1:13">
      <c r="A636">
        <v>635</v>
      </c>
      <c r="B636">
        <v>418</v>
      </c>
      <c r="C636">
        <v>27</v>
      </c>
      <c r="D636" s="4">
        <v>3</v>
      </c>
      <c r="E636">
        <f>_xlfn.XLOOKUP(C636,products!A:A,products!D:D)</f>
        <v>4199</v>
      </c>
      <c r="F636">
        <f t="shared" si="18"/>
        <v>12597</v>
      </c>
      <c r="G636">
        <f>D636*(E636-_xlfn.XLOOKUP(C636,products!A:A,products!E:E))</f>
        <v>4345.9500000000007</v>
      </c>
      <c r="H636" s="6" t="str">
        <f>_xlfn.XLOOKUP(C636,products!A:A,products!C:C)</f>
        <v>Home &amp; Kitchen</v>
      </c>
      <c r="I636" s="6" t="str">
        <f>_xlfn.XLOOKUP(C636,products!A:A,products!B:B)</f>
        <v>Cookware Set</v>
      </c>
      <c r="J636" s="6">
        <f>_xlfn.XLOOKUP(B636,orders!A:A,orders!C:C)</f>
        <v>45879</v>
      </c>
      <c r="K636" s="6" t="str">
        <f t="shared" si="19"/>
        <v>Aug-2025</v>
      </c>
      <c r="L636" s="6">
        <f>_xlfn.XLOOKUP(B636,orders!A:A,orders!B:B)</f>
        <v>230</v>
      </c>
      <c r="M636" s="6" t="str">
        <f>_xlfn.XLOOKUP("C"&amp;TEXT(L636,"000"),customers!A:A,customers!B:B,"Not Found")</f>
        <v>Amit I.</v>
      </c>
    </row>
    <row r="637" spans="1:13">
      <c r="A637">
        <v>636</v>
      </c>
      <c r="B637">
        <v>418</v>
      </c>
      <c r="C637">
        <v>40</v>
      </c>
      <c r="D637" s="4">
        <v>4</v>
      </c>
      <c r="E637">
        <f>_xlfn.XLOOKUP(C637,products!A:A,products!D:D)</f>
        <v>5980</v>
      </c>
      <c r="F637">
        <f t="shared" si="18"/>
        <v>23920</v>
      </c>
      <c r="G637">
        <f>D637*(E637-_xlfn.XLOOKUP(C637,products!A:A,products!E:E))</f>
        <v>10764</v>
      </c>
      <c r="H637" s="6" t="str">
        <f>_xlfn.XLOOKUP(C637,products!A:A,products!C:C)</f>
        <v>Sports</v>
      </c>
      <c r="I637" s="6" t="str">
        <f>_xlfn.XLOOKUP(C637,products!A:A,products!B:B)</f>
        <v>Dumbbells</v>
      </c>
      <c r="J637" s="6">
        <f>_xlfn.XLOOKUP(B637,orders!A:A,orders!C:C)</f>
        <v>45879</v>
      </c>
      <c r="K637" s="6" t="str">
        <f t="shared" si="19"/>
        <v>Aug-2025</v>
      </c>
      <c r="L637" s="6">
        <f>_xlfn.XLOOKUP(B637,orders!A:A,orders!B:B)</f>
        <v>230</v>
      </c>
      <c r="M637" s="6" t="str">
        <f>_xlfn.XLOOKUP("C"&amp;TEXT(L637,"000"),customers!A:A,customers!B:B,"Not Found")</f>
        <v>Amit I.</v>
      </c>
    </row>
    <row r="638" spans="1:13">
      <c r="A638">
        <v>637</v>
      </c>
      <c r="B638">
        <v>419</v>
      </c>
      <c r="C638">
        <v>34</v>
      </c>
      <c r="D638" s="4">
        <v>4</v>
      </c>
      <c r="E638">
        <f>_xlfn.XLOOKUP(C638,products!A:A,products!D:D)</f>
        <v>5158</v>
      </c>
      <c r="F638">
        <f t="shared" si="18"/>
        <v>20632</v>
      </c>
      <c r="G638">
        <f>D638*(E638-_xlfn.XLOOKUP(C638,products!A:A,products!E:E))</f>
        <v>8046.48</v>
      </c>
      <c r="H638" s="6" t="str">
        <f>_xlfn.XLOOKUP(C638,products!A:A,products!C:C)</f>
        <v>Books</v>
      </c>
      <c r="I638" s="6" t="str">
        <f>_xlfn.XLOOKUP(C638,products!A:A,products!B:B)</f>
        <v>Cookbook</v>
      </c>
      <c r="J638" s="6">
        <f>_xlfn.XLOOKUP(B638,orders!A:A,orders!C:C)</f>
        <v>45882</v>
      </c>
      <c r="K638" s="6" t="str">
        <f t="shared" si="19"/>
        <v>Aug-2025</v>
      </c>
      <c r="L638" s="6">
        <f>_xlfn.XLOOKUP(B638,orders!A:A,orders!B:B)</f>
        <v>267</v>
      </c>
      <c r="M638" s="6" t="str">
        <f>_xlfn.XLOOKUP("C"&amp;TEXT(L638,"000"),customers!A:A,customers!B:B,"Not Found")</f>
        <v>Rohit C.</v>
      </c>
    </row>
    <row r="639" spans="1:13">
      <c r="A639">
        <v>638</v>
      </c>
      <c r="B639">
        <v>419</v>
      </c>
      <c r="C639">
        <v>47</v>
      </c>
      <c r="D639" s="4">
        <v>1</v>
      </c>
      <c r="E639">
        <f>_xlfn.XLOOKUP(C639,products!A:A,products!D:D)</f>
        <v>6939</v>
      </c>
      <c r="F639">
        <f t="shared" si="18"/>
        <v>6939</v>
      </c>
      <c r="G639">
        <f>D639*(E639-_xlfn.XLOOKUP(C639,products!A:A,products!E:E))</f>
        <v>2393.9499999999998</v>
      </c>
      <c r="H639" s="6" t="str">
        <f>_xlfn.XLOOKUP(C639,products!A:A,products!C:C)</f>
        <v>Toys</v>
      </c>
      <c r="I639" s="6" t="str">
        <f>_xlfn.XLOOKUP(C639,products!A:A,products!B:B)</f>
        <v>Puzzle</v>
      </c>
      <c r="J639" s="6">
        <f>_xlfn.XLOOKUP(B639,orders!A:A,orders!C:C)</f>
        <v>45882</v>
      </c>
      <c r="K639" s="6" t="str">
        <f t="shared" si="19"/>
        <v>Aug-2025</v>
      </c>
      <c r="L639" s="6">
        <f>_xlfn.XLOOKUP(B639,orders!A:A,orders!B:B)</f>
        <v>267</v>
      </c>
      <c r="M639" s="6" t="str">
        <f>_xlfn.XLOOKUP("C"&amp;TEXT(L639,"000"),customers!A:A,customers!B:B,"Not Found")</f>
        <v>Rohit C.</v>
      </c>
    </row>
    <row r="640" spans="1:13">
      <c r="A640">
        <v>639</v>
      </c>
      <c r="B640">
        <v>420</v>
      </c>
      <c r="C640">
        <v>41</v>
      </c>
      <c r="D640" s="4">
        <v>1</v>
      </c>
      <c r="E640">
        <f>_xlfn.XLOOKUP(C640,products!A:A,products!D:D)</f>
        <v>6117</v>
      </c>
      <c r="F640">
        <f t="shared" si="18"/>
        <v>6117</v>
      </c>
      <c r="G640">
        <f>D640*(E640-_xlfn.XLOOKUP(C640,products!A:A,products!E:E))</f>
        <v>2660.89</v>
      </c>
      <c r="H640" s="6" t="str">
        <f>_xlfn.XLOOKUP(C640,products!A:A,products!C:C)</f>
        <v>Beauty</v>
      </c>
      <c r="I640" s="6" t="str">
        <f>_xlfn.XLOOKUP(C640,products!A:A,products!B:B)</f>
        <v>Face Wash</v>
      </c>
      <c r="J640" s="6">
        <f>_xlfn.XLOOKUP(B640,orders!A:A,orders!C:C)</f>
        <v>45885</v>
      </c>
      <c r="K640" s="6" t="str">
        <f t="shared" si="19"/>
        <v>Aug-2025</v>
      </c>
      <c r="L640" s="6">
        <f>_xlfn.XLOOKUP(B640,orders!A:A,orders!B:B)</f>
        <v>304</v>
      </c>
      <c r="M640" s="6" t="str">
        <f>_xlfn.XLOOKUP("C"&amp;TEXT(L640,"000"),customers!A:A,customers!B:B,"Not Found")</f>
        <v>Sneha Z.</v>
      </c>
    </row>
    <row r="641" spans="1:13">
      <c r="A641">
        <v>640</v>
      </c>
      <c r="B641">
        <v>420</v>
      </c>
      <c r="C641">
        <v>4</v>
      </c>
      <c r="D641" s="4">
        <v>2</v>
      </c>
      <c r="E641">
        <f>_xlfn.XLOOKUP(C641,products!A:A,products!D:D)</f>
        <v>1048</v>
      </c>
      <c r="F641">
        <f t="shared" si="18"/>
        <v>2096</v>
      </c>
      <c r="G641">
        <f>D641*(E641-_xlfn.XLOOKUP(C641,products!A:A,products!E:E))</f>
        <v>817.44</v>
      </c>
      <c r="H641" s="6" t="str">
        <f>_xlfn.XLOOKUP(C641,products!A:A,products!C:C)</f>
        <v>Electronics</v>
      </c>
      <c r="I641" s="6" t="str">
        <f>_xlfn.XLOOKUP(C641,products!A:A,products!B:B)</f>
        <v>Smart Watch</v>
      </c>
      <c r="J641" s="6">
        <f>_xlfn.XLOOKUP(B641,orders!A:A,orders!C:C)</f>
        <v>45885</v>
      </c>
      <c r="K641" s="6" t="str">
        <f t="shared" si="19"/>
        <v>Aug-2025</v>
      </c>
      <c r="L641" s="6">
        <f>_xlfn.XLOOKUP(B641,orders!A:A,orders!B:B)</f>
        <v>304</v>
      </c>
      <c r="M641" s="6" t="str">
        <f>_xlfn.XLOOKUP("C"&amp;TEXT(L641,"000"),customers!A:A,customers!B:B,"Not Found")</f>
        <v>Sneha Z.</v>
      </c>
    </row>
    <row r="642" spans="1:13">
      <c r="A642">
        <v>641</v>
      </c>
      <c r="B642">
        <v>421</v>
      </c>
      <c r="C642">
        <v>48</v>
      </c>
      <c r="D642" s="4">
        <v>2</v>
      </c>
      <c r="E642">
        <f>_xlfn.XLOOKUP(C642,products!A:A,products!D:D)</f>
        <v>7076</v>
      </c>
      <c r="F642">
        <f t="shared" ref="F642:F705" si="20">D642*E642</f>
        <v>14152</v>
      </c>
      <c r="G642">
        <f>D642*(E642-_xlfn.XLOOKUP(C642,products!A:A,products!E:E))</f>
        <v>4670.16</v>
      </c>
      <c r="H642" s="6" t="str">
        <f>_xlfn.XLOOKUP(C642,products!A:A,products!C:C)</f>
        <v>Toys</v>
      </c>
      <c r="I642" s="6" t="str">
        <f>_xlfn.XLOOKUP(C642,products!A:A,products!B:B)</f>
        <v>Board Game</v>
      </c>
      <c r="J642" s="6">
        <f>_xlfn.XLOOKUP(B642,orders!A:A,orders!C:C)</f>
        <v>45888</v>
      </c>
      <c r="K642" s="6" t="str">
        <f t="shared" ref="K642:K705" si="21">TEXT(J642,"mmm-yyyy")</f>
        <v>Aug-2025</v>
      </c>
      <c r="L642" s="6">
        <f>_xlfn.XLOOKUP(B642,orders!A:A,orders!B:B)</f>
        <v>341</v>
      </c>
      <c r="M642" s="6" t="str">
        <f>_xlfn.XLOOKUP("C"&amp;TEXT(L642,"000"),customers!A:A,customers!B:B,"Not Found")</f>
        <v>Meena J.</v>
      </c>
    </row>
    <row r="643" spans="1:13">
      <c r="A643">
        <v>642</v>
      </c>
      <c r="B643">
        <v>421</v>
      </c>
      <c r="C643">
        <v>11</v>
      </c>
      <c r="D643" s="4">
        <v>3</v>
      </c>
      <c r="E643">
        <f>_xlfn.XLOOKUP(C643,products!A:A,products!D:D)</f>
        <v>2007</v>
      </c>
      <c r="F643">
        <f t="shared" si="20"/>
        <v>6021</v>
      </c>
      <c r="G643">
        <f>D643*(E643-_xlfn.XLOOKUP(C643,products!A:A,products!E:E))</f>
        <v>2619.12</v>
      </c>
      <c r="H643" s="6" t="str">
        <f>_xlfn.XLOOKUP(C643,products!A:A,products!C:C)</f>
        <v>Fashion</v>
      </c>
      <c r="I643" s="6" t="str">
        <f>_xlfn.XLOOKUP(C643,products!A:A,products!B:B)</f>
        <v>T-Shirt</v>
      </c>
      <c r="J643" s="6">
        <f>_xlfn.XLOOKUP(B643,orders!A:A,orders!C:C)</f>
        <v>45888</v>
      </c>
      <c r="K643" s="6" t="str">
        <f t="shared" si="21"/>
        <v>Aug-2025</v>
      </c>
      <c r="L643" s="6">
        <f>_xlfn.XLOOKUP(B643,orders!A:A,orders!B:B)</f>
        <v>341</v>
      </c>
      <c r="M643" s="6" t="str">
        <f>_xlfn.XLOOKUP("C"&amp;TEXT(L643,"000"),customers!A:A,customers!B:B,"Not Found")</f>
        <v>Meena J.</v>
      </c>
    </row>
    <row r="644" spans="1:13">
      <c r="A644">
        <v>643</v>
      </c>
      <c r="B644">
        <v>422</v>
      </c>
      <c r="C644">
        <v>5</v>
      </c>
      <c r="D644" s="4">
        <v>3</v>
      </c>
      <c r="E644">
        <f>_xlfn.XLOOKUP(C644,products!A:A,products!D:D)</f>
        <v>1185</v>
      </c>
      <c r="F644">
        <f t="shared" si="20"/>
        <v>3555</v>
      </c>
      <c r="G644">
        <f>D644*(E644-_xlfn.XLOOKUP(C644,products!A:A,products!E:E))</f>
        <v>1333.1399999999999</v>
      </c>
      <c r="H644" s="6" t="str">
        <f>_xlfn.XLOOKUP(C644,products!A:A,products!C:C)</f>
        <v>Electronics</v>
      </c>
      <c r="I644" s="6" t="str">
        <f>_xlfn.XLOOKUP(C644,products!A:A,products!B:B)</f>
        <v>Keyboard</v>
      </c>
      <c r="J644" s="6">
        <f>_xlfn.XLOOKUP(B644,orders!A:A,orders!C:C)</f>
        <v>45891</v>
      </c>
      <c r="K644" s="6" t="str">
        <f t="shared" si="21"/>
        <v>Aug-2025</v>
      </c>
      <c r="L644" s="6">
        <f>_xlfn.XLOOKUP(B644,orders!A:A,orders!B:B)</f>
        <v>378</v>
      </c>
      <c r="M644" s="6" t="str">
        <f>_xlfn.XLOOKUP("C"&amp;TEXT(L644,"000"),customers!A:A,customers!B:B,"Not Found")</f>
        <v>Divya K.</v>
      </c>
    </row>
    <row r="645" spans="1:13">
      <c r="A645">
        <v>644</v>
      </c>
      <c r="B645">
        <v>422</v>
      </c>
      <c r="C645">
        <v>18</v>
      </c>
      <c r="D645" s="4">
        <v>4</v>
      </c>
      <c r="E645">
        <f>_xlfn.XLOOKUP(C645,products!A:A,products!D:D)</f>
        <v>2966</v>
      </c>
      <c r="F645">
        <f t="shared" si="20"/>
        <v>11864</v>
      </c>
      <c r="G645">
        <f>D645*(E645-_xlfn.XLOOKUP(C645,products!A:A,products!E:E))</f>
        <v>3915.12</v>
      </c>
      <c r="H645" s="6" t="str">
        <f>_xlfn.XLOOKUP(C645,products!A:A,products!C:C)</f>
        <v>Fashion</v>
      </c>
      <c r="I645" s="6" t="str">
        <f>_xlfn.XLOOKUP(C645,products!A:A,products!B:B)</f>
        <v>Backpack</v>
      </c>
      <c r="J645" s="6">
        <f>_xlfn.XLOOKUP(B645,orders!A:A,orders!C:C)</f>
        <v>45891</v>
      </c>
      <c r="K645" s="6" t="str">
        <f t="shared" si="21"/>
        <v>Aug-2025</v>
      </c>
      <c r="L645" s="6">
        <f>_xlfn.XLOOKUP(B645,orders!A:A,orders!B:B)</f>
        <v>378</v>
      </c>
      <c r="M645" s="6" t="str">
        <f>_xlfn.XLOOKUP("C"&amp;TEXT(L645,"000"),customers!A:A,customers!B:B,"Not Found")</f>
        <v>Divya K.</v>
      </c>
    </row>
    <row r="646" spans="1:13">
      <c r="A646">
        <v>645</v>
      </c>
      <c r="B646">
        <v>423</v>
      </c>
      <c r="C646">
        <v>12</v>
      </c>
      <c r="D646" s="4">
        <v>4</v>
      </c>
      <c r="E646">
        <f>_xlfn.XLOOKUP(C646,products!A:A,products!D:D)</f>
        <v>2144</v>
      </c>
      <c r="F646">
        <f t="shared" si="20"/>
        <v>8576</v>
      </c>
      <c r="G646">
        <f>D646*(E646-_xlfn.XLOOKUP(C646,products!A:A,products!E:E))</f>
        <v>3601.92</v>
      </c>
      <c r="H646" s="6" t="str">
        <f>_xlfn.XLOOKUP(C646,products!A:A,products!C:C)</f>
        <v>Fashion</v>
      </c>
      <c r="I646" s="6" t="str">
        <f>_xlfn.XLOOKUP(C646,products!A:A,products!B:B)</f>
        <v>Jeans</v>
      </c>
      <c r="J646" s="6">
        <f>_xlfn.XLOOKUP(B646,orders!A:A,orders!C:C)</f>
        <v>45894</v>
      </c>
      <c r="K646" s="6" t="str">
        <f t="shared" si="21"/>
        <v>Aug-2025</v>
      </c>
      <c r="L646" s="6">
        <f>_xlfn.XLOOKUP(B646,orders!A:A,orders!B:B)</f>
        <v>415</v>
      </c>
      <c r="M646" s="6" t="str">
        <f>_xlfn.XLOOKUP("C"&amp;TEXT(L646,"000"),customers!A:A,customers!B:B,"Not Found")</f>
        <v>Kavya P.</v>
      </c>
    </row>
    <row r="647" spans="1:13">
      <c r="A647">
        <v>646</v>
      </c>
      <c r="B647">
        <v>423</v>
      </c>
      <c r="C647">
        <v>25</v>
      </c>
      <c r="D647" s="4">
        <v>1</v>
      </c>
      <c r="E647">
        <f>_xlfn.XLOOKUP(C647,products!A:A,products!D:D)</f>
        <v>3925</v>
      </c>
      <c r="F647">
        <f t="shared" si="20"/>
        <v>3925</v>
      </c>
      <c r="G647">
        <f>D647*(E647-_xlfn.XLOOKUP(C647,products!A:A,products!E:E))</f>
        <v>1471.88</v>
      </c>
      <c r="H647" s="6" t="str">
        <f>_xlfn.XLOOKUP(C647,products!A:A,products!C:C)</f>
        <v>Home Appliances</v>
      </c>
      <c r="I647" s="6" t="str">
        <f>_xlfn.XLOOKUP(C647,products!A:A,products!B:B)</f>
        <v>Vacuum Cleaner</v>
      </c>
      <c r="J647" s="6">
        <f>_xlfn.XLOOKUP(B647,orders!A:A,orders!C:C)</f>
        <v>45894</v>
      </c>
      <c r="K647" s="6" t="str">
        <f t="shared" si="21"/>
        <v>Aug-2025</v>
      </c>
      <c r="L647" s="6">
        <f>_xlfn.XLOOKUP(B647,orders!A:A,orders!B:B)</f>
        <v>415</v>
      </c>
      <c r="M647" s="6" t="str">
        <f>_xlfn.XLOOKUP("C"&amp;TEXT(L647,"000"),customers!A:A,customers!B:B,"Not Found")</f>
        <v>Kavya P.</v>
      </c>
    </row>
    <row r="648" spans="1:13">
      <c r="A648">
        <v>647</v>
      </c>
      <c r="B648">
        <v>424</v>
      </c>
      <c r="C648">
        <v>19</v>
      </c>
      <c r="D648" s="4">
        <v>1</v>
      </c>
      <c r="E648">
        <f>_xlfn.XLOOKUP(C648,products!A:A,products!D:D)</f>
        <v>3103</v>
      </c>
      <c r="F648">
        <f t="shared" si="20"/>
        <v>3103</v>
      </c>
      <c r="G648">
        <f>D648*(E648-_xlfn.XLOOKUP(C648,products!A:A,products!E:E))</f>
        <v>977.44</v>
      </c>
      <c r="H648" s="6" t="str">
        <f>_xlfn.XLOOKUP(C648,products!A:A,products!C:C)</f>
        <v>Fashion</v>
      </c>
      <c r="I648" s="6" t="str">
        <f>_xlfn.XLOOKUP(C648,products!A:A,products!B:B)</f>
        <v>Wallet</v>
      </c>
      <c r="J648" s="6">
        <f>_xlfn.XLOOKUP(B648,orders!A:A,orders!C:C)</f>
        <v>45897</v>
      </c>
      <c r="K648" s="6" t="str">
        <f t="shared" si="21"/>
        <v>Aug-2025</v>
      </c>
      <c r="L648" s="6">
        <f>_xlfn.XLOOKUP(B648,orders!A:A,orders!B:B)</f>
        <v>452</v>
      </c>
      <c r="M648" s="6" t="str">
        <f>_xlfn.XLOOKUP("C"&amp;TEXT(L648,"000"),customers!A:A,customers!B:B,"Not Found")</f>
        <v>Swathi K.</v>
      </c>
    </row>
    <row r="649" spans="1:13">
      <c r="A649">
        <v>648</v>
      </c>
      <c r="B649">
        <v>424</v>
      </c>
      <c r="C649">
        <v>32</v>
      </c>
      <c r="D649" s="4">
        <v>2</v>
      </c>
      <c r="E649">
        <f>_xlfn.XLOOKUP(C649,products!A:A,products!D:D)</f>
        <v>4884</v>
      </c>
      <c r="F649">
        <f t="shared" si="20"/>
        <v>9768</v>
      </c>
      <c r="G649">
        <f>D649*(E649-_xlfn.XLOOKUP(C649,products!A:A,products!E:E))</f>
        <v>4102.5600000000004</v>
      </c>
      <c r="H649" s="6" t="str">
        <f>_xlfn.XLOOKUP(C649,products!A:A,products!C:C)</f>
        <v>Books</v>
      </c>
      <c r="I649" s="6" t="str">
        <f>_xlfn.XLOOKUP(C649,products!A:A,products!B:B)</f>
        <v>Notebook</v>
      </c>
      <c r="J649" s="6">
        <f>_xlfn.XLOOKUP(B649,orders!A:A,orders!C:C)</f>
        <v>45897</v>
      </c>
      <c r="K649" s="6" t="str">
        <f t="shared" si="21"/>
        <v>Aug-2025</v>
      </c>
      <c r="L649" s="6">
        <f>_xlfn.XLOOKUP(B649,orders!A:A,orders!B:B)</f>
        <v>452</v>
      </c>
      <c r="M649" s="6" t="str">
        <f>_xlfn.XLOOKUP("C"&amp;TEXT(L649,"000"),customers!A:A,customers!B:B,"Not Found")</f>
        <v>Swathi K.</v>
      </c>
    </row>
    <row r="650" spans="1:13">
      <c r="A650">
        <v>649</v>
      </c>
      <c r="B650">
        <v>425</v>
      </c>
      <c r="C650">
        <v>26</v>
      </c>
      <c r="D650" s="4">
        <v>2</v>
      </c>
      <c r="E650">
        <f>_xlfn.XLOOKUP(C650,products!A:A,products!D:D)</f>
        <v>4062</v>
      </c>
      <c r="F650">
        <f t="shared" si="20"/>
        <v>8124</v>
      </c>
      <c r="G650">
        <f>D650*(E650-_xlfn.XLOOKUP(C650,products!A:A,products!E:E))</f>
        <v>2924.6400000000003</v>
      </c>
      <c r="H650" s="6" t="str">
        <f>_xlfn.XLOOKUP(C650,products!A:A,products!C:C)</f>
        <v>Home &amp; Kitchen</v>
      </c>
      <c r="I650" s="6" t="str">
        <f>_xlfn.XLOOKUP(C650,products!A:A,products!B:B)</f>
        <v>Bedsheet</v>
      </c>
      <c r="J650" s="6">
        <f>_xlfn.XLOOKUP(B650,orders!A:A,orders!C:C)</f>
        <v>45900</v>
      </c>
      <c r="K650" s="6" t="str">
        <f t="shared" si="21"/>
        <v>Aug-2025</v>
      </c>
      <c r="L650" s="6">
        <f>_xlfn.XLOOKUP(B650,orders!A:A,orders!B:B)</f>
        <v>489</v>
      </c>
      <c r="M650" s="6" t="str">
        <f>_xlfn.XLOOKUP("C"&amp;TEXT(L650,"000"),customers!A:A,customers!B:B,"Not Found")</f>
        <v>Nikhil B.</v>
      </c>
    </row>
    <row r="651" spans="1:13">
      <c r="A651">
        <v>650</v>
      </c>
      <c r="B651">
        <v>425</v>
      </c>
      <c r="C651">
        <v>39</v>
      </c>
      <c r="D651" s="4">
        <v>3</v>
      </c>
      <c r="E651">
        <f>_xlfn.XLOOKUP(C651,products!A:A,products!D:D)</f>
        <v>5843</v>
      </c>
      <c r="F651">
        <f t="shared" si="20"/>
        <v>17529</v>
      </c>
      <c r="G651">
        <f>D651*(E651-_xlfn.XLOOKUP(C651,products!A:A,products!E:E))</f>
        <v>5521.62</v>
      </c>
      <c r="H651" s="6" t="str">
        <f>_xlfn.XLOOKUP(C651,products!A:A,products!C:C)</f>
        <v>Sports</v>
      </c>
      <c r="I651" s="6" t="str">
        <f>_xlfn.XLOOKUP(C651,products!A:A,products!B:B)</f>
        <v>Yoga Mat</v>
      </c>
      <c r="J651" s="6">
        <f>_xlfn.XLOOKUP(B651,orders!A:A,orders!C:C)</f>
        <v>45900</v>
      </c>
      <c r="K651" s="6" t="str">
        <f t="shared" si="21"/>
        <v>Aug-2025</v>
      </c>
      <c r="L651" s="6">
        <f>_xlfn.XLOOKUP(B651,orders!A:A,orders!B:B)</f>
        <v>489</v>
      </c>
      <c r="M651" s="6" t="str">
        <f>_xlfn.XLOOKUP("C"&amp;TEXT(L651,"000"),customers!A:A,customers!B:B,"Not Found")</f>
        <v>Nikhil B.</v>
      </c>
    </row>
    <row r="652" spans="1:13">
      <c r="A652">
        <v>651</v>
      </c>
      <c r="B652">
        <v>426</v>
      </c>
      <c r="C652">
        <v>33</v>
      </c>
      <c r="D652" s="4">
        <v>3</v>
      </c>
      <c r="E652">
        <f>_xlfn.XLOOKUP(C652,products!A:A,products!D:D)</f>
        <v>5021</v>
      </c>
      <c r="F652">
        <f t="shared" si="20"/>
        <v>15063</v>
      </c>
      <c r="G652">
        <f>D652*(E652-_xlfn.XLOOKUP(C652,products!A:A,products!E:E))</f>
        <v>6100.5</v>
      </c>
      <c r="H652" s="6" t="str">
        <f>_xlfn.XLOOKUP(C652,products!A:A,products!C:C)</f>
        <v>Books</v>
      </c>
      <c r="I652" s="6" t="str">
        <f>_xlfn.XLOOKUP(C652,products!A:A,products!B:B)</f>
        <v>Pen Set</v>
      </c>
      <c r="J652" s="6">
        <f>_xlfn.XLOOKUP(B652,orders!A:A,orders!C:C)</f>
        <v>45903</v>
      </c>
      <c r="K652" s="6" t="str">
        <f t="shared" si="21"/>
        <v>Sep-2025</v>
      </c>
      <c r="L652" s="6">
        <f>_xlfn.XLOOKUP(B652,orders!A:A,orders!B:B)</f>
        <v>26</v>
      </c>
      <c r="M652" s="6" t="str">
        <f>_xlfn.XLOOKUP("C"&amp;TEXT(L652,"000"),customers!A:A,customers!B:B,"Not Found")</f>
        <v>Rohit Q.</v>
      </c>
    </row>
    <row r="653" spans="1:13">
      <c r="A653">
        <v>652</v>
      </c>
      <c r="B653">
        <v>426</v>
      </c>
      <c r="C653">
        <v>46</v>
      </c>
      <c r="D653" s="4">
        <v>4</v>
      </c>
      <c r="E653">
        <f>_xlfn.XLOOKUP(C653,products!A:A,products!D:D)</f>
        <v>6802</v>
      </c>
      <c r="F653">
        <f t="shared" si="20"/>
        <v>27208</v>
      </c>
      <c r="G653">
        <f>D653*(E653-_xlfn.XLOOKUP(C653,products!A:A,products!E:E))</f>
        <v>9794.880000000001</v>
      </c>
      <c r="H653" s="6" t="str">
        <f>_xlfn.XLOOKUP(C653,products!A:A,products!C:C)</f>
        <v>Toys</v>
      </c>
      <c r="I653" s="6" t="str">
        <f>_xlfn.XLOOKUP(C653,products!A:A,products!B:B)</f>
        <v>Toys Car</v>
      </c>
      <c r="J653" s="6">
        <f>_xlfn.XLOOKUP(B653,orders!A:A,orders!C:C)</f>
        <v>45903</v>
      </c>
      <c r="K653" s="6" t="str">
        <f t="shared" si="21"/>
        <v>Sep-2025</v>
      </c>
      <c r="L653" s="6">
        <f>_xlfn.XLOOKUP(B653,orders!A:A,orders!B:B)</f>
        <v>26</v>
      </c>
      <c r="M653" s="6" t="str">
        <f>_xlfn.XLOOKUP("C"&amp;TEXT(L653,"000"),customers!A:A,customers!B:B,"Not Found")</f>
        <v>Rohit Q.</v>
      </c>
    </row>
    <row r="654" spans="1:13">
      <c r="A654">
        <v>653</v>
      </c>
      <c r="B654">
        <v>427</v>
      </c>
      <c r="C654">
        <v>40</v>
      </c>
      <c r="D654" s="4">
        <v>4</v>
      </c>
      <c r="E654">
        <f>_xlfn.XLOOKUP(C654,products!A:A,products!D:D)</f>
        <v>5980</v>
      </c>
      <c r="F654">
        <f t="shared" si="20"/>
        <v>23920</v>
      </c>
      <c r="G654">
        <f>D654*(E654-_xlfn.XLOOKUP(C654,products!A:A,products!E:E))</f>
        <v>10764</v>
      </c>
      <c r="H654" s="6" t="str">
        <f>_xlfn.XLOOKUP(C654,products!A:A,products!C:C)</f>
        <v>Sports</v>
      </c>
      <c r="I654" s="6" t="str">
        <f>_xlfn.XLOOKUP(C654,products!A:A,products!B:B)</f>
        <v>Dumbbells</v>
      </c>
      <c r="J654" s="6">
        <f>_xlfn.XLOOKUP(B654,orders!A:A,orders!C:C)</f>
        <v>45906</v>
      </c>
      <c r="K654" s="6" t="str">
        <f t="shared" si="21"/>
        <v>Sep-2025</v>
      </c>
      <c r="L654" s="6">
        <f>_xlfn.XLOOKUP(B654,orders!A:A,orders!B:B)</f>
        <v>63</v>
      </c>
      <c r="M654" s="6" t="str">
        <f>_xlfn.XLOOKUP("C"&amp;TEXT(L654,"000"),customers!A:A,customers!B:B,"Not Found")</f>
        <v>Ravi V.</v>
      </c>
    </row>
    <row r="655" spans="1:13">
      <c r="A655">
        <v>654</v>
      </c>
      <c r="B655">
        <v>427</v>
      </c>
      <c r="C655">
        <v>3</v>
      </c>
      <c r="D655" s="4">
        <v>1</v>
      </c>
      <c r="E655">
        <f>_xlfn.XLOOKUP(C655,products!A:A,products!D:D)</f>
        <v>911</v>
      </c>
      <c r="F655">
        <f t="shared" si="20"/>
        <v>911</v>
      </c>
      <c r="G655">
        <f>D655*(E655-_xlfn.XLOOKUP(C655,products!A:A,products!E:E))</f>
        <v>368.95000000000005</v>
      </c>
      <c r="H655" s="6" t="str">
        <f>_xlfn.XLOOKUP(C655,products!A:A,products!C:C)</f>
        <v>Electronics</v>
      </c>
      <c r="I655" s="6" t="str">
        <f>_xlfn.XLOOKUP(C655,products!A:A,products!B:B)</f>
        <v>Headphones</v>
      </c>
      <c r="J655" s="6">
        <f>_xlfn.XLOOKUP(B655,orders!A:A,orders!C:C)</f>
        <v>45906</v>
      </c>
      <c r="K655" s="6" t="str">
        <f t="shared" si="21"/>
        <v>Sep-2025</v>
      </c>
      <c r="L655" s="6">
        <f>_xlfn.XLOOKUP(B655,orders!A:A,orders!B:B)</f>
        <v>63</v>
      </c>
      <c r="M655" s="6" t="str">
        <f>_xlfn.XLOOKUP("C"&amp;TEXT(L655,"000"),customers!A:A,customers!B:B,"Not Found")</f>
        <v>Ravi V.</v>
      </c>
    </row>
    <row r="656" spans="1:13">
      <c r="A656">
        <v>655</v>
      </c>
      <c r="B656">
        <v>428</v>
      </c>
      <c r="C656">
        <v>47</v>
      </c>
      <c r="D656" s="4">
        <v>1</v>
      </c>
      <c r="E656">
        <f>_xlfn.XLOOKUP(C656,products!A:A,products!D:D)</f>
        <v>6939</v>
      </c>
      <c r="F656">
        <f t="shared" si="20"/>
        <v>6939</v>
      </c>
      <c r="G656">
        <f>D656*(E656-_xlfn.XLOOKUP(C656,products!A:A,products!E:E))</f>
        <v>2393.9499999999998</v>
      </c>
      <c r="H656" s="6" t="str">
        <f>_xlfn.XLOOKUP(C656,products!A:A,products!C:C)</f>
        <v>Toys</v>
      </c>
      <c r="I656" s="6" t="str">
        <f>_xlfn.XLOOKUP(C656,products!A:A,products!B:B)</f>
        <v>Puzzle</v>
      </c>
      <c r="J656" s="6">
        <f>_xlfn.XLOOKUP(B656,orders!A:A,orders!C:C)</f>
        <v>45909</v>
      </c>
      <c r="K656" s="6" t="str">
        <f t="shared" si="21"/>
        <v>Sep-2025</v>
      </c>
      <c r="L656" s="6">
        <f>_xlfn.XLOOKUP(B656,orders!A:A,orders!B:B)</f>
        <v>100</v>
      </c>
      <c r="M656" s="6" t="str">
        <f>_xlfn.XLOOKUP("C"&amp;TEXT(L656,"000"),customers!A:A,customers!B:B,"Not Found")</f>
        <v>Lakshmi A.</v>
      </c>
    </row>
    <row r="657" spans="1:13">
      <c r="A657">
        <v>656</v>
      </c>
      <c r="B657">
        <v>428</v>
      </c>
      <c r="C657">
        <v>10</v>
      </c>
      <c r="D657" s="4">
        <v>2</v>
      </c>
      <c r="E657">
        <f>_xlfn.XLOOKUP(C657,products!A:A,products!D:D)</f>
        <v>1870</v>
      </c>
      <c r="F657">
        <f t="shared" si="20"/>
        <v>3740</v>
      </c>
      <c r="G657">
        <f>D657*(E657-_xlfn.XLOOKUP(C657,products!A:A,products!E:E))</f>
        <v>1683</v>
      </c>
      <c r="H657" s="6" t="str">
        <f>_xlfn.XLOOKUP(C657,products!A:A,products!C:C)</f>
        <v>Electronics</v>
      </c>
      <c r="I657" s="6" t="str">
        <f>_xlfn.XLOOKUP(C657,products!A:A,products!B:B)</f>
        <v>Earbuds</v>
      </c>
      <c r="J657" s="6">
        <f>_xlfn.XLOOKUP(B657,orders!A:A,orders!C:C)</f>
        <v>45909</v>
      </c>
      <c r="K657" s="6" t="str">
        <f t="shared" si="21"/>
        <v>Sep-2025</v>
      </c>
      <c r="L657" s="6">
        <f>_xlfn.XLOOKUP(B657,orders!A:A,orders!B:B)</f>
        <v>100</v>
      </c>
      <c r="M657" s="6" t="str">
        <f>_xlfn.XLOOKUP("C"&amp;TEXT(L657,"000"),customers!A:A,customers!B:B,"Not Found")</f>
        <v>Lakshmi A.</v>
      </c>
    </row>
    <row r="658" spans="1:13">
      <c r="A658">
        <v>657</v>
      </c>
      <c r="B658">
        <v>429</v>
      </c>
      <c r="C658">
        <v>4</v>
      </c>
      <c r="D658" s="4">
        <v>2</v>
      </c>
      <c r="E658">
        <f>_xlfn.XLOOKUP(C658,products!A:A,products!D:D)</f>
        <v>1048</v>
      </c>
      <c r="F658">
        <f t="shared" si="20"/>
        <v>2096</v>
      </c>
      <c r="G658">
        <f>D658*(E658-_xlfn.XLOOKUP(C658,products!A:A,products!E:E))</f>
        <v>817.44</v>
      </c>
      <c r="H658" s="6" t="str">
        <f>_xlfn.XLOOKUP(C658,products!A:A,products!C:C)</f>
        <v>Electronics</v>
      </c>
      <c r="I658" s="6" t="str">
        <f>_xlfn.XLOOKUP(C658,products!A:A,products!B:B)</f>
        <v>Smart Watch</v>
      </c>
      <c r="J658" s="6">
        <f>_xlfn.XLOOKUP(B658,orders!A:A,orders!C:C)</f>
        <v>45912</v>
      </c>
      <c r="K658" s="6" t="str">
        <f t="shared" si="21"/>
        <v>Sep-2025</v>
      </c>
      <c r="L658" s="6">
        <f>_xlfn.XLOOKUP(B658,orders!A:A,orders!B:B)</f>
        <v>137</v>
      </c>
      <c r="M658" s="6" t="str">
        <f>_xlfn.XLOOKUP("C"&amp;TEXT(L658,"000"),customers!A:A,customers!B:B,"Not Found")</f>
        <v>Nikhil V.</v>
      </c>
    </row>
    <row r="659" spans="1:13">
      <c r="A659">
        <v>658</v>
      </c>
      <c r="B659">
        <v>429</v>
      </c>
      <c r="C659">
        <v>17</v>
      </c>
      <c r="D659" s="4">
        <v>3</v>
      </c>
      <c r="E659">
        <f>_xlfn.XLOOKUP(C659,products!A:A,products!D:D)</f>
        <v>2829</v>
      </c>
      <c r="F659">
        <f t="shared" si="20"/>
        <v>8487</v>
      </c>
      <c r="G659">
        <f>D659*(E659-_xlfn.XLOOKUP(C659,products!A:A,products!E:E))</f>
        <v>2928</v>
      </c>
      <c r="H659" s="6" t="str">
        <f>_xlfn.XLOOKUP(C659,products!A:A,products!C:C)</f>
        <v>Fashion</v>
      </c>
      <c r="I659" s="6" t="str">
        <f>_xlfn.XLOOKUP(C659,products!A:A,products!B:B)</f>
        <v>Dress</v>
      </c>
      <c r="J659" s="6">
        <f>_xlfn.XLOOKUP(B659,orders!A:A,orders!C:C)</f>
        <v>45912</v>
      </c>
      <c r="K659" s="6" t="str">
        <f t="shared" si="21"/>
        <v>Sep-2025</v>
      </c>
      <c r="L659" s="6">
        <f>_xlfn.XLOOKUP(B659,orders!A:A,orders!B:B)</f>
        <v>137</v>
      </c>
      <c r="M659" s="6" t="str">
        <f>_xlfn.XLOOKUP("C"&amp;TEXT(L659,"000"),customers!A:A,customers!B:B,"Not Found")</f>
        <v>Nikhil V.</v>
      </c>
    </row>
    <row r="660" spans="1:13">
      <c r="A660">
        <v>659</v>
      </c>
      <c r="B660">
        <v>430</v>
      </c>
      <c r="C660">
        <v>11</v>
      </c>
      <c r="D660" s="4">
        <v>3</v>
      </c>
      <c r="E660">
        <f>_xlfn.XLOOKUP(C660,products!A:A,products!D:D)</f>
        <v>2007</v>
      </c>
      <c r="F660">
        <f t="shared" si="20"/>
        <v>6021</v>
      </c>
      <c r="G660">
        <f>D660*(E660-_xlfn.XLOOKUP(C660,products!A:A,products!E:E))</f>
        <v>2619.12</v>
      </c>
      <c r="H660" s="6" t="str">
        <f>_xlfn.XLOOKUP(C660,products!A:A,products!C:C)</f>
        <v>Fashion</v>
      </c>
      <c r="I660" s="6" t="str">
        <f>_xlfn.XLOOKUP(C660,products!A:A,products!B:B)</f>
        <v>T-Shirt</v>
      </c>
      <c r="J660" s="6">
        <f>_xlfn.XLOOKUP(B660,orders!A:A,orders!C:C)</f>
        <v>45915</v>
      </c>
      <c r="K660" s="6" t="str">
        <f t="shared" si="21"/>
        <v>Sep-2025</v>
      </c>
      <c r="L660" s="6">
        <f>_xlfn.XLOOKUP(B660,orders!A:A,orders!B:B)</f>
        <v>174</v>
      </c>
      <c r="M660" s="6" t="str">
        <f>_xlfn.XLOOKUP("C"&amp;TEXT(L660,"000"),customers!A:A,customers!B:B,"Not Found")</f>
        <v>Kiran F.</v>
      </c>
    </row>
    <row r="661" spans="1:13">
      <c r="A661">
        <v>660</v>
      </c>
      <c r="B661">
        <v>430</v>
      </c>
      <c r="C661">
        <v>24</v>
      </c>
      <c r="D661" s="4">
        <v>4</v>
      </c>
      <c r="E661">
        <f>_xlfn.XLOOKUP(C661,products!A:A,products!D:D)</f>
        <v>3788</v>
      </c>
      <c r="F661">
        <f t="shared" si="20"/>
        <v>15152</v>
      </c>
      <c r="G661">
        <f>D661*(E661-_xlfn.XLOOKUP(C661,products!A:A,products!E:E))</f>
        <v>5909.2800000000007</v>
      </c>
      <c r="H661" s="6" t="str">
        <f>_xlfn.XLOOKUP(C661,products!A:A,products!C:C)</f>
        <v>Home Appliances</v>
      </c>
      <c r="I661" s="6" t="str">
        <f>_xlfn.XLOOKUP(C661,products!A:A,products!B:B)</f>
        <v>Iron</v>
      </c>
      <c r="J661" s="6">
        <f>_xlfn.XLOOKUP(B661,orders!A:A,orders!C:C)</f>
        <v>45915</v>
      </c>
      <c r="K661" s="6" t="str">
        <f t="shared" si="21"/>
        <v>Sep-2025</v>
      </c>
      <c r="L661" s="6">
        <f>_xlfn.XLOOKUP(B661,orders!A:A,orders!B:B)</f>
        <v>174</v>
      </c>
      <c r="M661" s="6" t="str">
        <f>_xlfn.XLOOKUP("C"&amp;TEXT(L661,"000"),customers!A:A,customers!B:B,"Not Found")</f>
        <v>Kiran F.</v>
      </c>
    </row>
    <row r="662" spans="1:13">
      <c r="A662">
        <v>661</v>
      </c>
      <c r="B662">
        <v>431</v>
      </c>
      <c r="C662">
        <v>18</v>
      </c>
      <c r="D662" s="4">
        <v>4</v>
      </c>
      <c r="E662">
        <f>_xlfn.XLOOKUP(C662,products!A:A,products!D:D)</f>
        <v>2966</v>
      </c>
      <c r="F662">
        <f t="shared" si="20"/>
        <v>11864</v>
      </c>
      <c r="G662">
        <f>D662*(E662-_xlfn.XLOOKUP(C662,products!A:A,products!E:E))</f>
        <v>3915.12</v>
      </c>
      <c r="H662" s="6" t="str">
        <f>_xlfn.XLOOKUP(C662,products!A:A,products!C:C)</f>
        <v>Fashion</v>
      </c>
      <c r="I662" s="6" t="str">
        <f>_xlfn.XLOOKUP(C662,products!A:A,products!B:B)</f>
        <v>Backpack</v>
      </c>
      <c r="J662" s="6">
        <f>_xlfn.XLOOKUP(B662,orders!A:A,orders!C:C)</f>
        <v>45918</v>
      </c>
      <c r="K662" s="6" t="str">
        <f t="shared" si="21"/>
        <v>Sep-2025</v>
      </c>
      <c r="L662" s="6">
        <f>_xlfn.XLOOKUP(B662,orders!A:A,orders!B:B)</f>
        <v>211</v>
      </c>
      <c r="M662" s="6" t="str">
        <f>_xlfn.XLOOKUP("C"&amp;TEXT(L662,"000"),customers!A:A,customers!B:B,"Not Found")</f>
        <v>Nikhil K.</v>
      </c>
    </row>
    <row r="663" spans="1:13">
      <c r="A663">
        <v>662</v>
      </c>
      <c r="B663">
        <v>431</v>
      </c>
      <c r="C663">
        <v>31</v>
      </c>
      <c r="D663" s="4">
        <v>1</v>
      </c>
      <c r="E663">
        <f>_xlfn.XLOOKUP(C663,products!A:A,products!D:D)</f>
        <v>4747</v>
      </c>
      <c r="F663">
        <f t="shared" si="20"/>
        <v>4747</v>
      </c>
      <c r="G663">
        <f>D663*(E663-_xlfn.XLOOKUP(C663,products!A:A,products!E:E))</f>
        <v>2064.94</v>
      </c>
      <c r="H663" s="6" t="str">
        <f>_xlfn.XLOOKUP(C663,products!A:A,products!C:C)</f>
        <v>Books</v>
      </c>
      <c r="I663" s="6" t="str">
        <f>_xlfn.XLOOKUP(C663,products!A:A,products!B:B)</f>
        <v>Book</v>
      </c>
      <c r="J663" s="6">
        <f>_xlfn.XLOOKUP(B663,orders!A:A,orders!C:C)</f>
        <v>45918</v>
      </c>
      <c r="K663" s="6" t="str">
        <f t="shared" si="21"/>
        <v>Sep-2025</v>
      </c>
      <c r="L663" s="6">
        <f>_xlfn.XLOOKUP(B663,orders!A:A,orders!B:B)</f>
        <v>211</v>
      </c>
      <c r="M663" s="6" t="str">
        <f>_xlfn.XLOOKUP("C"&amp;TEXT(L663,"000"),customers!A:A,customers!B:B,"Not Found")</f>
        <v>Nikhil K.</v>
      </c>
    </row>
    <row r="664" spans="1:13">
      <c r="A664">
        <v>663</v>
      </c>
      <c r="B664">
        <v>432</v>
      </c>
      <c r="C664">
        <v>25</v>
      </c>
      <c r="D664" s="4">
        <v>1</v>
      </c>
      <c r="E664">
        <f>_xlfn.XLOOKUP(C664,products!A:A,products!D:D)</f>
        <v>3925</v>
      </c>
      <c r="F664">
        <f t="shared" si="20"/>
        <v>3925</v>
      </c>
      <c r="G664">
        <f>D664*(E664-_xlfn.XLOOKUP(C664,products!A:A,products!E:E))</f>
        <v>1471.88</v>
      </c>
      <c r="H664" s="6" t="str">
        <f>_xlfn.XLOOKUP(C664,products!A:A,products!C:C)</f>
        <v>Home Appliances</v>
      </c>
      <c r="I664" s="6" t="str">
        <f>_xlfn.XLOOKUP(C664,products!A:A,products!B:B)</f>
        <v>Vacuum Cleaner</v>
      </c>
      <c r="J664" s="6">
        <f>_xlfn.XLOOKUP(B664,orders!A:A,orders!C:C)</f>
        <v>45921</v>
      </c>
      <c r="K664" s="6" t="str">
        <f t="shared" si="21"/>
        <v>Sep-2025</v>
      </c>
      <c r="L664" s="6">
        <f>_xlfn.XLOOKUP(B664,orders!A:A,orders!B:B)</f>
        <v>248</v>
      </c>
      <c r="M664" s="6" t="str">
        <f>_xlfn.XLOOKUP("C"&amp;TEXT(L664,"000"),customers!A:A,customers!B:B,"Not Found")</f>
        <v>Lakshmi N.</v>
      </c>
    </row>
    <row r="665" spans="1:13">
      <c r="A665">
        <v>664</v>
      </c>
      <c r="B665">
        <v>432</v>
      </c>
      <c r="C665">
        <v>38</v>
      </c>
      <c r="D665" s="4">
        <v>2</v>
      </c>
      <c r="E665">
        <f>_xlfn.XLOOKUP(C665,products!A:A,products!D:D)</f>
        <v>5706</v>
      </c>
      <c r="F665">
        <f t="shared" si="20"/>
        <v>11412</v>
      </c>
      <c r="G665">
        <f>D665*(E665-_xlfn.XLOOKUP(C665,products!A:A,products!E:E))</f>
        <v>3765.96</v>
      </c>
      <c r="H665" s="6" t="str">
        <f>_xlfn.XLOOKUP(C665,products!A:A,products!C:C)</f>
        <v>Sports</v>
      </c>
      <c r="I665" s="6" t="str">
        <f>_xlfn.XLOOKUP(C665,products!A:A,products!B:B)</f>
        <v>Badminton Racket</v>
      </c>
      <c r="J665" s="6">
        <f>_xlfn.XLOOKUP(B665,orders!A:A,orders!C:C)</f>
        <v>45921</v>
      </c>
      <c r="K665" s="6" t="str">
        <f t="shared" si="21"/>
        <v>Sep-2025</v>
      </c>
      <c r="L665" s="6">
        <f>_xlfn.XLOOKUP(B665,orders!A:A,orders!B:B)</f>
        <v>248</v>
      </c>
      <c r="M665" s="6" t="str">
        <f>_xlfn.XLOOKUP("C"&amp;TEXT(L665,"000"),customers!A:A,customers!B:B,"Not Found")</f>
        <v>Lakshmi N.</v>
      </c>
    </row>
    <row r="666" spans="1:13">
      <c r="A666">
        <v>665</v>
      </c>
      <c r="B666">
        <v>433</v>
      </c>
      <c r="C666">
        <v>32</v>
      </c>
      <c r="D666" s="4">
        <v>2</v>
      </c>
      <c r="E666">
        <f>_xlfn.XLOOKUP(C666,products!A:A,products!D:D)</f>
        <v>4884</v>
      </c>
      <c r="F666">
        <f t="shared" si="20"/>
        <v>9768</v>
      </c>
      <c r="G666">
        <f>D666*(E666-_xlfn.XLOOKUP(C666,products!A:A,products!E:E))</f>
        <v>4102.5600000000004</v>
      </c>
      <c r="H666" s="6" t="str">
        <f>_xlfn.XLOOKUP(C666,products!A:A,products!C:C)</f>
        <v>Books</v>
      </c>
      <c r="I666" s="6" t="str">
        <f>_xlfn.XLOOKUP(C666,products!A:A,products!B:B)</f>
        <v>Notebook</v>
      </c>
      <c r="J666" s="6">
        <f>_xlfn.XLOOKUP(B666,orders!A:A,orders!C:C)</f>
        <v>45924</v>
      </c>
      <c r="K666" s="6" t="str">
        <f t="shared" si="21"/>
        <v>Sep-2025</v>
      </c>
      <c r="L666" s="6">
        <f>_xlfn.XLOOKUP(B666,orders!A:A,orders!B:B)</f>
        <v>285</v>
      </c>
      <c r="M666" s="6" t="str">
        <f>_xlfn.XLOOKUP("C"&amp;TEXT(L666,"000"),customers!A:A,customers!B:B,"Not Found")</f>
        <v>Suresh L.</v>
      </c>
    </row>
    <row r="667" spans="1:13">
      <c r="A667">
        <v>666</v>
      </c>
      <c r="B667">
        <v>433</v>
      </c>
      <c r="C667">
        <v>45</v>
      </c>
      <c r="D667" s="4">
        <v>3</v>
      </c>
      <c r="E667">
        <f>_xlfn.XLOOKUP(C667,products!A:A,products!D:D)</f>
        <v>6665</v>
      </c>
      <c r="F667">
        <f t="shared" si="20"/>
        <v>19995</v>
      </c>
      <c r="G667">
        <f>D667*(E667-_xlfn.XLOOKUP(C667,products!A:A,products!E:E))</f>
        <v>7498.14</v>
      </c>
      <c r="H667" s="6" t="str">
        <f>_xlfn.XLOOKUP(C667,products!A:A,products!C:C)</f>
        <v>Beauty</v>
      </c>
      <c r="I667" s="6" t="str">
        <f>_xlfn.XLOOKUP(C667,products!A:A,products!B:B)</f>
        <v>Sunscreen</v>
      </c>
      <c r="J667" s="6">
        <f>_xlfn.XLOOKUP(B667,orders!A:A,orders!C:C)</f>
        <v>45924</v>
      </c>
      <c r="K667" s="6" t="str">
        <f t="shared" si="21"/>
        <v>Sep-2025</v>
      </c>
      <c r="L667" s="6">
        <f>_xlfn.XLOOKUP(B667,orders!A:A,orders!B:B)</f>
        <v>285</v>
      </c>
      <c r="M667" s="6" t="str">
        <f>_xlfn.XLOOKUP("C"&amp;TEXT(L667,"000"),customers!A:A,customers!B:B,"Not Found")</f>
        <v>Suresh L.</v>
      </c>
    </row>
    <row r="668" spans="1:13">
      <c r="A668">
        <v>667</v>
      </c>
      <c r="B668">
        <v>434</v>
      </c>
      <c r="C668">
        <v>39</v>
      </c>
      <c r="D668" s="4">
        <v>3</v>
      </c>
      <c r="E668">
        <f>_xlfn.XLOOKUP(C668,products!A:A,products!D:D)</f>
        <v>5843</v>
      </c>
      <c r="F668">
        <f t="shared" si="20"/>
        <v>17529</v>
      </c>
      <c r="G668">
        <f>D668*(E668-_xlfn.XLOOKUP(C668,products!A:A,products!E:E))</f>
        <v>5521.62</v>
      </c>
      <c r="H668" s="6" t="str">
        <f>_xlfn.XLOOKUP(C668,products!A:A,products!C:C)</f>
        <v>Sports</v>
      </c>
      <c r="I668" s="6" t="str">
        <f>_xlfn.XLOOKUP(C668,products!A:A,products!B:B)</f>
        <v>Yoga Mat</v>
      </c>
      <c r="J668" s="6">
        <f>_xlfn.XLOOKUP(B668,orders!A:A,orders!C:C)</f>
        <v>45927</v>
      </c>
      <c r="K668" s="6" t="str">
        <f t="shared" si="21"/>
        <v>Sep-2025</v>
      </c>
      <c r="L668" s="6">
        <f>_xlfn.XLOOKUP(B668,orders!A:A,orders!B:B)</f>
        <v>322</v>
      </c>
      <c r="M668" s="6" t="str">
        <f>_xlfn.XLOOKUP("C"&amp;TEXT(L668,"000"),customers!A:A,customers!B:B,"Not Found")</f>
        <v>Kiran Q.</v>
      </c>
    </row>
    <row r="669" spans="1:13">
      <c r="A669">
        <v>668</v>
      </c>
      <c r="B669">
        <v>434</v>
      </c>
      <c r="C669">
        <v>2</v>
      </c>
      <c r="D669" s="4">
        <v>4</v>
      </c>
      <c r="E669">
        <f>_xlfn.XLOOKUP(C669,products!A:A,products!D:D)</f>
        <v>774</v>
      </c>
      <c r="F669">
        <f t="shared" si="20"/>
        <v>3096</v>
      </c>
      <c r="G669">
        <f>D669*(E669-_xlfn.XLOOKUP(C669,products!A:A,products!E:E))</f>
        <v>1300.32</v>
      </c>
      <c r="H669" s="6" t="str">
        <f>_xlfn.XLOOKUP(C669,products!A:A,products!C:C)</f>
        <v>Electronics</v>
      </c>
      <c r="I669" s="6" t="str">
        <f>_xlfn.XLOOKUP(C669,products!A:A,products!B:B)</f>
        <v>Mobile</v>
      </c>
      <c r="J669" s="6">
        <f>_xlfn.XLOOKUP(B669,orders!A:A,orders!C:C)</f>
        <v>45927</v>
      </c>
      <c r="K669" s="6" t="str">
        <f t="shared" si="21"/>
        <v>Sep-2025</v>
      </c>
      <c r="L669" s="6">
        <f>_xlfn.XLOOKUP(B669,orders!A:A,orders!B:B)</f>
        <v>322</v>
      </c>
      <c r="M669" s="6" t="str">
        <f>_xlfn.XLOOKUP("C"&amp;TEXT(L669,"000"),customers!A:A,customers!B:B,"Not Found")</f>
        <v>Kiran Q.</v>
      </c>
    </row>
    <row r="670" spans="1:13">
      <c r="A670">
        <v>669</v>
      </c>
      <c r="B670">
        <v>435</v>
      </c>
      <c r="C670">
        <v>46</v>
      </c>
      <c r="D670" s="4">
        <v>4</v>
      </c>
      <c r="E670">
        <f>_xlfn.XLOOKUP(C670,products!A:A,products!D:D)</f>
        <v>6802</v>
      </c>
      <c r="F670">
        <f t="shared" si="20"/>
        <v>27208</v>
      </c>
      <c r="G670">
        <f>D670*(E670-_xlfn.XLOOKUP(C670,products!A:A,products!E:E))</f>
        <v>9794.880000000001</v>
      </c>
      <c r="H670" s="6" t="str">
        <f>_xlfn.XLOOKUP(C670,products!A:A,products!C:C)</f>
        <v>Toys</v>
      </c>
      <c r="I670" s="6" t="str">
        <f>_xlfn.XLOOKUP(C670,products!A:A,products!B:B)</f>
        <v>Toys Car</v>
      </c>
      <c r="J670" s="6">
        <f>_xlfn.XLOOKUP(B670,orders!A:A,orders!C:C)</f>
        <v>45930</v>
      </c>
      <c r="K670" s="6" t="str">
        <f t="shared" si="21"/>
        <v>Sep-2025</v>
      </c>
      <c r="L670" s="6">
        <f>_xlfn.XLOOKUP(B670,orders!A:A,orders!B:B)</f>
        <v>359</v>
      </c>
      <c r="M670" s="6" t="str">
        <f>_xlfn.XLOOKUP("C"&amp;TEXT(L670,"000"),customers!A:A,customers!B:B,"Not Found")</f>
        <v>Anjali P.</v>
      </c>
    </row>
    <row r="671" spans="1:13">
      <c r="A671">
        <v>670</v>
      </c>
      <c r="B671">
        <v>435</v>
      </c>
      <c r="C671">
        <v>9</v>
      </c>
      <c r="D671" s="4">
        <v>1</v>
      </c>
      <c r="E671">
        <f>_xlfn.XLOOKUP(C671,products!A:A,products!D:D)</f>
        <v>1733</v>
      </c>
      <c r="F671">
        <f t="shared" si="20"/>
        <v>1733</v>
      </c>
      <c r="G671">
        <f>D671*(E671-_xlfn.XLOOKUP(C671,products!A:A,products!E:E))</f>
        <v>545.8900000000001</v>
      </c>
      <c r="H671" s="6" t="str">
        <f>_xlfn.XLOOKUP(C671,products!A:A,products!C:C)</f>
        <v>Electronics</v>
      </c>
      <c r="I671" s="6" t="str">
        <f>_xlfn.XLOOKUP(C671,products!A:A,products!B:B)</f>
        <v>Power Bank</v>
      </c>
      <c r="J671" s="6">
        <f>_xlfn.XLOOKUP(B671,orders!A:A,orders!C:C)</f>
        <v>45930</v>
      </c>
      <c r="K671" s="6" t="str">
        <f t="shared" si="21"/>
        <v>Sep-2025</v>
      </c>
      <c r="L671" s="6">
        <f>_xlfn.XLOOKUP(B671,orders!A:A,orders!B:B)</f>
        <v>359</v>
      </c>
      <c r="M671" s="6" t="str">
        <f>_xlfn.XLOOKUP("C"&amp;TEXT(L671,"000"),customers!A:A,customers!B:B,"Not Found")</f>
        <v>Anjali P.</v>
      </c>
    </row>
    <row r="672" spans="1:13">
      <c r="A672">
        <v>671</v>
      </c>
      <c r="B672">
        <v>436</v>
      </c>
      <c r="C672">
        <v>3</v>
      </c>
      <c r="D672" s="4">
        <v>1</v>
      </c>
      <c r="E672">
        <f>_xlfn.XLOOKUP(C672,products!A:A,products!D:D)</f>
        <v>911</v>
      </c>
      <c r="F672">
        <f t="shared" si="20"/>
        <v>911</v>
      </c>
      <c r="G672">
        <f>D672*(E672-_xlfn.XLOOKUP(C672,products!A:A,products!E:E))</f>
        <v>368.95000000000005</v>
      </c>
      <c r="H672" s="6" t="str">
        <f>_xlfn.XLOOKUP(C672,products!A:A,products!C:C)</f>
        <v>Electronics</v>
      </c>
      <c r="I672" s="6" t="str">
        <f>_xlfn.XLOOKUP(C672,products!A:A,products!B:B)</f>
        <v>Headphones</v>
      </c>
      <c r="J672" s="6">
        <f>_xlfn.XLOOKUP(B672,orders!A:A,orders!C:C)</f>
        <v>45933</v>
      </c>
      <c r="K672" s="6" t="str">
        <f t="shared" si="21"/>
        <v>Oct-2025</v>
      </c>
      <c r="L672" s="6">
        <f>_xlfn.XLOOKUP(B672,orders!A:A,orders!B:B)</f>
        <v>396</v>
      </c>
      <c r="M672" s="6" t="str">
        <f>_xlfn.XLOOKUP("C"&amp;TEXT(L672,"000"),customers!A:A,customers!B:B,"Not Found")</f>
        <v>Ravi Z.</v>
      </c>
    </row>
    <row r="673" spans="1:13">
      <c r="A673">
        <v>672</v>
      </c>
      <c r="B673">
        <v>436</v>
      </c>
      <c r="C673">
        <v>16</v>
      </c>
      <c r="D673" s="4">
        <v>2</v>
      </c>
      <c r="E673">
        <f>_xlfn.XLOOKUP(C673,products!A:A,products!D:D)</f>
        <v>2692</v>
      </c>
      <c r="F673">
        <f t="shared" si="20"/>
        <v>5384</v>
      </c>
      <c r="G673">
        <f>D673*(E673-_xlfn.XLOOKUP(C673,products!A:A,products!E:E))</f>
        <v>1938.2399999999998</v>
      </c>
      <c r="H673" s="6" t="str">
        <f>_xlfn.XLOOKUP(C673,products!A:A,products!C:C)</f>
        <v>Fashion</v>
      </c>
      <c r="I673" s="6" t="str">
        <f>_xlfn.XLOOKUP(C673,products!A:A,products!B:B)</f>
        <v>Saree</v>
      </c>
      <c r="J673" s="6">
        <f>_xlfn.XLOOKUP(B673,orders!A:A,orders!C:C)</f>
        <v>45933</v>
      </c>
      <c r="K673" s="6" t="str">
        <f t="shared" si="21"/>
        <v>Oct-2025</v>
      </c>
      <c r="L673" s="6">
        <f>_xlfn.XLOOKUP(B673,orders!A:A,orders!B:B)</f>
        <v>396</v>
      </c>
      <c r="M673" s="6" t="str">
        <f>_xlfn.XLOOKUP("C"&amp;TEXT(L673,"000"),customers!A:A,customers!B:B,"Not Found")</f>
        <v>Ravi Z.</v>
      </c>
    </row>
    <row r="674" spans="1:13">
      <c r="A674">
        <v>673</v>
      </c>
      <c r="B674">
        <v>437</v>
      </c>
      <c r="C674">
        <v>10</v>
      </c>
      <c r="D674" s="4">
        <v>2</v>
      </c>
      <c r="E674">
        <f>_xlfn.XLOOKUP(C674,products!A:A,products!D:D)</f>
        <v>1870</v>
      </c>
      <c r="F674">
        <f t="shared" si="20"/>
        <v>3740</v>
      </c>
      <c r="G674">
        <f>D674*(E674-_xlfn.XLOOKUP(C674,products!A:A,products!E:E))</f>
        <v>1683</v>
      </c>
      <c r="H674" s="6" t="str">
        <f>_xlfn.XLOOKUP(C674,products!A:A,products!C:C)</f>
        <v>Electronics</v>
      </c>
      <c r="I674" s="6" t="str">
        <f>_xlfn.XLOOKUP(C674,products!A:A,products!B:B)</f>
        <v>Earbuds</v>
      </c>
      <c r="J674" s="6">
        <f>_xlfn.XLOOKUP(B674,orders!A:A,orders!C:C)</f>
        <v>45936</v>
      </c>
      <c r="K674" s="6" t="str">
        <f t="shared" si="21"/>
        <v>Oct-2025</v>
      </c>
      <c r="L674" s="6">
        <f>_xlfn.XLOOKUP(B674,orders!A:A,orders!B:B)</f>
        <v>433</v>
      </c>
      <c r="M674" s="6" t="str">
        <f>_xlfn.XLOOKUP("C"&amp;TEXT(L674,"000"),customers!A:A,customers!B:B,"Not Found")</f>
        <v>Ravi T.</v>
      </c>
    </row>
    <row r="675" spans="1:13">
      <c r="A675">
        <v>674</v>
      </c>
      <c r="B675">
        <v>437</v>
      </c>
      <c r="C675">
        <v>23</v>
      </c>
      <c r="D675" s="4">
        <v>3</v>
      </c>
      <c r="E675">
        <f>_xlfn.XLOOKUP(C675,products!A:A,products!D:D)</f>
        <v>3651</v>
      </c>
      <c r="F675">
        <f t="shared" si="20"/>
        <v>10953</v>
      </c>
      <c r="G675">
        <f>D675*(E675-_xlfn.XLOOKUP(C675,products!A:A,products!E:E))</f>
        <v>4435.9500000000007</v>
      </c>
      <c r="H675" s="6" t="str">
        <f>_xlfn.XLOOKUP(C675,products!A:A,products!C:C)</f>
        <v>Home Appliances</v>
      </c>
      <c r="I675" s="6" t="str">
        <f>_xlfn.XLOOKUP(C675,products!A:A,products!B:B)</f>
        <v>Fan</v>
      </c>
      <c r="J675" s="6">
        <f>_xlfn.XLOOKUP(B675,orders!A:A,orders!C:C)</f>
        <v>45936</v>
      </c>
      <c r="K675" s="6" t="str">
        <f t="shared" si="21"/>
        <v>Oct-2025</v>
      </c>
      <c r="L675" s="6">
        <f>_xlfn.XLOOKUP(B675,orders!A:A,orders!B:B)</f>
        <v>433</v>
      </c>
      <c r="M675" s="6" t="str">
        <f>_xlfn.XLOOKUP("C"&amp;TEXT(L675,"000"),customers!A:A,customers!B:B,"Not Found")</f>
        <v>Ravi T.</v>
      </c>
    </row>
    <row r="676" spans="1:13">
      <c r="A676">
        <v>675</v>
      </c>
      <c r="B676">
        <v>438</v>
      </c>
      <c r="C676">
        <v>17</v>
      </c>
      <c r="D676" s="4">
        <v>3</v>
      </c>
      <c r="E676">
        <f>_xlfn.XLOOKUP(C676,products!A:A,products!D:D)</f>
        <v>2829</v>
      </c>
      <c r="F676">
        <f t="shared" si="20"/>
        <v>8487</v>
      </c>
      <c r="G676">
        <f>D676*(E676-_xlfn.XLOOKUP(C676,products!A:A,products!E:E))</f>
        <v>2928</v>
      </c>
      <c r="H676" s="6" t="str">
        <f>_xlfn.XLOOKUP(C676,products!A:A,products!C:C)</f>
        <v>Fashion</v>
      </c>
      <c r="I676" s="6" t="str">
        <f>_xlfn.XLOOKUP(C676,products!A:A,products!B:B)</f>
        <v>Dress</v>
      </c>
      <c r="J676" s="6">
        <f>_xlfn.XLOOKUP(B676,orders!A:A,orders!C:C)</f>
        <v>45939</v>
      </c>
      <c r="K676" s="6" t="str">
        <f t="shared" si="21"/>
        <v>Oct-2025</v>
      </c>
      <c r="L676" s="6">
        <f>_xlfn.XLOOKUP(B676,orders!A:A,orders!B:B)</f>
        <v>470</v>
      </c>
      <c r="M676" s="6" t="str">
        <f>_xlfn.XLOOKUP("C"&amp;TEXT(L676,"000"),customers!A:A,customers!B:B,"Not Found")</f>
        <v>Suresh F.</v>
      </c>
    </row>
    <row r="677" spans="1:13">
      <c r="A677">
        <v>676</v>
      </c>
      <c r="B677">
        <v>438</v>
      </c>
      <c r="C677">
        <v>30</v>
      </c>
      <c r="D677" s="4">
        <v>4</v>
      </c>
      <c r="E677">
        <f>_xlfn.XLOOKUP(C677,products!A:A,products!D:D)</f>
        <v>4610</v>
      </c>
      <c r="F677">
        <f t="shared" si="20"/>
        <v>18440</v>
      </c>
      <c r="G677">
        <f>D677*(E677-_xlfn.XLOOKUP(C677,products!A:A,products!E:E))</f>
        <v>8298</v>
      </c>
      <c r="H677" s="6" t="str">
        <f>_xlfn.XLOOKUP(C677,products!A:A,products!C:C)</f>
        <v>Furniture</v>
      </c>
      <c r="I677" s="6" t="str">
        <f>_xlfn.XLOOKUP(C677,products!A:A,products!B:B)</f>
        <v>Table</v>
      </c>
      <c r="J677" s="6">
        <f>_xlfn.XLOOKUP(B677,orders!A:A,orders!C:C)</f>
        <v>45939</v>
      </c>
      <c r="K677" s="6" t="str">
        <f t="shared" si="21"/>
        <v>Oct-2025</v>
      </c>
      <c r="L677" s="6">
        <f>_xlfn.XLOOKUP(B677,orders!A:A,orders!B:B)</f>
        <v>470</v>
      </c>
      <c r="M677" s="6" t="str">
        <f>_xlfn.XLOOKUP("C"&amp;TEXT(L677,"000"),customers!A:A,customers!B:B,"Not Found")</f>
        <v>Suresh F.</v>
      </c>
    </row>
    <row r="678" spans="1:13">
      <c r="A678">
        <v>677</v>
      </c>
      <c r="B678">
        <v>439</v>
      </c>
      <c r="C678">
        <v>24</v>
      </c>
      <c r="D678" s="4">
        <v>4</v>
      </c>
      <c r="E678">
        <f>_xlfn.XLOOKUP(C678,products!A:A,products!D:D)</f>
        <v>3788</v>
      </c>
      <c r="F678">
        <f t="shared" si="20"/>
        <v>15152</v>
      </c>
      <c r="G678">
        <f>D678*(E678-_xlfn.XLOOKUP(C678,products!A:A,products!E:E))</f>
        <v>5909.2800000000007</v>
      </c>
      <c r="H678" s="6" t="str">
        <f>_xlfn.XLOOKUP(C678,products!A:A,products!C:C)</f>
        <v>Home Appliances</v>
      </c>
      <c r="I678" s="6" t="str">
        <f>_xlfn.XLOOKUP(C678,products!A:A,products!B:B)</f>
        <v>Iron</v>
      </c>
      <c r="J678" s="6">
        <f>_xlfn.XLOOKUP(B678,orders!A:A,orders!C:C)</f>
        <v>45942</v>
      </c>
      <c r="K678" s="6" t="str">
        <f t="shared" si="21"/>
        <v>Oct-2025</v>
      </c>
      <c r="L678" s="6">
        <f>_xlfn.XLOOKUP(B678,orders!A:A,orders!B:B)</f>
        <v>7</v>
      </c>
      <c r="M678" s="6" t="str">
        <f>_xlfn.XLOOKUP("C"&amp;TEXT(L678,"000"),customers!A:A,customers!B:B,"Not Found")</f>
        <v>Kavya K.</v>
      </c>
    </row>
    <row r="679" spans="1:13">
      <c r="A679">
        <v>678</v>
      </c>
      <c r="B679">
        <v>439</v>
      </c>
      <c r="C679">
        <v>37</v>
      </c>
      <c r="D679" s="4">
        <v>1</v>
      </c>
      <c r="E679">
        <f>_xlfn.XLOOKUP(C679,products!A:A,products!D:D)</f>
        <v>5569</v>
      </c>
      <c r="F679">
        <f t="shared" si="20"/>
        <v>5569</v>
      </c>
      <c r="G679">
        <f>D679*(E679-_xlfn.XLOOKUP(C679,products!A:A,products!E:E))</f>
        <v>1921.3000000000002</v>
      </c>
      <c r="H679" s="6" t="str">
        <f>_xlfn.XLOOKUP(C679,products!A:A,products!C:C)</f>
        <v>Sports</v>
      </c>
      <c r="I679" s="6" t="str">
        <f>_xlfn.XLOOKUP(C679,products!A:A,products!B:B)</f>
        <v>Football</v>
      </c>
      <c r="J679" s="6">
        <f>_xlfn.XLOOKUP(B679,orders!A:A,orders!C:C)</f>
        <v>45942</v>
      </c>
      <c r="K679" s="6" t="str">
        <f t="shared" si="21"/>
        <v>Oct-2025</v>
      </c>
      <c r="L679" s="6">
        <f>_xlfn.XLOOKUP(B679,orders!A:A,orders!B:B)</f>
        <v>7</v>
      </c>
      <c r="M679" s="6" t="str">
        <f>_xlfn.XLOOKUP("C"&amp;TEXT(L679,"000"),customers!A:A,customers!B:B,"Not Found")</f>
        <v>Kavya K.</v>
      </c>
    </row>
    <row r="680" spans="1:13">
      <c r="A680">
        <v>679</v>
      </c>
      <c r="B680">
        <v>440</v>
      </c>
      <c r="C680">
        <v>31</v>
      </c>
      <c r="D680" s="4">
        <v>1</v>
      </c>
      <c r="E680">
        <f>_xlfn.XLOOKUP(C680,products!A:A,products!D:D)</f>
        <v>4747</v>
      </c>
      <c r="F680">
        <f t="shared" si="20"/>
        <v>4747</v>
      </c>
      <c r="G680">
        <f>D680*(E680-_xlfn.XLOOKUP(C680,products!A:A,products!E:E))</f>
        <v>2064.94</v>
      </c>
      <c r="H680" s="6" t="str">
        <f>_xlfn.XLOOKUP(C680,products!A:A,products!C:C)</f>
        <v>Books</v>
      </c>
      <c r="I680" s="6" t="str">
        <f>_xlfn.XLOOKUP(C680,products!A:A,products!B:B)</f>
        <v>Book</v>
      </c>
      <c r="J680" s="6">
        <f>_xlfn.XLOOKUP(B680,orders!A:A,orders!C:C)</f>
        <v>45945</v>
      </c>
      <c r="K680" s="6" t="str">
        <f t="shared" si="21"/>
        <v>Oct-2025</v>
      </c>
      <c r="L680" s="6">
        <f>_xlfn.XLOOKUP(B680,orders!A:A,orders!B:B)</f>
        <v>44</v>
      </c>
      <c r="M680" s="6" t="str">
        <f>_xlfn.XLOOKUP("C"&amp;TEXT(L680,"000"),customers!A:A,customers!B:B,"Not Found")</f>
        <v>Lakshmi E.</v>
      </c>
    </row>
    <row r="681" spans="1:13">
      <c r="A681">
        <v>680</v>
      </c>
      <c r="B681">
        <v>440</v>
      </c>
      <c r="C681">
        <v>44</v>
      </c>
      <c r="D681" s="4">
        <v>2</v>
      </c>
      <c r="E681">
        <f>_xlfn.XLOOKUP(C681,products!A:A,products!D:D)</f>
        <v>6528</v>
      </c>
      <c r="F681">
        <f t="shared" si="20"/>
        <v>13056</v>
      </c>
      <c r="G681">
        <f>D681*(E681-_xlfn.XLOOKUP(C681,products!A:A,products!E:E))</f>
        <v>5091.84</v>
      </c>
      <c r="H681" s="6" t="str">
        <f>_xlfn.XLOOKUP(C681,products!A:A,products!C:C)</f>
        <v>Beauty</v>
      </c>
      <c r="I681" s="6" t="str">
        <f>_xlfn.XLOOKUP(C681,products!A:A,products!B:B)</f>
        <v>Moisturizer</v>
      </c>
      <c r="J681" s="6">
        <f>_xlfn.XLOOKUP(B681,orders!A:A,orders!C:C)</f>
        <v>45945</v>
      </c>
      <c r="K681" s="6" t="str">
        <f t="shared" si="21"/>
        <v>Oct-2025</v>
      </c>
      <c r="L681" s="6">
        <f>_xlfn.XLOOKUP(B681,orders!A:A,orders!B:B)</f>
        <v>44</v>
      </c>
      <c r="M681" s="6" t="str">
        <f>_xlfn.XLOOKUP("C"&amp;TEXT(L681,"000"),customers!A:A,customers!B:B,"Not Found")</f>
        <v>Lakshmi E.</v>
      </c>
    </row>
    <row r="682" spans="1:13">
      <c r="A682">
        <v>681</v>
      </c>
      <c r="B682">
        <v>441</v>
      </c>
      <c r="C682">
        <v>38</v>
      </c>
      <c r="D682" s="4">
        <v>2</v>
      </c>
      <c r="E682">
        <f>_xlfn.XLOOKUP(C682,products!A:A,products!D:D)</f>
        <v>5706</v>
      </c>
      <c r="F682">
        <f t="shared" si="20"/>
        <v>11412</v>
      </c>
      <c r="G682">
        <f>D682*(E682-_xlfn.XLOOKUP(C682,products!A:A,products!E:E))</f>
        <v>3765.96</v>
      </c>
      <c r="H682" s="6" t="str">
        <f>_xlfn.XLOOKUP(C682,products!A:A,products!C:C)</f>
        <v>Sports</v>
      </c>
      <c r="I682" s="6" t="str">
        <f>_xlfn.XLOOKUP(C682,products!A:A,products!B:B)</f>
        <v>Badminton Racket</v>
      </c>
      <c r="J682" s="6">
        <f>_xlfn.XLOOKUP(B682,orders!A:A,orders!C:C)</f>
        <v>45948</v>
      </c>
      <c r="K682" s="6" t="str">
        <f t="shared" si="21"/>
        <v>Oct-2025</v>
      </c>
      <c r="L682" s="6">
        <f>_xlfn.XLOOKUP(B682,orders!A:A,orders!B:B)</f>
        <v>81</v>
      </c>
      <c r="M682" s="6" t="str">
        <f>_xlfn.XLOOKUP("C"&amp;TEXT(L682,"000"),customers!A:A,customers!B:B,"Not Found")</f>
        <v>Lakshmi N.</v>
      </c>
    </row>
    <row r="683" spans="1:13">
      <c r="A683">
        <v>682</v>
      </c>
      <c r="B683">
        <v>441</v>
      </c>
      <c r="C683">
        <v>1</v>
      </c>
      <c r="D683" s="4">
        <v>3</v>
      </c>
      <c r="E683">
        <f>_xlfn.XLOOKUP(C683,products!A:A,products!D:D)</f>
        <v>637</v>
      </c>
      <c r="F683">
        <f t="shared" si="20"/>
        <v>1911</v>
      </c>
      <c r="G683">
        <f>D683*(E683-_xlfn.XLOOKUP(C683,products!A:A,products!E:E))</f>
        <v>831.27</v>
      </c>
      <c r="H683" s="6" t="str">
        <f>_xlfn.XLOOKUP(C683,products!A:A,products!C:C)</f>
        <v>Electronics</v>
      </c>
      <c r="I683" s="6" t="str">
        <f>_xlfn.XLOOKUP(C683,products!A:A,products!B:B)</f>
        <v>Laptop</v>
      </c>
      <c r="J683" s="6">
        <f>_xlfn.XLOOKUP(B683,orders!A:A,orders!C:C)</f>
        <v>45948</v>
      </c>
      <c r="K683" s="6" t="str">
        <f t="shared" si="21"/>
        <v>Oct-2025</v>
      </c>
      <c r="L683" s="6">
        <f>_xlfn.XLOOKUP(B683,orders!A:A,orders!B:B)</f>
        <v>81</v>
      </c>
      <c r="M683" s="6" t="str">
        <f>_xlfn.XLOOKUP("C"&amp;TEXT(L683,"000"),customers!A:A,customers!B:B,"Not Found")</f>
        <v>Lakshmi N.</v>
      </c>
    </row>
    <row r="684" spans="1:13">
      <c r="A684">
        <v>683</v>
      </c>
      <c r="B684">
        <v>442</v>
      </c>
      <c r="C684">
        <v>45</v>
      </c>
      <c r="D684" s="4">
        <v>3</v>
      </c>
      <c r="E684">
        <f>_xlfn.XLOOKUP(C684,products!A:A,products!D:D)</f>
        <v>6665</v>
      </c>
      <c r="F684">
        <f t="shared" si="20"/>
        <v>19995</v>
      </c>
      <c r="G684">
        <f>D684*(E684-_xlfn.XLOOKUP(C684,products!A:A,products!E:E))</f>
        <v>7498.14</v>
      </c>
      <c r="H684" s="6" t="str">
        <f>_xlfn.XLOOKUP(C684,products!A:A,products!C:C)</f>
        <v>Beauty</v>
      </c>
      <c r="I684" s="6" t="str">
        <f>_xlfn.XLOOKUP(C684,products!A:A,products!B:B)</f>
        <v>Sunscreen</v>
      </c>
      <c r="J684" s="6">
        <f>_xlfn.XLOOKUP(B684,orders!A:A,orders!C:C)</f>
        <v>45951</v>
      </c>
      <c r="K684" s="6" t="str">
        <f t="shared" si="21"/>
        <v>Oct-2025</v>
      </c>
      <c r="L684" s="6">
        <f>_xlfn.XLOOKUP(B684,orders!A:A,orders!B:B)</f>
        <v>118</v>
      </c>
      <c r="M684" s="6" t="str">
        <f>_xlfn.XLOOKUP("C"&amp;TEXT(L684,"000"),customers!A:A,customers!B:B,"Not Found")</f>
        <v>Kiran N.</v>
      </c>
    </row>
    <row r="685" spans="1:13">
      <c r="A685">
        <v>684</v>
      </c>
      <c r="B685">
        <v>442</v>
      </c>
      <c r="C685">
        <v>8</v>
      </c>
      <c r="D685" s="4">
        <v>4</v>
      </c>
      <c r="E685">
        <f>_xlfn.XLOOKUP(C685,products!A:A,products!D:D)</f>
        <v>1596</v>
      </c>
      <c r="F685">
        <f t="shared" si="20"/>
        <v>6384</v>
      </c>
      <c r="G685">
        <f>D685*(E685-_xlfn.XLOOKUP(C685,products!A:A,products!E:E))</f>
        <v>2106.7200000000003</v>
      </c>
      <c r="H685" s="6" t="str">
        <f>_xlfn.XLOOKUP(C685,products!A:A,products!C:C)</f>
        <v>Electronics</v>
      </c>
      <c r="I685" s="6" t="str">
        <f>_xlfn.XLOOKUP(C685,products!A:A,products!B:B)</f>
        <v>Tablet</v>
      </c>
      <c r="J685" s="6">
        <f>_xlfn.XLOOKUP(B685,orders!A:A,orders!C:C)</f>
        <v>45951</v>
      </c>
      <c r="K685" s="6" t="str">
        <f t="shared" si="21"/>
        <v>Oct-2025</v>
      </c>
      <c r="L685" s="6">
        <f>_xlfn.XLOOKUP(B685,orders!A:A,orders!B:B)</f>
        <v>118</v>
      </c>
      <c r="M685" s="6" t="str">
        <f>_xlfn.XLOOKUP("C"&amp;TEXT(L685,"000"),customers!A:A,customers!B:B,"Not Found")</f>
        <v>Kiran N.</v>
      </c>
    </row>
    <row r="686" spans="1:13">
      <c r="A686">
        <v>685</v>
      </c>
      <c r="B686">
        <v>443</v>
      </c>
      <c r="C686">
        <v>2</v>
      </c>
      <c r="D686" s="4">
        <v>4</v>
      </c>
      <c r="E686">
        <f>_xlfn.XLOOKUP(C686,products!A:A,products!D:D)</f>
        <v>774</v>
      </c>
      <c r="F686">
        <f t="shared" si="20"/>
        <v>3096</v>
      </c>
      <c r="G686">
        <f>D686*(E686-_xlfn.XLOOKUP(C686,products!A:A,products!E:E))</f>
        <v>1300.32</v>
      </c>
      <c r="H686" s="6" t="str">
        <f>_xlfn.XLOOKUP(C686,products!A:A,products!C:C)</f>
        <v>Electronics</v>
      </c>
      <c r="I686" s="6" t="str">
        <f>_xlfn.XLOOKUP(C686,products!A:A,products!B:B)</f>
        <v>Mobile</v>
      </c>
      <c r="J686" s="6">
        <f>_xlfn.XLOOKUP(B686,orders!A:A,orders!C:C)</f>
        <v>45954</v>
      </c>
      <c r="K686" s="6" t="str">
        <f t="shared" si="21"/>
        <v>Oct-2025</v>
      </c>
      <c r="L686" s="6">
        <f>_xlfn.XLOOKUP(B686,orders!A:A,orders!B:B)</f>
        <v>155</v>
      </c>
      <c r="M686" s="6" t="str">
        <f>_xlfn.XLOOKUP("C"&amp;TEXT(L686,"000"),customers!A:A,customers!B:B,"Not Found")</f>
        <v>Neha P.</v>
      </c>
    </row>
    <row r="687" spans="1:13">
      <c r="A687">
        <v>686</v>
      </c>
      <c r="B687">
        <v>443</v>
      </c>
      <c r="C687">
        <v>15</v>
      </c>
      <c r="D687" s="4">
        <v>1</v>
      </c>
      <c r="E687">
        <f>_xlfn.XLOOKUP(C687,products!A:A,products!D:D)</f>
        <v>2555</v>
      </c>
      <c r="F687">
        <f t="shared" si="20"/>
        <v>2555</v>
      </c>
      <c r="G687">
        <f>D687*(E687-_xlfn.XLOOKUP(C687,products!A:A,products!E:E))</f>
        <v>958.11999999999989</v>
      </c>
      <c r="H687" s="6" t="str">
        <f>_xlfn.XLOOKUP(C687,products!A:A,products!C:C)</f>
        <v>Fashion</v>
      </c>
      <c r="I687" s="6" t="str">
        <f>_xlfn.XLOOKUP(C687,products!A:A,products!B:B)</f>
        <v>Shoes</v>
      </c>
      <c r="J687" s="6">
        <f>_xlfn.XLOOKUP(B687,orders!A:A,orders!C:C)</f>
        <v>45954</v>
      </c>
      <c r="K687" s="6" t="str">
        <f t="shared" si="21"/>
        <v>Oct-2025</v>
      </c>
      <c r="L687" s="6">
        <f>_xlfn.XLOOKUP(B687,orders!A:A,orders!B:B)</f>
        <v>155</v>
      </c>
      <c r="M687" s="6" t="str">
        <f>_xlfn.XLOOKUP("C"&amp;TEXT(L687,"000"),customers!A:A,customers!B:B,"Not Found")</f>
        <v>Neha P.</v>
      </c>
    </row>
    <row r="688" spans="1:13">
      <c r="A688">
        <v>687</v>
      </c>
      <c r="B688">
        <v>444</v>
      </c>
      <c r="C688">
        <v>9</v>
      </c>
      <c r="D688" s="4">
        <v>1</v>
      </c>
      <c r="E688">
        <f>_xlfn.XLOOKUP(C688,products!A:A,products!D:D)</f>
        <v>1733</v>
      </c>
      <c r="F688">
        <f t="shared" si="20"/>
        <v>1733</v>
      </c>
      <c r="G688">
        <f>D688*(E688-_xlfn.XLOOKUP(C688,products!A:A,products!E:E))</f>
        <v>545.8900000000001</v>
      </c>
      <c r="H688" s="6" t="str">
        <f>_xlfn.XLOOKUP(C688,products!A:A,products!C:C)</f>
        <v>Electronics</v>
      </c>
      <c r="I688" s="6" t="str">
        <f>_xlfn.XLOOKUP(C688,products!A:A,products!B:B)</f>
        <v>Power Bank</v>
      </c>
      <c r="J688" s="6">
        <f>_xlfn.XLOOKUP(B688,orders!A:A,orders!C:C)</f>
        <v>45957</v>
      </c>
      <c r="K688" s="6" t="str">
        <f t="shared" si="21"/>
        <v>Oct-2025</v>
      </c>
      <c r="L688" s="6">
        <f>_xlfn.XLOOKUP(B688,orders!A:A,orders!B:B)</f>
        <v>192</v>
      </c>
      <c r="M688" s="6" t="str">
        <f>_xlfn.XLOOKUP("C"&amp;TEXT(L688,"000"),customers!A:A,customers!B:B,"Not Found")</f>
        <v>Kiran K.</v>
      </c>
    </row>
    <row r="689" spans="1:13">
      <c r="A689">
        <v>688</v>
      </c>
      <c r="B689">
        <v>444</v>
      </c>
      <c r="C689">
        <v>22</v>
      </c>
      <c r="D689" s="4">
        <v>2</v>
      </c>
      <c r="E689">
        <f>_xlfn.XLOOKUP(C689,products!A:A,products!D:D)</f>
        <v>3514</v>
      </c>
      <c r="F689">
        <f t="shared" si="20"/>
        <v>7028</v>
      </c>
      <c r="G689">
        <f>D689*(E689-_xlfn.XLOOKUP(C689,products!A:A,products!E:E))</f>
        <v>2951.76</v>
      </c>
      <c r="H689" s="6" t="str">
        <f>_xlfn.XLOOKUP(C689,products!A:A,products!C:C)</f>
        <v>Home Appliances</v>
      </c>
      <c r="I689" s="6" t="str">
        <f>_xlfn.XLOOKUP(C689,products!A:A,products!B:B)</f>
        <v>Microwave</v>
      </c>
      <c r="J689" s="6">
        <f>_xlfn.XLOOKUP(B689,orders!A:A,orders!C:C)</f>
        <v>45957</v>
      </c>
      <c r="K689" s="6" t="str">
        <f t="shared" si="21"/>
        <v>Oct-2025</v>
      </c>
      <c r="L689" s="6">
        <f>_xlfn.XLOOKUP(B689,orders!A:A,orders!B:B)</f>
        <v>192</v>
      </c>
      <c r="M689" s="6" t="str">
        <f>_xlfn.XLOOKUP("C"&amp;TEXT(L689,"000"),customers!A:A,customers!B:B,"Not Found")</f>
        <v>Kiran K.</v>
      </c>
    </row>
    <row r="690" spans="1:13">
      <c r="A690">
        <v>689</v>
      </c>
      <c r="B690">
        <v>445</v>
      </c>
      <c r="C690">
        <v>16</v>
      </c>
      <c r="D690" s="4">
        <v>2</v>
      </c>
      <c r="E690">
        <f>_xlfn.XLOOKUP(C690,products!A:A,products!D:D)</f>
        <v>2692</v>
      </c>
      <c r="F690">
        <f t="shared" si="20"/>
        <v>5384</v>
      </c>
      <c r="G690">
        <f>D690*(E690-_xlfn.XLOOKUP(C690,products!A:A,products!E:E))</f>
        <v>1938.2399999999998</v>
      </c>
      <c r="H690" s="6" t="str">
        <f>_xlfn.XLOOKUP(C690,products!A:A,products!C:C)</f>
        <v>Fashion</v>
      </c>
      <c r="I690" s="6" t="str">
        <f>_xlfn.XLOOKUP(C690,products!A:A,products!B:B)</f>
        <v>Saree</v>
      </c>
      <c r="J690" s="6">
        <f>_xlfn.XLOOKUP(B690,orders!A:A,orders!C:C)</f>
        <v>45960</v>
      </c>
      <c r="K690" s="6" t="str">
        <f t="shared" si="21"/>
        <v>Oct-2025</v>
      </c>
      <c r="L690" s="6">
        <f>_xlfn.XLOOKUP(B690,orders!A:A,orders!B:B)</f>
        <v>229</v>
      </c>
      <c r="M690" s="6" t="str">
        <f>_xlfn.XLOOKUP("C"&amp;TEXT(L690,"000"),customers!A:A,customers!B:B,"Not Found")</f>
        <v>Neha S.</v>
      </c>
    </row>
    <row r="691" spans="1:13">
      <c r="A691">
        <v>690</v>
      </c>
      <c r="B691">
        <v>445</v>
      </c>
      <c r="C691">
        <v>29</v>
      </c>
      <c r="D691" s="4">
        <v>3</v>
      </c>
      <c r="E691">
        <f>_xlfn.XLOOKUP(C691,products!A:A,products!D:D)</f>
        <v>4473</v>
      </c>
      <c r="F691">
        <f t="shared" si="20"/>
        <v>13419</v>
      </c>
      <c r="G691">
        <f>D691*(E691-_xlfn.XLOOKUP(C691,products!A:A,products!E:E))</f>
        <v>4226.9699999999993</v>
      </c>
      <c r="H691" s="6" t="str">
        <f>_xlfn.XLOOKUP(C691,products!A:A,products!C:C)</f>
        <v>Furniture</v>
      </c>
      <c r="I691" s="6" t="str">
        <f>_xlfn.XLOOKUP(C691,products!A:A,products!B:B)</f>
        <v>Chair</v>
      </c>
      <c r="J691" s="6">
        <f>_xlfn.XLOOKUP(B691,orders!A:A,orders!C:C)</f>
        <v>45960</v>
      </c>
      <c r="K691" s="6" t="str">
        <f t="shared" si="21"/>
        <v>Oct-2025</v>
      </c>
      <c r="L691" s="6">
        <f>_xlfn.XLOOKUP(B691,orders!A:A,orders!B:B)</f>
        <v>229</v>
      </c>
      <c r="M691" s="6" t="str">
        <f>_xlfn.XLOOKUP("C"&amp;TEXT(L691,"000"),customers!A:A,customers!B:B,"Not Found")</f>
        <v>Neha S.</v>
      </c>
    </row>
    <row r="692" spans="1:13">
      <c r="A692">
        <v>691</v>
      </c>
      <c r="B692">
        <v>446</v>
      </c>
      <c r="C692">
        <v>23</v>
      </c>
      <c r="D692" s="4">
        <v>3</v>
      </c>
      <c r="E692">
        <f>_xlfn.XLOOKUP(C692,products!A:A,products!D:D)</f>
        <v>3651</v>
      </c>
      <c r="F692">
        <f t="shared" si="20"/>
        <v>10953</v>
      </c>
      <c r="G692">
        <f>D692*(E692-_xlfn.XLOOKUP(C692,products!A:A,products!E:E))</f>
        <v>4435.9500000000007</v>
      </c>
      <c r="H692" s="6" t="str">
        <f>_xlfn.XLOOKUP(C692,products!A:A,products!C:C)</f>
        <v>Home Appliances</v>
      </c>
      <c r="I692" s="6" t="str">
        <f>_xlfn.XLOOKUP(C692,products!A:A,products!B:B)</f>
        <v>Fan</v>
      </c>
      <c r="J692" s="6">
        <f>_xlfn.XLOOKUP(B692,orders!A:A,orders!C:C)</f>
        <v>45963</v>
      </c>
      <c r="K692" s="6" t="str">
        <f t="shared" si="21"/>
        <v>Nov-2025</v>
      </c>
      <c r="L692" s="6">
        <f>_xlfn.XLOOKUP(B692,orders!A:A,orders!B:B)</f>
        <v>266</v>
      </c>
      <c r="M692" s="6" t="str">
        <f>_xlfn.XLOOKUP("C"&amp;TEXT(L692,"000"),customers!A:A,customers!B:B,"Not Found")</f>
        <v>Swathi M.</v>
      </c>
    </row>
    <row r="693" spans="1:13">
      <c r="A693">
        <v>692</v>
      </c>
      <c r="B693">
        <v>446</v>
      </c>
      <c r="C693">
        <v>36</v>
      </c>
      <c r="D693" s="4">
        <v>4</v>
      </c>
      <c r="E693">
        <f>_xlfn.XLOOKUP(C693,products!A:A,products!D:D)</f>
        <v>5432</v>
      </c>
      <c r="F693">
        <f t="shared" si="20"/>
        <v>21728</v>
      </c>
      <c r="G693">
        <f>D693*(E693-_xlfn.XLOOKUP(C693,products!A:A,products!E:E))</f>
        <v>7822.08</v>
      </c>
      <c r="H693" s="6" t="str">
        <f>_xlfn.XLOOKUP(C693,products!A:A,products!C:C)</f>
        <v>Sports</v>
      </c>
      <c r="I693" s="6" t="str">
        <f>_xlfn.XLOOKUP(C693,products!A:A,products!B:B)</f>
        <v>Cricket Bat</v>
      </c>
      <c r="J693" s="6">
        <f>_xlfn.XLOOKUP(B693,orders!A:A,orders!C:C)</f>
        <v>45963</v>
      </c>
      <c r="K693" s="6" t="str">
        <f t="shared" si="21"/>
        <v>Nov-2025</v>
      </c>
      <c r="L693" s="6">
        <f>_xlfn.XLOOKUP(B693,orders!A:A,orders!B:B)</f>
        <v>266</v>
      </c>
      <c r="M693" s="6" t="str">
        <f>_xlfn.XLOOKUP("C"&amp;TEXT(L693,"000"),customers!A:A,customers!B:B,"Not Found")</f>
        <v>Swathi M.</v>
      </c>
    </row>
    <row r="694" spans="1:13">
      <c r="A694">
        <v>693</v>
      </c>
      <c r="B694">
        <v>447</v>
      </c>
      <c r="C694">
        <v>30</v>
      </c>
      <c r="D694" s="4">
        <v>4</v>
      </c>
      <c r="E694">
        <f>_xlfn.XLOOKUP(C694,products!A:A,products!D:D)</f>
        <v>4610</v>
      </c>
      <c r="F694">
        <f t="shared" si="20"/>
        <v>18440</v>
      </c>
      <c r="G694">
        <f>D694*(E694-_xlfn.XLOOKUP(C694,products!A:A,products!E:E))</f>
        <v>8298</v>
      </c>
      <c r="H694" s="6" t="str">
        <f>_xlfn.XLOOKUP(C694,products!A:A,products!C:C)</f>
        <v>Furniture</v>
      </c>
      <c r="I694" s="6" t="str">
        <f>_xlfn.XLOOKUP(C694,products!A:A,products!B:B)</f>
        <v>Table</v>
      </c>
      <c r="J694" s="6">
        <f>_xlfn.XLOOKUP(B694,orders!A:A,orders!C:C)</f>
        <v>45966</v>
      </c>
      <c r="K694" s="6" t="str">
        <f t="shared" si="21"/>
        <v>Nov-2025</v>
      </c>
      <c r="L694" s="6">
        <f>_xlfn.XLOOKUP(B694,orders!A:A,orders!B:B)</f>
        <v>303</v>
      </c>
      <c r="M694" s="6" t="str">
        <f>_xlfn.XLOOKUP("C"&amp;TEXT(L694,"000"),customers!A:A,customers!B:B,"Not Found")</f>
        <v>Divya D.</v>
      </c>
    </row>
    <row r="695" spans="1:13">
      <c r="A695">
        <v>694</v>
      </c>
      <c r="B695">
        <v>447</v>
      </c>
      <c r="C695">
        <v>43</v>
      </c>
      <c r="D695" s="4">
        <v>1</v>
      </c>
      <c r="E695">
        <f>_xlfn.XLOOKUP(C695,products!A:A,products!D:D)</f>
        <v>6391</v>
      </c>
      <c r="F695">
        <f t="shared" si="20"/>
        <v>6391</v>
      </c>
      <c r="G695">
        <f>D695*(E695-_xlfn.XLOOKUP(C695,products!A:A,products!E:E))</f>
        <v>2588.35</v>
      </c>
      <c r="H695" s="6" t="str">
        <f>_xlfn.XLOOKUP(C695,products!A:A,products!C:C)</f>
        <v>Beauty</v>
      </c>
      <c r="I695" s="6" t="str">
        <f>_xlfn.XLOOKUP(C695,products!A:A,products!B:B)</f>
        <v>Perfume</v>
      </c>
      <c r="J695" s="6">
        <f>_xlfn.XLOOKUP(B695,orders!A:A,orders!C:C)</f>
        <v>45966</v>
      </c>
      <c r="K695" s="6" t="str">
        <f t="shared" si="21"/>
        <v>Nov-2025</v>
      </c>
      <c r="L695" s="6">
        <f>_xlfn.XLOOKUP(B695,orders!A:A,orders!B:B)</f>
        <v>303</v>
      </c>
      <c r="M695" s="6" t="str">
        <f>_xlfn.XLOOKUP("C"&amp;TEXT(L695,"000"),customers!A:A,customers!B:B,"Not Found")</f>
        <v>Divya D.</v>
      </c>
    </row>
    <row r="696" spans="1:13">
      <c r="A696">
        <v>695</v>
      </c>
      <c r="B696">
        <v>448</v>
      </c>
      <c r="C696">
        <v>37</v>
      </c>
      <c r="D696" s="4">
        <v>1</v>
      </c>
      <c r="E696">
        <f>_xlfn.XLOOKUP(C696,products!A:A,products!D:D)</f>
        <v>5569</v>
      </c>
      <c r="F696">
        <f t="shared" si="20"/>
        <v>5569</v>
      </c>
      <c r="G696">
        <f>D696*(E696-_xlfn.XLOOKUP(C696,products!A:A,products!E:E))</f>
        <v>1921.3000000000002</v>
      </c>
      <c r="H696" s="6" t="str">
        <f>_xlfn.XLOOKUP(C696,products!A:A,products!C:C)</f>
        <v>Sports</v>
      </c>
      <c r="I696" s="6" t="str">
        <f>_xlfn.XLOOKUP(C696,products!A:A,products!B:B)</f>
        <v>Football</v>
      </c>
      <c r="J696" s="6">
        <f>_xlfn.XLOOKUP(B696,orders!A:A,orders!C:C)</f>
        <v>45969</v>
      </c>
      <c r="K696" s="6" t="str">
        <f t="shared" si="21"/>
        <v>Nov-2025</v>
      </c>
      <c r="L696" s="6">
        <f>_xlfn.XLOOKUP(B696,orders!A:A,orders!B:B)</f>
        <v>340</v>
      </c>
      <c r="M696" s="6" t="str">
        <f>_xlfn.XLOOKUP("C"&amp;TEXT(L696,"000"),customers!A:A,customers!B:B,"Not Found")</f>
        <v>Priya N.</v>
      </c>
    </row>
    <row r="697" spans="1:13">
      <c r="A697">
        <v>696</v>
      </c>
      <c r="B697">
        <v>448</v>
      </c>
      <c r="C697">
        <v>50</v>
      </c>
      <c r="D697" s="4">
        <v>2</v>
      </c>
      <c r="E697">
        <f>_xlfn.XLOOKUP(C697,products!A:A,products!D:D)</f>
        <v>7350</v>
      </c>
      <c r="F697">
        <f t="shared" si="20"/>
        <v>14700</v>
      </c>
      <c r="G697">
        <f>D697*(E697-_xlfn.XLOOKUP(C697,products!A:A,products!E:E))</f>
        <v>6615</v>
      </c>
      <c r="H697" s="6" t="str">
        <f>_xlfn.XLOOKUP(C697,products!A:A,products!C:C)</f>
        <v>Toys</v>
      </c>
      <c r="I697" s="6" t="str">
        <f>_xlfn.XLOOKUP(C697,products!A:A,products!B:B)</f>
        <v>Building Blocks</v>
      </c>
      <c r="J697" s="6">
        <f>_xlfn.XLOOKUP(B697,orders!A:A,orders!C:C)</f>
        <v>45969</v>
      </c>
      <c r="K697" s="6" t="str">
        <f t="shared" si="21"/>
        <v>Nov-2025</v>
      </c>
      <c r="L697" s="6">
        <f>_xlfn.XLOOKUP(B697,orders!A:A,orders!B:B)</f>
        <v>340</v>
      </c>
      <c r="M697" s="6" t="str">
        <f>_xlfn.XLOOKUP("C"&amp;TEXT(L697,"000"),customers!A:A,customers!B:B,"Not Found")</f>
        <v>Priya N.</v>
      </c>
    </row>
    <row r="698" spans="1:13">
      <c r="A698">
        <v>697</v>
      </c>
      <c r="B698">
        <v>449</v>
      </c>
      <c r="C698">
        <v>44</v>
      </c>
      <c r="D698" s="4">
        <v>2</v>
      </c>
      <c r="E698">
        <f>_xlfn.XLOOKUP(C698,products!A:A,products!D:D)</f>
        <v>6528</v>
      </c>
      <c r="F698">
        <f t="shared" si="20"/>
        <v>13056</v>
      </c>
      <c r="G698">
        <f>D698*(E698-_xlfn.XLOOKUP(C698,products!A:A,products!E:E))</f>
        <v>5091.84</v>
      </c>
      <c r="H698" s="6" t="str">
        <f>_xlfn.XLOOKUP(C698,products!A:A,products!C:C)</f>
        <v>Beauty</v>
      </c>
      <c r="I698" s="6" t="str">
        <f>_xlfn.XLOOKUP(C698,products!A:A,products!B:B)</f>
        <v>Moisturizer</v>
      </c>
      <c r="J698" s="6">
        <f>_xlfn.XLOOKUP(B698,orders!A:A,orders!C:C)</f>
        <v>45972</v>
      </c>
      <c r="K698" s="6" t="str">
        <f t="shared" si="21"/>
        <v>Nov-2025</v>
      </c>
      <c r="L698" s="6">
        <f>_xlfn.XLOOKUP(B698,orders!A:A,orders!B:B)</f>
        <v>377</v>
      </c>
      <c r="M698" s="6" t="str">
        <f>_xlfn.XLOOKUP("C"&amp;TEXT(L698,"000"),customers!A:A,customers!B:B,"Not Found")</f>
        <v>Kavya C.</v>
      </c>
    </row>
    <row r="699" spans="1:13">
      <c r="A699">
        <v>698</v>
      </c>
      <c r="B699">
        <v>449</v>
      </c>
      <c r="C699">
        <v>7</v>
      </c>
      <c r="D699" s="4">
        <v>3</v>
      </c>
      <c r="E699">
        <f>_xlfn.XLOOKUP(C699,products!A:A,products!D:D)</f>
        <v>1459</v>
      </c>
      <c r="F699">
        <f t="shared" si="20"/>
        <v>4377</v>
      </c>
      <c r="G699">
        <f>D699*(E699-_xlfn.XLOOKUP(C699,products!A:A,products!E:E))</f>
        <v>1510.0500000000002</v>
      </c>
      <c r="H699" s="6" t="str">
        <f>_xlfn.XLOOKUP(C699,products!A:A,products!C:C)</f>
        <v>Electronics</v>
      </c>
      <c r="I699" s="6" t="str">
        <f>_xlfn.XLOOKUP(C699,products!A:A,products!B:B)</f>
        <v>Monitor</v>
      </c>
      <c r="J699" s="6">
        <f>_xlfn.XLOOKUP(B699,orders!A:A,orders!C:C)</f>
        <v>45972</v>
      </c>
      <c r="K699" s="6" t="str">
        <f t="shared" si="21"/>
        <v>Nov-2025</v>
      </c>
      <c r="L699" s="6">
        <f>_xlfn.XLOOKUP(B699,orders!A:A,orders!B:B)</f>
        <v>377</v>
      </c>
      <c r="M699" s="6" t="str">
        <f>_xlfn.XLOOKUP("C"&amp;TEXT(L699,"000"),customers!A:A,customers!B:B,"Not Found")</f>
        <v>Kavya C.</v>
      </c>
    </row>
    <row r="700" spans="1:13">
      <c r="A700">
        <v>699</v>
      </c>
      <c r="B700">
        <v>450</v>
      </c>
      <c r="C700">
        <v>1</v>
      </c>
      <c r="D700" s="4">
        <v>3</v>
      </c>
      <c r="E700">
        <f>_xlfn.XLOOKUP(C700,products!A:A,products!D:D)</f>
        <v>637</v>
      </c>
      <c r="F700">
        <f t="shared" si="20"/>
        <v>1911</v>
      </c>
      <c r="G700">
        <f>D700*(E700-_xlfn.XLOOKUP(C700,products!A:A,products!E:E))</f>
        <v>831.27</v>
      </c>
      <c r="H700" s="6" t="str">
        <f>_xlfn.XLOOKUP(C700,products!A:A,products!C:C)</f>
        <v>Electronics</v>
      </c>
      <c r="I700" s="6" t="str">
        <f>_xlfn.XLOOKUP(C700,products!A:A,products!B:B)</f>
        <v>Laptop</v>
      </c>
      <c r="J700" s="6">
        <f>_xlfn.XLOOKUP(B700,orders!A:A,orders!C:C)</f>
        <v>45975</v>
      </c>
      <c r="K700" s="6" t="str">
        <f t="shared" si="21"/>
        <v>Nov-2025</v>
      </c>
      <c r="L700" s="6">
        <f>_xlfn.XLOOKUP(B700,orders!A:A,orders!B:B)</f>
        <v>414</v>
      </c>
      <c r="M700" s="6" t="str">
        <f>_xlfn.XLOOKUP("C"&amp;TEXT(L700,"000"),customers!A:A,customers!B:B,"Not Found")</f>
        <v>Kiran W.</v>
      </c>
    </row>
    <row r="701" spans="1:13">
      <c r="A701">
        <v>700</v>
      </c>
      <c r="B701">
        <v>450</v>
      </c>
      <c r="C701">
        <v>14</v>
      </c>
      <c r="D701" s="4">
        <v>4</v>
      </c>
      <c r="E701">
        <f>_xlfn.XLOOKUP(C701,products!A:A,products!D:D)</f>
        <v>2418</v>
      </c>
      <c r="F701">
        <f t="shared" si="20"/>
        <v>9672</v>
      </c>
      <c r="G701">
        <f>D701*(E701-_xlfn.XLOOKUP(C701,products!A:A,products!E:E))</f>
        <v>3772.08</v>
      </c>
      <c r="H701" s="6" t="str">
        <f>_xlfn.XLOOKUP(C701,products!A:A,products!C:C)</f>
        <v>Fashion</v>
      </c>
      <c r="I701" s="6" t="str">
        <f>_xlfn.XLOOKUP(C701,products!A:A,products!B:B)</f>
        <v>Jacket</v>
      </c>
      <c r="J701" s="6">
        <f>_xlfn.XLOOKUP(B701,orders!A:A,orders!C:C)</f>
        <v>45975</v>
      </c>
      <c r="K701" s="6" t="str">
        <f t="shared" si="21"/>
        <v>Nov-2025</v>
      </c>
      <c r="L701" s="6">
        <f>_xlfn.XLOOKUP(B701,orders!A:A,orders!B:B)</f>
        <v>414</v>
      </c>
      <c r="M701" s="6" t="str">
        <f>_xlfn.XLOOKUP("C"&amp;TEXT(L701,"000"),customers!A:A,customers!B:B,"Not Found")</f>
        <v>Kiran W.</v>
      </c>
    </row>
    <row r="702" spans="1:13">
      <c r="A702">
        <v>701</v>
      </c>
      <c r="B702">
        <v>451</v>
      </c>
      <c r="C702">
        <v>8</v>
      </c>
      <c r="D702" s="4">
        <v>4</v>
      </c>
      <c r="E702">
        <f>_xlfn.XLOOKUP(C702,products!A:A,products!D:D)</f>
        <v>1596</v>
      </c>
      <c r="F702">
        <f t="shared" si="20"/>
        <v>6384</v>
      </c>
      <c r="G702">
        <f>D702*(E702-_xlfn.XLOOKUP(C702,products!A:A,products!E:E))</f>
        <v>2106.7200000000003</v>
      </c>
      <c r="H702" s="6" t="str">
        <f>_xlfn.XLOOKUP(C702,products!A:A,products!C:C)</f>
        <v>Electronics</v>
      </c>
      <c r="I702" s="6" t="str">
        <f>_xlfn.XLOOKUP(C702,products!A:A,products!B:B)</f>
        <v>Tablet</v>
      </c>
      <c r="J702" s="6">
        <f>_xlfn.XLOOKUP(B702,orders!A:A,orders!C:C)</f>
        <v>45978</v>
      </c>
      <c r="K702" s="6" t="str">
        <f t="shared" si="21"/>
        <v>Nov-2025</v>
      </c>
      <c r="L702" s="6">
        <f>_xlfn.XLOOKUP(B702,orders!A:A,orders!B:B)</f>
        <v>451</v>
      </c>
      <c r="M702" s="6" t="str">
        <f>_xlfn.XLOOKUP("C"&amp;TEXT(L702,"000"),customers!A:A,customers!B:B,"Not Found")</f>
        <v>Divya H.</v>
      </c>
    </row>
    <row r="703" spans="1:13">
      <c r="A703">
        <v>702</v>
      </c>
      <c r="B703">
        <v>451</v>
      </c>
      <c r="C703">
        <v>21</v>
      </c>
      <c r="D703" s="4">
        <v>1</v>
      </c>
      <c r="E703">
        <f>_xlfn.XLOOKUP(C703,products!A:A,products!D:D)</f>
        <v>3377</v>
      </c>
      <c r="F703">
        <f t="shared" si="20"/>
        <v>3377</v>
      </c>
      <c r="G703">
        <f>D703*(E703-_xlfn.XLOOKUP(C703,products!A:A,products!E:E))</f>
        <v>1468.99</v>
      </c>
      <c r="H703" s="6" t="str">
        <f>_xlfn.XLOOKUP(C703,products!A:A,products!C:C)</f>
        <v>Home Appliances</v>
      </c>
      <c r="I703" s="6" t="str">
        <f>_xlfn.XLOOKUP(C703,products!A:A,products!B:B)</f>
        <v>Mixer</v>
      </c>
      <c r="J703" s="6">
        <f>_xlfn.XLOOKUP(B703,orders!A:A,orders!C:C)</f>
        <v>45978</v>
      </c>
      <c r="K703" s="6" t="str">
        <f t="shared" si="21"/>
        <v>Nov-2025</v>
      </c>
      <c r="L703" s="6">
        <f>_xlfn.XLOOKUP(B703,orders!A:A,orders!B:B)</f>
        <v>451</v>
      </c>
      <c r="M703" s="6" t="str">
        <f>_xlfn.XLOOKUP("C"&amp;TEXT(L703,"000"),customers!A:A,customers!B:B,"Not Found")</f>
        <v>Divya H.</v>
      </c>
    </row>
    <row r="704" spans="1:13">
      <c r="A704">
        <v>703</v>
      </c>
      <c r="B704">
        <v>452</v>
      </c>
      <c r="C704">
        <v>15</v>
      </c>
      <c r="D704" s="4">
        <v>1</v>
      </c>
      <c r="E704">
        <f>_xlfn.XLOOKUP(C704,products!A:A,products!D:D)</f>
        <v>2555</v>
      </c>
      <c r="F704">
        <f t="shared" si="20"/>
        <v>2555</v>
      </c>
      <c r="G704">
        <f>D704*(E704-_xlfn.XLOOKUP(C704,products!A:A,products!E:E))</f>
        <v>958.11999999999989</v>
      </c>
      <c r="H704" s="6" t="str">
        <f>_xlfn.XLOOKUP(C704,products!A:A,products!C:C)</f>
        <v>Fashion</v>
      </c>
      <c r="I704" s="6" t="str">
        <f>_xlfn.XLOOKUP(C704,products!A:A,products!B:B)</f>
        <v>Shoes</v>
      </c>
      <c r="J704" s="6">
        <f>_xlfn.XLOOKUP(B704,orders!A:A,orders!C:C)</f>
        <v>45981</v>
      </c>
      <c r="K704" s="6" t="str">
        <f t="shared" si="21"/>
        <v>Nov-2025</v>
      </c>
      <c r="L704" s="6">
        <f>_xlfn.XLOOKUP(B704,orders!A:A,orders!B:B)</f>
        <v>488</v>
      </c>
      <c r="M704" s="6" t="str">
        <f>_xlfn.XLOOKUP("C"&amp;TEXT(L704,"000"),customers!A:A,customers!B:B,"Not Found")</f>
        <v>Rohit E.</v>
      </c>
    </row>
    <row r="705" spans="1:13">
      <c r="A705">
        <v>704</v>
      </c>
      <c r="B705">
        <v>452</v>
      </c>
      <c r="C705">
        <v>28</v>
      </c>
      <c r="D705" s="4">
        <v>2</v>
      </c>
      <c r="E705">
        <f>_xlfn.XLOOKUP(C705,products!A:A,products!D:D)</f>
        <v>4336</v>
      </c>
      <c r="F705">
        <f t="shared" si="20"/>
        <v>8672</v>
      </c>
      <c r="G705">
        <f>D705*(E705-_xlfn.XLOOKUP(C705,products!A:A,products!E:E))</f>
        <v>2861.76</v>
      </c>
      <c r="H705" s="6" t="str">
        <f>_xlfn.XLOOKUP(C705,products!A:A,products!C:C)</f>
        <v>Home &amp; Kitchen</v>
      </c>
      <c r="I705" s="6" t="str">
        <f>_xlfn.XLOOKUP(C705,products!A:A,products!B:B)</f>
        <v>Bottle</v>
      </c>
      <c r="J705" s="6">
        <f>_xlfn.XLOOKUP(B705,orders!A:A,orders!C:C)</f>
        <v>45981</v>
      </c>
      <c r="K705" s="6" t="str">
        <f t="shared" si="21"/>
        <v>Nov-2025</v>
      </c>
      <c r="L705" s="6">
        <f>_xlfn.XLOOKUP(B705,orders!A:A,orders!B:B)</f>
        <v>488</v>
      </c>
      <c r="M705" s="6" t="str">
        <f>_xlfn.XLOOKUP("C"&amp;TEXT(L705,"000"),customers!A:A,customers!B:B,"Not Found")</f>
        <v>Rohit E.</v>
      </c>
    </row>
    <row r="706" spans="1:13">
      <c r="A706">
        <v>705</v>
      </c>
      <c r="B706">
        <v>453</v>
      </c>
      <c r="C706">
        <v>22</v>
      </c>
      <c r="D706" s="4">
        <v>2</v>
      </c>
      <c r="E706">
        <f>_xlfn.XLOOKUP(C706,products!A:A,products!D:D)</f>
        <v>3514</v>
      </c>
      <c r="F706">
        <f t="shared" ref="F706:F769" si="22">D706*E706</f>
        <v>7028</v>
      </c>
      <c r="G706">
        <f>D706*(E706-_xlfn.XLOOKUP(C706,products!A:A,products!E:E))</f>
        <v>2951.76</v>
      </c>
      <c r="H706" s="6" t="str">
        <f>_xlfn.XLOOKUP(C706,products!A:A,products!C:C)</f>
        <v>Home Appliances</v>
      </c>
      <c r="I706" s="6" t="str">
        <f>_xlfn.XLOOKUP(C706,products!A:A,products!B:B)</f>
        <v>Microwave</v>
      </c>
      <c r="J706" s="6">
        <f>_xlfn.XLOOKUP(B706,orders!A:A,orders!C:C)</f>
        <v>45984</v>
      </c>
      <c r="K706" s="6" t="str">
        <f t="shared" ref="K706:K769" si="23">TEXT(J706,"mmm-yyyy")</f>
        <v>Nov-2025</v>
      </c>
      <c r="L706" s="6">
        <f>_xlfn.XLOOKUP(B706,orders!A:A,orders!B:B)</f>
        <v>25</v>
      </c>
      <c r="M706" s="6" t="str">
        <f>_xlfn.XLOOKUP("C"&amp;TEXT(L706,"000"),customers!A:A,customers!B:B,"Not Found")</f>
        <v>Meena C.</v>
      </c>
    </row>
    <row r="707" spans="1:13">
      <c r="A707">
        <v>706</v>
      </c>
      <c r="B707">
        <v>453</v>
      </c>
      <c r="C707">
        <v>35</v>
      </c>
      <c r="D707" s="4">
        <v>3</v>
      </c>
      <c r="E707">
        <f>_xlfn.XLOOKUP(C707,products!A:A,products!D:D)</f>
        <v>5295</v>
      </c>
      <c r="F707">
        <f t="shared" si="22"/>
        <v>15885</v>
      </c>
      <c r="G707">
        <f>D707*(E707-_xlfn.XLOOKUP(C707,products!A:A,products!E:E))</f>
        <v>5956.86</v>
      </c>
      <c r="H707" s="6" t="str">
        <f>_xlfn.XLOOKUP(C707,products!A:A,products!C:C)</f>
        <v>Books</v>
      </c>
      <c r="I707" s="6" t="str">
        <f>_xlfn.XLOOKUP(C707,products!A:A,products!B:B)</f>
        <v>Novel</v>
      </c>
      <c r="J707" s="6">
        <f>_xlfn.XLOOKUP(B707,orders!A:A,orders!C:C)</f>
        <v>45984</v>
      </c>
      <c r="K707" s="6" t="str">
        <f t="shared" si="23"/>
        <v>Nov-2025</v>
      </c>
      <c r="L707" s="6">
        <f>_xlfn.XLOOKUP(B707,orders!A:A,orders!B:B)</f>
        <v>25</v>
      </c>
      <c r="M707" s="6" t="str">
        <f>_xlfn.XLOOKUP("C"&amp;TEXT(L707,"000"),customers!A:A,customers!B:B,"Not Found")</f>
        <v>Meena C.</v>
      </c>
    </row>
    <row r="708" spans="1:13">
      <c r="A708">
        <v>707</v>
      </c>
      <c r="B708">
        <v>454</v>
      </c>
      <c r="C708">
        <v>29</v>
      </c>
      <c r="D708" s="4">
        <v>3</v>
      </c>
      <c r="E708">
        <f>_xlfn.XLOOKUP(C708,products!A:A,products!D:D)</f>
        <v>4473</v>
      </c>
      <c r="F708">
        <f t="shared" si="22"/>
        <v>13419</v>
      </c>
      <c r="G708">
        <f>D708*(E708-_xlfn.XLOOKUP(C708,products!A:A,products!E:E))</f>
        <v>4226.9699999999993</v>
      </c>
      <c r="H708" s="6" t="str">
        <f>_xlfn.XLOOKUP(C708,products!A:A,products!C:C)</f>
        <v>Furniture</v>
      </c>
      <c r="I708" s="6" t="str">
        <f>_xlfn.XLOOKUP(C708,products!A:A,products!B:B)</f>
        <v>Chair</v>
      </c>
      <c r="J708" s="6">
        <f>_xlfn.XLOOKUP(B708,orders!A:A,orders!C:C)</f>
        <v>45987</v>
      </c>
      <c r="K708" s="6" t="str">
        <f t="shared" si="23"/>
        <v>Nov-2025</v>
      </c>
      <c r="L708" s="6">
        <f>_xlfn.XLOOKUP(B708,orders!A:A,orders!B:B)</f>
        <v>62</v>
      </c>
      <c r="M708" s="6" t="str">
        <f>_xlfn.XLOOKUP("C"&amp;TEXT(L708,"000"),customers!A:A,customers!B:B,"Not Found")</f>
        <v>Kiran N.</v>
      </c>
    </row>
    <row r="709" spans="1:13">
      <c r="A709">
        <v>708</v>
      </c>
      <c r="B709">
        <v>454</v>
      </c>
      <c r="C709">
        <v>42</v>
      </c>
      <c r="D709" s="4">
        <v>4</v>
      </c>
      <c r="E709">
        <f>_xlfn.XLOOKUP(C709,products!A:A,products!D:D)</f>
        <v>6254</v>
      </c>
      <c r="F709">
        <f t="shared" si="22"/>
        <v>25016</v>
      </c>
      <c r="G709">
        <f>D709*(E709-_xlfn.XLOOKUP(C709,products!A:A,products!E:E))</f>
        <v>10506.72</v>
      </c>
      <c r="H709" s="6" t="str">
        <f>_xlfn.XLOOKUP(C709,products!A:A,products!C:C)</f>
        <v>Beauty</v>
      </c>
      <c r="I709" s="6" t="str">
        <f>_xlfn.XLOOKUP(C709,products!A:A,products!B:B)</f>
        <v>Shampoo</v>
      </c>
      <c r="J709" s="6">
        <f>_xlfn.XLOOKUP(B709,orders!A:A,orders!C:C)</f>
        <v>45987</v>
      </c>
      <c r="K709" s="6" t="str">
        <f t="shared" si="23"/>
        <v>Nov-2025</v>
      </c>
      <c r="L709" s="6">
        <f>_xlfn.XLOOKUP(B709,orders!A:A,orders!B:B)</f>
        <v>62</v>
      </c>
      <c r="M709" s="6" t="str">
        <f>_xlfn.XLOOKUP("C"&amp;TEXT(L709,"000"),customers!A:A,customers!B:B,"Not Found")</f>
        <v>Kiran N.</v>
      </c>
    </row>
    <row r="710" spans="1:13">
      <c r="A710">
        <v>709</v>
      </c>
      <c r="B710">
        <v>455</v>
      </c>
      <c r="C710">
        <v>36</v>
      </c>
      <c r="D710" s="4">
        <v>4</v>
      </c>
      <c r="E710">
        <f>_xlfn.XLOOKUP(C710,products!A:A,products!D:D)</f>
        <v>5432</v>
      </c>
      <c r="F710">
        <f t="shared" si="22"/>
        <v>21728</v>
      </c>
      <c r="G710">
        <f>D710*(E710-_xlfn.XLOOKUP(C710,products!A:A,products!E:E))</f>
        <v>7822.08</v>
      </c>
      <c r="H710" s="6" t="str">
        <f>_xlfn.XLOOKUP(C710,products!A:A,products!C:C)</f>
        <v>Sports</v>
      </c>
      <c r="I710" s="6" t="str">
        <f>_xlfn.XLOOKUP(C710,products!A:A,products!B:B)</f>
        <v>Cricket Bat</v>
      </c>
      <c r="J710" s="6">
        <f>_xlfn.XLOOKUP(B710,orders!A:A,orders!C:C)</f>
        <v>45990</v>
      </c>
      <c r="K710" s="6" t="str">
        <f t="shared" si="23"/>
        <v>Nov-2025</v>
      </c>
      <c r="L710" s="6">
        <f>_xlfn.XLOOKUP(B710,orders!A:A,orders!B:B)</f>
        <v>99</v>
      </c>
      <c r="M710" s="6" t="str">
        <f>_xlfn.XLOOKUP("C"&amp;TEXT(L710,"000"),customers!A:A,customers!B:B,"Not Found")</f>
        <v>Amit V.</v>
      </c>
    </row>
    <row r="711" spans="1:13">
      <c r="A711">
        <v>710</v>
      </c>
      <c r="B711">
        <v>455</v>
      </c>
      <c r="C711">
        <v>49</v>
      </c>
      <c r="D711" s="4">
        <v>1</v>
      </c>
      <c r="E711">
        <f>_xlfn.XLOOKUP(C711,products!A:A,products!D:D)</f>
        <v>7213</v>
      </c>
      <c r="F711">
        <f t="shared" si="22"/>
        <v>7213</v>
      </c>
      <c r="G711">
        <f>D711*(E711-_xlfn.XLOOKUP(C711,products!A:A,products!E:E))</f>
        <v>2272.09</v>
      </c>
      <c r="H711" s="6" t="str">
        <f>_xlfn.XLOOKUP(C711,products!A:A,products!C:C)</f>
        <v>Toys</v>
      </c>
      <c r="I711" s="6" t="str">
        <f>_xlfn.XLOOKUP(C711,products!A:A,products!B:B)</f>
        <v>Remote Car</v>
      </c>
      <c r="J711" s="6">
        <f>_xlfn.XLOOKUP(B711,orders!A:A,orders!C:C)</f>
        <v>45990</v>
      </c>
      <c r="K711" s="6" t="str">
        <f t="shared" si="23"/>
        <v>Nov-2025</v>
      </c>
      <c r="L711" s="6">
        <f>_xlfn.XLOOKUP(B711,orders!A:A,orders!B:B)</f>
        <v>99</v>
      </c>
      <c r="M711" s="6" t="str">
        <f>_xlfn.XLOOKUP("C"&amp;TEXT(L711,"000"),customers!A:A,customers!B:B,"Not Found")</f>
        <v>Amit V.</v>
      </c>
    </row>
    <row r="712" spans="1:13">
      <c r="A712">
        <v>711</v>
      </c>
      <c r="B712">
        <v>456</v>
      </c>
      <c r="C712">
        <v>43</v>
      </c>
      <c r="D712" s="4">
        <v>1</v>
      </c>
      <c r="E712">
        <f>_xlfn.XLOOKUP(C712,products!A:A,products!D:D)</f>
        <v>6391</v>
      </c>
      <c r="F712">
        <f t="shared" si="22"/>
        <v>6391</v>
      </c>
      <c r="G712">
        <f>D712*(E712-_xlfn.XLOOKUP(C712,products!A:A,products!E:E))</f>
        <v>2588.35</v>
      </c>
      <c r="H712" s="6" t="str">
        <f>_xlfn.XLOOKUP(C712,products!A:A,products!C:C)</f>
        <v>Beauty</v>
      </c>
      <c r="I712" s="6" t="str">
        <f>_xlfn.XLOOKUP(C712,products!A:A,products!B:B)</f>
        <v>Perfume</v>
      </c>
      <c r="J712" s="6">
        <f>_xlfn.XLOOKUP(B712,orders!A:A,orders!C:C)</f>
        <v>45993</v>
      </c>
      <c r="K712" s="6" t="str">
        <f t="shared" si="23"/>
        <v>Dec-2025</v>
      </c>
      <c r="L712" s="6">
        <f>_xlfn.XLOOKUP(B712,orders!A:A,orders!B:B)</f>
        <v>136</v>
      </c>
      <c r="M712" s="6" t="str">
        <f>_xlfn.XLOOKUP("C"&amp;TEXT(L712,"000"),customers!A:A,customers!B:B,"Not Found")</f>
        <v>Divya D.</v>
      </c>
    </row>
    <row r="713" spans="1:13">
      <c r="A713">
        <v>712</v>
      </c>
      <c r="B713">
        <v>456</v>
      </c>
      <c r="C713">
        <v>6</v>
      </c>
      <c r="D713" s="4">
        <v>2</v>
      </c>
      <c r="E713">
        <f>_xlfn.XLOOKUP(C713,products!A:A,products!D:D)</f>
        <v>1322</v>
      </c>
      <c r="F713">
        <f t="shared" si="22"/>
        <v>2644</v>
      </c>
      <c r="G713">
        <f>D713*(E713-_xlfn.XLOOKUP(C713,products!A:A,products!E:E))</f>
        <v>951.83999999999992</v>
      </c>
      <c r="H713" s="6" t="str">
        <f>_xlfn.XLOOKUP(C713,products!A:A,products!C:C)</f>
        <v>Electronics</v>
      </c>
      <c r="I713" s="6" t="str">
        <f>_xlfn.XLOOKUP(C713,products!A:A,products!B:B)</f>
        <v>Mouse</v>
      </c>
      <c r="J713" s="6">
        <f>_xlfn.XLOOKUP(B713,orders!A:A,orders!C:C)</f>
        <v>45993</v>
      </c>
      <c r="K713" s="6" t="str">
        <f t="shared" si="23"/>
        <v>Dec-2025</v>
      </c>
      <c r="L713" s="6">
        <f>_xlfn.XLOOKUP(B713,orders!A:A,orders!B:B)</f>
        <v>136</v>
      </c>
      <c r="M713" s="6" t="str">
        <f>_xlfn.XLOOKUP("C"&amp;TEXT(L713,"000"),customers!A:A,customers!B:B,"Not Found")</f>
        <v>Divya D.</v>
      </c>
    </row>
    <row r="714" spans="1:13">
      <c r="A714">
        <v>713</v>
      </c>
      <c r="B714">
        <v>457</v>
      </c>
      <c r="C714">
        <v>50</v>
      </c>
      <c r="D714" s="4">
        <v>2</v>
      </c>
      <c r="E714">
        <f>_xlfn.XLOOKUP(C714,products!A:A,products!D:D)</f>
        <v>7350</v>
      </c>
      <c r="F714">
        <f t="shared" si="22"/>
        <v>14700</v>
      </c>
      <c r="G714">
        <f>D714*(E714-_xlfn.XLOOKUP(C714,products!A:A,products!E:E))</f>
        <v>6615</v>
      </c>
      <c r="H714" s="6" t="str">
        <f>_xlfn.XLOOKUP(C714,products!A:A,products!C:C)</f>
        <v>Toys</v>
      </c>
      <c r="I714" s="6" t="str">
        <f>_xlfn.XLOOKUP(C714,products!A:A,products!B:B)</f>
        <v>Building Blocks</v>
      </c>
      <c r="J714" s="6">
        <f>_xlfn.XLOOKUP(B714,orders!A:A,orders!C:C)</f>
        <v>45996</v>
      </c>
      <c r="K714" s="6" t="str">
        <f t="shared" si="23"/>
        <v>Dec-2025</v>
      </c>
      <c r="L714" s="6">
        <f>_xlfn.XLOOKUP(B714,orders!A:A,orders!B:B)</f>
        <v>173</v>
      </c>
      <c r="M714" s="6" t="str">
        <f>_xlfn.XLOOKUP("C"&amp;TEXT(L714,"000"),customers!A:A,customers!B:B,"Not Found")</f>
        <v>Anjali Y.</v>
      </c>
    </row>
    <row r="715" spans="1:13">
      <c r="A715">
        <v>714</v>
      </c>
      <c r="B715">
        <v>457</v>
      </c>
      <c r="C715">
        <v>13</v>
      </c>
      <c r="D715" s="4">
        <v>3</v>
      </c>
      <c r="E715">
        <f>_xlfn.XLOOKUP(C715,products!A:A,products!D:D)</f>
        <v>2281</v>
      </c>
      <c r="F715">
        <f t="shared" si="22"/>
        <v>6843</v>
      </c>
      <c r="G715">
        <f>D715*(E715-_xlfn.XLOOKUP(C715,products!A:A,products!E:E))</f>
        <v>2771.3999999999996</v>
      </c>
      <c r="H715" s="6" t="str">
        <f>_xlfn.XLOOKUP(C715,products!A:A,products!C:C)</f>
        <v>Fashion</v>
      </c>
      <c r="I715" s="6" t="str">
        <f>_xlfn.XLOOKUP(C715,products!A:A,products!B:B)</f>
        <v>Shirt</v>
      </c>
      <c r="J715" s="6">
        <f>_xlfn.XLOOKUP(B715,orders!A:A,orders!C:C)</f>
        <v>45996</v>
      </c>
      <c r="K715" s="6" t="str">
        <f t="shared" si="23"/>
        <v>Dec-2025</v>
      </c>
      <c r="L715" s="6">
        <f>_xlfn.XLOOKUP(B715,orders!A:A,orders!B:B)</f>
        <v>173</v>
      </c>
      <c r="M715" s="6" t="str">
        <f>_xlfn.XLOOKUP("C"&amp;TEXT(L715,"000"),customers!A:A,customers!B:B,"Not Found")</f>
        <v>Anjali Y.</v>
      </c>
    </row>
    <row r="716" spans="1:13">
      <c r="A716">
        <v>715</v>
      </c>
      <c r="B716">
        <v>458</v>
      </c>
      <c r="C716">
        <v>7</v>
      </c>
      <c r="D716" s="4">
        <v>3</v>
      </c>
      <c r="E716">
        <f>_xlfn.XLOOKUP(C716,products!A:A,products!D:D)</f>
        <v>1459</v>
      </c>
      <c r="F716">
        <f t="shared" si="22"/>
        <v>4377</v>
      </c>
      <c r="G716">
        <f>D716*(E716-_xlfn.XLOOKUP(C716,products!A:A,products!E:E))</f>
        <v>1510.0500000000002</v>
      </c>
      <c r="H716" s="6" t="str">
        <f>_xlfn.XLOOKUP(C716,products!A:A,products!C:C)</f>
        <v>Electronics</v>
      </c>
      <c r="I716" s="6" t="str">
        <f>_xlfn.XLOOKUP(C716,products!A:A,products!B:B)</f>
        <v>Monitor</v>
      </c>
      <c r="J716" s="6">
        <f>_xlfn.XLOOKUP(B716,orders!A:A,orders!C:C)</f>
        <v>45999</v>
      </c>
      <c r="K716" s="6" t="str">
        <f t="shared" si="23"/>
        <v>Dec-2025</v>
      </c>
      <c r="L716" s="6">
        <f>_xlfn.XLOOKUP(B716,orders!A:A,orders!B:B)</f>
        <v>210</v>
      </c>
      <c r="M716" s="6" t="str">
        <f>_xlfn.XLOOKUP("C"&amp;TEXT(L716,"000"),customers!A:A,customers!B:B,"Not Found")</f>
        <v>Arjun P.</v>
      </c>
    </row>
    <row r="717" spans="1:13">
      <c r="A717">
        <v>716</v>
      </c>
      <c r="B717">
        <v>458</v>
      </c>
      <c r="C717">
        <v>20</v>
      </c>
      <c r="D717" s="4">
        <v>4</v>
      </c>
      <c r="E717">
        <f>_xlfn.XLOOKUP(C717,products!A:A,products!D:D)</f>
        <v>3240</v>
      </c>
      <c r="F717">
        <f t="shared" si="22"/>
        <v>12960</v>
      </c>
      <c r="G717">
        <f>D717*(E717-_xlfn.XLOOKUP(C717,products!A:A,products!E:E))</f>
        <v>5832</v>
      </c>
      <c r="H717" s="6" t="str">
        <f>_xlfn.XLOOKUP(C717,products!A:A,products!C:C)</f>
        <v>Fashion</v>
      </c>
      <c r="I717" s="6" t="str">
        <f>_xlfn.XLOOKUP(C717,products!A:A,products!B:B)</f>
        <v>Belt</v>
      </c>
      <c r="J717" s="6">
        <f>_xlfn.XLOOKUP(B717,orders!A:A,orders!C:C)</f>
        <v>45999</v>
      </c>
      <c r="K717" s="6" t="str">
        <f t="shared" si="23"/>
        <v>Dec-2025</v>
      </c>
      <c r="L717" s="6">
        <f>_xlfn.XLOOKUP(B717,orders!A:A,orders!B:B)</f>
        <v>210</v>
      </c>
      <c r="M717" s="6" t="str">
        <f>_xlfn.XLOOKUP("C"&amp;TEXT(L717,"000"),customers!A:A,customers!B:B,"Not Found")</f>
        <v>Arjun P.</v>
      </c>
    </row>
    <row r="718" spans="1:13">
      <c r="A718">
        <v>717</v>
      </c>
      <c r="B718">
        <v>459</v>
      </c>
      <c r="C718">
        <v>14</v>
      </c>
      <c r="D718" s="4">
        <v>4</v>
      </c>
      <c r="E718">
        <f>_xlfn.XLOOKUP(C718,products!A:A,products!D:D)</f>
        <v>2418</v>
      </c>
      <c r="F718">
        <f t="shared" si="22"/>
        <v>9672</v>
      </c>
      <c r="G718">
        <f>D718*(E718-_xlfn.XLOOKUP(C718,products!A:A,products!E:E))</f>
        <v>3772.08</v>
      </c>
      <c r="H718" s="6" t="str">
        <f>_xlfn.XLOOKUP(C718,products!A:A,products!C:C)</f>
        <v>Fashion</v>
      </c>
      <c r="I718" s="6" t="str">
        <f>_xlfn.XLOOKUP(C718,products!A:A,products!B:B)</f>
        <v>Jacket</v>
      </c>
      <c r="J718" s="6">
        <f>_xlfn.XLOOKUP(B718,orders!A:A,orders!C:C)</f>
        <v>46002</v>
      </c>
      <c r="K718" s="6" t="str">
        <f t="shared" si="23"/>
        <v>Dec-2025</v>
      </c>
      <c r="L718" s="6">
        <f>_xlfn.XLOOKUP(B718,orders!A:A,orders!B:B)</f>
        <v>247</v>
      </c>
      <c r="M718" s="6" t="str">
        <f>_xlfn.XLOOKUP("C"&amp;TEXT(L718,"000"),customers!A:A,customers!B:B,"Not Found")</f>
        <v>Lakshmi E.</v>
      </c>
    </row>
    <row r="719" spans="1:13">
      <c r="A719">
        <v>718</v>
      </c>
      <c r="B719">
        <v>459</v>
      </c>
      <c r="C719">
        <v>27</v>
      </c>
      <c r="D719" s="4">
        <v>1</v>
      </c>
      <c r="E719">
        <f>_xlfn.XLOOKUP(C719,products!A:A,products!D:D)</f>
        <v>4199</v>
      </c>
      <c r="F719">
        <f t="shared" si="22"/>
        <v>4199</v>
      </c>
      <c r="G719">
        <f>D719*(E719-_xlfn.XLOOKUP(C719,products!A:A,products!E:E))</f>
        <v>1448.65</v>
      </c>
      <c r="H719" s="6" t="str">
        <f>_xlfn.XLOOKUP(C719,products!A:A,products!C:C)</f>
        <v>Home &amp; Kitchen</v>
      </c>
      <c r="I719" s="6" t="str">
        <f>_xlfn.XLOOKUP(C719,products!A:A,products!B:B)</f>
        <v>Cookware Set</v>
      </c>
      <c r="J719" s="6">
        <f>_xlfn.XLOOKUP(B719,orders!A:A,orders!C:C)</f>
        <v>46002</v>
      </c>
      <c r="K719" s="6" t="str">
        <f t="shared" si="23"/>
        <v>Dec-2025</v>
      </c>
      <c r="L719" s="6">
        <f>_xlfn.XLOOKUP(B719,orders!A:A,orders!B:B)</f>
        <v>247</v>
      </c>
      <c r="M719" s="6" t="str">
        <f>_xlfn.XLOOKUP("C"&amp;TEXT(L719,"000"),customers!A:A,customers!B:B,"Not Found")</f>
        <v>Lakshmi E.</v>
      </c>
    </row>
    <row r="720" spans="1:13">
      <c r="A720">
        <v>719</v>
      </c>
      <c r="B720">
        <v>460</v>
      </c>
      <c r="C720">
        <v>21</v>
      </c>
      <c r="D720" s="4">
        <v>1</v>
      </c>
      <c r="E720">
        <f>_xlfn.XLOOKUP(C720,products!A:A,products!D:D)</f>
        <v>3377</v>
      </c>
      <c r="F720">
        <f t="shared" si="22"/>
        <v>3377</v>
      </c>
      <c r="G720">
        <f>D720*(E720-_xlfn.XLOOKUP(C720,products!A:A,products!E:E))</f>
        <v>1468.99</v>
      </c>
      <c r="H720" s="6" t="str">
        <f>_xlfn.XLOOKUP(C720,products!A:A,products!C:C)</f>
        <v>Home Appliances</v>
      </c>
      <c r="I720" s="6" t="str">
        <f>_xlfn.XLOOKUP(C720,products!A:A,products!B:B)</f>
        <v>Mixer</v>
      </c>
      <c r="J720" s="6">
        <f>_xlfn.XLOOKUP(B720,orders!A:A,orders!C:C)</f>
        <v>46005</v>
      </c>
      <c r="K720" s="6" t="str">
        <f t="shared" si="23"/>
        <v>Dec-2025</v>
      </c>
      <c r="L720" s="6">
        <f>_xlfn.XLOOKUP(B720,orders!A:A,orders!B:B)</f>
        <v>284</v>
      </c>
      <c r="M720" s="6" t="str">
        <f>_xlfn.XLOOKUP("C"&amp;TEXT(L720,"000"),customers!A:A,customers!B:B,"Not Found")</f>
        <v>Vikram A.</v>
      </c>
    </row>
    <row r="721" spans="1:13">
      <c r="A721">
        <v>720</v>
      </c>
      <c r="B721">
        <v>460</v>
      </c>
      <c r="C721">
        <v>34</v>
      </c>
      <c r="D721" s="4">
        <v>2</v>
      </c>
      <c r="E721">
        <f>_xlfn.XLOOKUP(C721,products!A:A,products!D:D)</f>
        <v>5158</v>
      </c>
      <c r="F721">
        <f t="shared" si="22"/>
        <v>10316</v>
      </c>
      <c r="G721">
        <f>D721*(E721-_xlfn.XLOOKUP(C721,products!A:A,products!E:E))</f>
        <v>4023.24</v>
      </c>
      <c r="H721" s="6" t="str">
        <f>_xlfn.XLOOKUP(C721,products!A:A,products!C:C)</f>
        <v>Books</v>
      </c>
      <c r="I721" s="6" t="str">
        <f>_xlfn.XLOOKUP(C721,products!A:A,products!B:B)</f>
        <v>Cookbook</v>
      </c>
      <c r="J721" s="6">
        <f>_xlfn.XLOOKUP(B721,orders!A:A,orders!C:C)</f>
        <v>46005</v>
      </c>
      <c r="K721" s="6" t="str">
        <f t="shared" si="23"/>
        <v>Dec-2025</v>
      </c>
      <c r="L721" s="6">
        <f>_xlfn.XLOOKUP(B721,orders!A:A,orders!B:B)</f>
        <v>284</v>
      </c>
      <c r="M721" s="6" t="str">
        <f>_xlfn.XLOOKUP("C"&amp;TEXT(L721,"000"),customers!A:A,customers!B:B,"Not Found")</f>
        <v>Vikram A.</v>
      </c>
    </row>
    <row r="722" spans="1:13">
      <c r="A722">
        <v>721</v>
      </c>
      <c r="B722">
        <v>461</v>
      </c>
      <c r="C722">
        <v>28</v>
      </c>
      <c r="D722" s="4">
        <v>2</v>
      </c>
      <c r="E722">
        <f>_xlfn.XLOOKUP(C722,products!A:A,products!D:D)</f>
        <v>4336</v>
      </c>
      <c r="F722">
        <f t="shared" si="22"/>
        <v>8672</v>
      </c>
      <c r="G722">
        <f>D722*(E722-_xlfn.XLOOKUP(C722,products!A:A,products!E:E))</f>
        <v>2861.76</v>
      </c>
      <c r="H722" s="6" t="str">
        <f>_xlfn.XLOOKUP(C722,products!A:A,products!C:C)</f>
        <v>Home &amp; Kitchen</v>
      </c>
      <c r="I722" s="6" t="str">
        <f>_xlfn.XLOOKUP(C722,products!A:A,products!B:B)</f>
        <v>Bottle</v>
      </c>
      <c r="J722" s="6">
        <f>_xlfn.XLOOKUP(B722,orders!A:A,orders!C:C)</f>
        <v>46008</v>
      </c>
      <c r="K722" s="6" t="str">
        <f t="shared" si="23"/>
        <v>Dec-2025</v>
      </c>
      <c r="L722" s="6">
        <f>_xlfn.XLOOKUP(B722,orders!A:A,orders!B:B)</f>
        <v>321</v>
      </c>
      <c r="M722" s="6" t="str">
        <f>_xlfn.XLOOKUP("C"&amp;TEXT(L722,"000"),customers!A:A,customers!B:B,"Not Found")</f>
        <v>Arjun B.</v>
      </c>
    </row>
    <row r="723" spans="1:13">
      <c r="A723">
        <v>722</v>
      </c>
      <c r="B723">
        <v>461</v>
      </c>
      <c r="C723">
        <v>41</v>
      </c>
      <c r="D723" s="4">
        <v>3</v>
      </c>
      <c r="E723">
        <f>_xlfn.XLOOKUP(C723,products!A:A,products!D:D)</f>
        <v>6117</v>
      </c>
      <c r="F723">
        <f t="shared" si="22"/>
        <v>18351</v>
      </c>
      <c r="G723">
        <f>D723*(E723-_xlfn.XLOOKUP(C723,products!A:A,products!E:E))</f>
        <v>7982.67</v>
      </c>
      <c r="H723" s="6" t="str">
        <f>_xlfn.XLOOKUP(C723,products!A:A,products!C:C)</f>
        <v>Beauty</v>
      </c>
      <c r="I723" s="6" t="str">
        <f>_xlfn.XLOOKUP(C723,products!A:A,products!B:B)</f>
        <v>Face Wash</v>
      </c>
      <c r="J723" s="6">
        <f>_xlfn.XLOOKUP(B723,orders!A:A,orders!C:C)</f>
        <v>46008</v>
      </c>
      <c r="K723" s="6" t="str">
        <f t="shared" si="23"/>
        <v>Dec-2025</v>
      </c>
      <c r="L723" s="6">
        <f>_xlfn.XLOOKUP(B723,orders!A:A,orders!B:B)</f>
        <v>321</v>
      </c>
      <c r="M723" s="6" t="str">
        <f>_xlfn.XLOOKUP("C"&amp;TEXT(L723,"000"),customers!A:A,customers!B:B,"Not Found")</f>
        <v>Arjun B.</v>
      </c>
    </row>
    <row r="724" spans="1:13">
      <c r="A724">
        <v>723</v>
      </c>
      <c r="B724">
        <v>462</v>
      </c>
      <c r="C724">
        <v>35</v>
      </c>
      <c r="D724" s="4">
        <v>3</v>
      </c>
      <c r="E724">
        <f>_xlfn.XLOOKUP(C724,products!A:A,products!D:D)</f>
        <v>5295</v>
      </c>
      <c r="F724">
        <f t="shared" si="22"/>
        <v>15885</v>
      </c>
      <c r="G724">
        <f>D724*(E724-_xlfn.XLOOKUP(C724,products!A:A,products!E:E))</f>
        <v>5956.86</v>
      </c>
      <c r="H724" s="6" t="str">
        <f>_xlfn.XLOOKUP(C724,products!A:A,products!C:C)</f>
        <v>Books</v>
      </c>
      <c r="I724" s="6" t="str">
        <f>_xlfn.XLOOKUP(C724,products!A:A,products!B:B)</f>
        <v>Novel</v>
      </c>
      <c r="J724" s="6">
        <f>_xlfn.XLOOKUP(B724,orders!A:A,orders!C:C)</f>
        <v>46011</v>
      </c>
      <c r="K724" s="6" t="str">
        <f t="shared" si="23"/>
        <v>Dec-2025</v>
      </c>
      <c r="L724" s="6">
        <f>_xlfn.XLOOKUP(B724,orders!A:A,orders!B:B)</f>
        <v>358</v>
      </c>
      <c r="M724" s="6" t="str">
        <f>_xlfn.XLOOKUP("C"&amp;TEXT(L724,"000"),customers!A:A,customers!B:B,"Not Found")</f>
        <v>Kavya U.</v>
      </c>
    </row>
    <row r="725" spans="1:13">
      <c r="A725">
        <v>724</v>
      </c>
      <c r="B725">
        <v>462</v>
      </c>
      <c r="C725">
        <v>48</v>
      </c>
      <c r="D725" s="4">
        <v>4</v>
      </c>
      <c r="E725">
        <f>_xlfn.XLOOKUP(C725,products!A:A,products!D:D)</f>
        <v>7076</v>
      </c>
      <c r="F725">
        <f t="shared" si="22"/>
        <v>28304</v>
      </c>
      <c r="G725">
        <f>D725*(E725-_xlfn.XLOOKUP(C725,products!A:A,products!E:E))</f>
        <v>9340.32</v>
      </c>
      <c r="H725" s="6" t="str">
        <f>_xlfn.XLOOKUP(C725,products!A:A,products!C:C)</f>
        <v>Toys</v>
      </c>
      <c r="I725" s="6" t="str">
        <f>_xlfn.XLOOKUP(C725,products!A:A,products!B:B)</f>
        <v>Board Game</v>
      </c>
      <c r="J725" s="6">
        <f>_xlfn.XLOOKUP(B725,orders!A:A,orders!C:C)</f>
        <v>46011</v>
      </c>
      <c r="K725" s="6" t="str">
        <f t="shared" si="23"/>
        <v>Dec-2025</v>
      </c>
      <c r="L725" s="6">
        <f>_xlfn.XLOOKUP(B725,orders!A:A,orders!B:B)</f>
        <v>358</v>
      </c>
      <c r="M725" s="6" t="str">
        <f>_xlfn.XLOOKUP("C"&amp;TEXT(L725,"000"),customers!A:A,customers!B:B,"Not Found")</f>
        <v>Kavya U.</v>
      </c>
    </row>
    <row r="726" spans="1:13">
      <c r="A726">
        <v>725</v>
      </c>
      <c r="B726">
        <v>463</v>
      </c>
      <c r="C726">
        <v>42</v>
      </c>
      <c r="D726" s="4">
        <v>4</v>
      </c>
      <c r="E726">
        <f>_xlfn.XLOOKUP(C726,products!A:A,products!D:D)</f>
        <v>6254</v>
      </c>
      <c r="F726">
        <f t="shared" si="22"/>
        <v>25016</v>
      </c>
      <c r="G726">
        <f>D726*(E726-_xlfn.XLOOKUP(C726,products!A:A,products!E:E))</f>
        <v>10506.72</v>
      </c>
      <c r="H726" s="6" t="str">
        <f>_xlfn.XLOOKUP(C726,products!A:A,products!C:C)</f>
        <v>Beauty</v>
      </c>
      <c r="I726" s="6" t="str">
        <f>_xlfn.XLOOKUP(C726,products!A:A,products!B:B)</f>
        <v>Shampoo</v>
      </c>
      <c r="J726" s="6">
        <f>_xlfn.XLOOKUP(B726,orders!A:A,orders!C:C)</f>
        <v>46014</v>
      </c>
      <c r="K726" s="6" t="str">
        <f t="shared" si="23"/>
        <v>Dec-2025</v>
      </c>
      <c r="L726" s="6">
        <f>_xlfn.XLOOKUP(B726,orders!A:A,orders!B:B)</f>
        <v>395</v>
      </c>
      <c r="M726" s="6" t="str">
        <f>_xlfn.XLOOKUP("C"&amp;TEXT(L726,"000"),customers!A:A,customers!B:B,"Not Found")</f>
        <v>Sneha Z.</v>
      </c>
    </row>
    <row r="727" spans="1:13">
      <c r="A727">
        <v>726</v>
      </c>
      <c r="B727">
        <v>463</v>
      </c>
      <c r="C727">
        <v>5</v>
      </c>
      <c r="D727" s="4">
        <v>1</v>
      </c>
      <c r="E727">
        <f>_xlfn.XLOOKUP(C727,products!A:A,products!D:D)</f>
        <v>1185</v>
      </c>
      <c r="F727">
        <f t="shared" si="22"/>
        <v>1185</v>
      </c>
      <c r="G727">
        <f>D727*(E727-_xlfn.XLOOKUP(C727,products!A:A,products!E:E))</f>
        <v>444.38</v>
      </c>
      <c r="H727" s="6" t="str">
        <f>_xlfn.XLOOKUP(C727,products!A:A,products!C:C)</f>
        <v>Electronics</v>
      </c>
      <c r="I727" s="6" t="str">
        <f>_xlfn.XLOOKUP(C727,products!A:A,products!B:B)</f>
        <v>Keyboard</v>
      </c>
      <c r="J727" s="6">
        <f>_xlfn.XLOOKUP(B727,orders!A:A,orders!C:C)</f>
        <v>46014</v>
      </c>
      <c r="K727" s="6" t="str">
        <f t="shared" si="23"/>
        <v>Dec-2025</v>
      </c>
      <c r="L727" s="6">
        <f>_xlfn.XLOOKUP(B727,orders!A:A,orders!B:B)</f>
        <v>395</v>
      </c>
      <c r="M727" s="6" t="str">
        <f>_xlfn.XLOOKUP("C"&amp;TEXT(L727,"000"),customers!A:A,customers!B:B,"Not Found")</f>
        <v>Sneha Z.</v>
      </c>
    </row>
    <row r="728" spans="1:13">
      <c r="A728">
        <v>727</v>
      </c>
      <c r="B728">
        <v>464</v>
      </c>
      <c r="C728">
        <v>49</v>
      </c>
      <c r="D728" s="4">
        <v>1</v>
      </c>
      <c r="E728">
        <f>_xlfn.XLOOKUP(C728,products!A:A,products!D:D)</f>
        <v>7213</v>
      </c>
      <c r="F728">
        <f t="shared" si="22"/>
        <v>7213</v>
      </c>
      <c r="G728">
        <f>D728*(E728-_xlfn.XLOOKUP(C728,products!A:A,products!E:E))</f>
        <v>2272.09</v>
      </c>
      <c r="H728" s="6" t="str">
        <f>_xlfn.XLOOKUP(C728,products!A:A,products!C:C)</f>
        <v>Toys</v>
      </c>
      <c r="I728" s="6" t="str">
        <f>_xlfn.XLOOKUP(C728,products!A:A,products!B:B)</f>
        <v>Remote Car</v>
      </c>
      <c r="J728" s="6">
        <f>_xlfn.XLOOKUP(B728,orders!A:A,orders!C:C)</f>
        <v>46017</v>
      </c>
      <c r="K728" s="6" t="str">
        <f t="shared" si="23"/>
        <v>Dec-2025</v>
      </c>
      <c r="L728" s="6">
        <f>_xlfn.XLOOKUP(B728,orders!A:A,orders!B:B)</f>
        <v>432</v>
      </c>
      <c r="M728" s="6" t="str">
        <f>_xlfn.XLOOKUP("C"&amp;TEXT(L728,"000"),customers!A:A,customers!B:B,"Not Found")</f>
        <v>Neha Z.</v>
      </c>
    </row>
    <row r="729" spans="1:13">
      <c r="A729">
        <v>728</v>
      </c>
      <c r="B729">
        <v>464</v>
      </c>
      <c r="C729">
        <v>12</v>
      </c>
      <c r="D729" s="4">
        <v>2</v>
      </c>
      <c r="E729">
        <f>_xlfn.XLOOKUP(C729,products!A:A,products!D:D)</f>
        <v>2144</v>
      </c>
      <c r="F729">
        <f t="shared" si="22"/>
        <v>4288</v>
      </c>
      <c r="G729">
        <f>D729*(E729-_xlfn.XLOOKUP(C729,products!A:A,products!E:E))</f>
        <v>1800.96</v>
      </c>
      <c r="H729" s="6" t="str">
        <f>_xlfn.XLOOKUP(C729,products!A:A,products!C:C)</f>
        <v>Fashion</v>
      </c>
      <c r="I729" s="6" t="str">
        <f>_xlfn.XLOOKUP(C729,products!A:A,products!B:B)</f>
        <v>Jeans</v>
      </c>
      <c r="J729" s="6">
        <f>_xlfn.XLOOKUP(B729,orders!A:A,orders!C:C)</f>
        <v>46017</v>
      </c>
      <c r="K729" s="6" t="str">
        <f t="shared" si="23"/>
        <v>Dec-2025</v>
      </c>
      <c r="L729" s="6">
        <f>_xlfn.XLOOKUP(B729,orders!A:A,orders!B:B)</f>
        <v>432</v>
      </c>
      <c r="M729" s="6" t="str">
        <f>_xlfn.XLOOKUP("C"&amp;TEXT(L729,"000"),customers!A:A,customers!B:B,"Not Found")</f>
        <v>Neha Z.</v>
      </c>
    </row>
    <row r="730" spans="1:13">
      <c r="A730">
        <v>729</v>
      </c>
      <c r="B730">
        <v>465</v>
      </c>
      <c r="C730">
        <v>6</v>
      </c>
      <c r="D730" s="4">
        <v>2</v>
      </c>
      <c r="E730">
        <f>_xlfn.XLOOKUP(C730,products!A:A,products!D:D)</f>
        <v>1322</v>
      </c>
      <c r="F730">
        <f t="shared" si="22"/>
        <v>2644</v>
      </c>
      <c r="G730">
        <f>D730*(E730-_xlfn.XLOOKUP(C730,products!A:A,products!E:E))</f>
        <v>951.83999999999992</v>
      </c>
      <c r="H730" s="6" t="str">
        <f>_xlfn.XLOOKUP(C730,products!A:A,products!C:C)</f>
        <v>Electronics</v>
      </c>
      <c r="I730" s="6" t="str">
        <f>_xlfn.XLOOKUP(C730,products!A:A,products!B:B)</f>
        <v>Mouse</v>
      </c>
      <c r="J730" s="6">
        <f>_xlfn.XLOOKUP(B730,orders!A:A,orders!C:C)</f>
        <v>46020</v>
      </c>
      <c r="K730" s="6" t="str">
        <f t="shared" si="23"/>
        <v>Dec-2025</v>
      </c>
      <c r="L730" s="6">
        <f>_xlfn.XLOOKUP(B730,orders!A:A,orders!B:B)</f>
        <v>469</v>
      </c>
      <c r="M730" s="6" t="str">
        <f>_xlfn.XLOOKUP("C"&amp;TEXT(L730,"000"),customers!A:A,customers!B:B,"Not Found")</f>
        <v>Manoj O.</v>
      </c>
    </row>
    <row r="731" spans="1:13">
      <c r="A731">
        <v>730</v>
      </c>
      <c r="B731">
        <v>465</v>
      </c>
      <c r="C731">
        <v>19</v>
      </c>
      <c r="D731" s="4">
        <v>3</v>
      </c>
      <c r="E731">
        <f>_xlfn.XLOOKUP(C731,products!A:A,products!D:D)</f>
        <v>3103</v>
      </c>
      <c r="F731">
        <f t="shared" si="22"/>
        <v>9309</v>
      </c>
      <c r="G731">
        <f>D731*(E731-_xlfn.XLOOKUP(C731,products!A:A,products!E:E))</f>
        <v>2932.32</v>
      </c>
      <c r="H731" s="6" t="str">
        <f>_xlfn.XLOOKUP(C731,products!A:A,products!C:C)</f>
        <v>Fashion</v>
      </c>
      <c r="I731" s="6" t="str">
        <f>_xlfn.XLOOKUP(C731,products!A:A,products!B:B)</f>
        <v>Wallet</v>
      </c>
      <c r="J731" s="6">
        <f>_xlfn.XLOOKUP(B731,orders!A:A,orders!C:C)</f>
        <v>46020</v>
      </c>
      <c r="K731" s="6" t="str">
        <f t="shared" si="23"/>
        <v>Dec-2025</v>
      </c>
      <c r="L731" s="6">
        <f>_xlfn.XLOOKUP(B731,orders!A:A,orders!B:B)</f>
        <v>469</v>
      </c>
      <c r="M731" s="6" t="str">
        <f>_xlfn.XLOOKUP("C"&amp;TEXT(L731,"000"),customers!A:A,customers!B:B,"Not Found")</f>
        <v>Manoj O.</v>
      </c>
    </row>
    <row r="732" spans="1:13">
      <c r="A732">
        <v>731</v>
      </c>
      <c r="B732">
        <v>466</v>
      </c>
      <c r="C732">
        <v>13</v>
      </c>
      <c r="D732" s="4">
        <v>3</v>
      </c>
      <c r="E732">
        <f>_xlfn.XLOOKUP(C732,products!A:A,products!D:D)</f>
        <v>2281</v>
      </c>
      <c r="F732">
        <f t="shared" si="22"/>
        <v>6843</v>
      </c>
      <c r="G732">
        <f>D732*(E732-_xlfn.XLOOKUP(C732,products!A:A,products!E:E))</f>
        <v>2771.3999999999996</v>
      </c>
      <c r="H732" s="6" t="str">
        <f>_xlfn.XLOOKUP(C732,products!A:A,products!C:C)</f>
        <v>Fashion</v>
      </c>
      <c r="I732" s="6" t="str">
        <f>_xlfn.XLOOKUP(C732,products!A:A,products!B:B)</f>
        <v>Shirt</v>
      </c>
      <c r="J732" s="6">
        <f>_xlfn.XLOOKUP(B732,orders!A:A,orders!C:C)</f>
        <v>45658</v>
      </c>
      <c r="K732" s="6" t="str">
        <f t="shared" si="23"/>
        <v>Jan-2025</v>
      </c>
      <c r="L732" s="6">
        <f>_xlfn.XLOOKUP(B732,orders!A:A,orders!B:B)</f>
        <v>6</v>
      </c>
      <c r="M732" s="6" t="str">
        <f>_xlfn.XLOOKUP("C"&amp;TEXT(L732,"000"),customers!A:A,customers!B:B,"Not Found")</f>
        <v>Rohit S.</v>
      </c>
    </row>
    <row r="733" spans="1:13">
      <c r="A733">
        <v>732</v>
      </c>
      <c r="B733">
        <v>466</v>
      </c>
      <c r="C733">
        <v>26</v>
      </c>
      <c r="D733" s="4">
        <v>4</v>
      </c>
      <c r="E733">
        <f>_xlfn.XLOOKUP(C733,products!A:A,products!D:D)</f>
        <v>4062</v>
      </c>
      <c r="F733">
        <f t="shared" si="22"/>
        <v>16248</v>
      </c>
      <c r="G733">
        <f>D733*(E733-_xlfn.XLOOKUP(C733,products!A:A,products!E:E))</f>
        <v>5849.2800000000007</v>
      </c>
      <c r="H733" s="6" t="str">
        <f>_xlfn.XLOOKUP(C733,products!A:A,products!C:C)</f>
        <v>Home &amp; Kitchen</v>
      </c>
      <c r="I733" s="6" t="str">
        <f>_xlfn.XLOOKUP(C733,products!A:A,products!B:B)</f>
        <v>Bedsheet</v>
      </c>
      <c r="J733" s="6">
        <f>_xlfn.XLOOKUP(B733,orders!A:A,orders!C:C)</f>
        <v>45658</v>
      </c>
      <c r="K733" s="6" t="str">
        <f t="shared" si="23"/>
        <v>Jan-2025</v>
      </c>
      <c r="L733" s="6">
        <f>_xlfn.XLOOKUP(B733,orders!A:A,orders!B:B)</f>
        <v>6</v>
      </c>
      <c r="M733" s="6" t="str">
        <f>_xlfn.XLOOKUP("C"&amp;TEXT(L733,"000"),customers!A:A,customers!B:B,"Not Found")</f>
        <v>Rohit S.</v>
      </c>
    </row>
    <row r="734" spans="1:13">
      <c r="A734">
        <v>733</v>
      </c>
      <c r="B734">
        <v>467</v>
      </c>
      <c r="C734">
        <v>20</v>
      </c>
      <c r="D734" s="4">
        <v>4</v>
      </c>
      <c r="E734">
        <f>_xlfn.XLOOKUP(C734,products!A:A,products!D:D)</f>
        <v>3240</v>
      </c>
      <c r="F734">
        <f t="shared" si="22"/>
        <v>12960</v>
      </c>
      <c r="G734">
        <f>D734*(E734-_xlfn.XLOOKUP(C734,products!A:A,products!E:E))</f>
        <v>5832</v>
      </c>
      <c r="H734" s="6" t="str">
        <f>_xlfn.XLOOKUP(C734,products!A:A,products!C:C)</f>
        <v>Fashion</v>
      </c>
      <c r="I734" s="6" t="str">
        <f>_xlfn.XLOOKUP(C734,products!A:A,products!B:B)</f>
        <v>Belt</v>
      </c>
      <c r="J734" s="6">
        <f>_xlfn.XLOOKUP(B734,orders!A:A,orders!C:C)</f>
        <v>45661</v>
      </c>
      <c r="K734" s="6" t="str">
        <f t="shared" si="23"/>
        <v>Jan-2025</v>
      </c>
      <c r="L734" s="6">
        <f>_xlfn.XLOOKUP(B734,orders!A:A,orders!B:B)</f>
        <v>43</v>
      </c>
      <c r="M734" s="6" t="str">
        <f>_xlfn.XLOOKUP("C"&amp;TEXT(L734,"000"),customers!A:A,customers!B:B,"Not Found")</f>
        <v>Pooja I.</v>
      </c>
    </row>
    <row r="735" spans="1:13">
      <c r="A735">
        <v>734</v>
      </c>
      <c r="B735">
        <v>467</v>
      </c>
      <c r="C735">
        <v>33</v>
      </c>
      <c r="D735" s="4">
        <v>1</v>
      </c>
      <c r="E735">
        <f>_xlfn.XLOOKUP(C735,products!A:A,products!D:D)</f>
        <v>5021</v>
      </c>
      <c r="F735">
        <f t="shared" si="22"/>
        <v>5021</v>
      </c>
      <c r="G735">
        <f>D735*(E735-_xlfn.XLOOKUP(C735,products!A:A,products!E:E))</f>
        <v>2033.5</v>
      </c>
      <c r="H735" s="6" t="str">
        <f>_xlfn.XLOOKUP(C735,products!A:A,products!C:C)</f>
        <v>Books</v>
      </c>
      <c r="I735" s="6" t="str">
        <f>_xlfn.XLOOKUP(C735,products!A:A,products!B:B)</f>
        <v>Pen Set</v>
      </c>
      <c r="J735" s="6">
        <f>_xlfn.XLOOKUP(B735,orders!A:A,orders!C:C)</f>
        <v>45661</v>
      </c>
      <c r="K735" s="6" t="str">
        <f t="shared" si="23"/>
        <v>Jan-2025</v>
      </c>
      <c r="L735" s="6">
        <f>_xlfn.XLOOKUP(B735,orders!A:A,orders!B:B)</f>
        <v>43</v>
      </c>
      <c r="M735" s="6" t="str">
        <f>_xlfn.XLOOKUP("C"&amp;TEXT(L735,"000"),customers!A:A,customers!B:B,"Not Found")</f>
        <v>Pooja I.</v>
      </c>
    </row>
    <row r="736" spans="1:13">
      <c r="A736">
        <v>735</v>
      </c>
      <c r="B736">
        <v>468</v>
      </c>
      <c r="C736">
        <v>27</v>
      </c>
      <c r="D736" s="4">
        <v>1</v>
      </c>
      <c r="E736">
        <f>_xlfn.XLOOKUP(C736,products!A:A,products!D:D)</f>
        <v>4199</v>
      </c>
      <c r="F736">
        <f t="shared" si="22"/>
        <v>4199</v>
      </c>
      <c r="G736">
        <f>D736*(E736-_xlfn.XLOOKUP(C736,products!A:A,products!E:E))</f>
        <v>1448.65</v>
      </c>
      <c r="H736" s="6" t="str">
        <f>_xlfn.XLOOKUP(C736,products!A:A,products!C:C)</f>
        <v>Home &amp; Kitchen</v>
      </c>
      <c r="I736" s="6" t="str">
        <f>_xlfn.XLOOKUP(C736,products!A:A,products!B:B)</f>
        <v>Cookware Set</v>
      </c>
      <c r="J736" s="6">
        <f>_xlfn.XLOOKUP(B736,orders!A:A,orders!C:C)</f>
        <v>45664</v>
      </c>
      <c r="K736" s="6" t="str">
        <f t="shared" si="23"/>
        <v>Jan-2025</v>
      </c>
      <c r="L736" s="6">
        <f>_xlfn.XLOOKUP(B736,orders!A:A,orders!B:B)</f>
        <v>80</v>
      </c>
      <c r="M736" s="6" t="str">
        <f>_xlfn.XLOOKUP("C"&amp;TEXT(L736,"000"),customers!A:A,customers!B:B,"Not Found")</f>
        <v>Ravi V.</v>
      </c>
    </row>
    <row r="737" spans="1:13">
      <c r="A737">
        <v>736</v>
      </c>
      <c r="B737">
        <v>468</v>
      </c>
      <c r="C737">
        <v>40</v>
      </c>
      <c r="D737" s="4">
        <v>2</v>
      </c>
      <c r="E737">
        <f>_xlfn.XLOOKUP(C737,products!A:A,products!D:D)</f>
        <v>5980</v>
      </c>
      <c r="F737">
        <f t="shared" si="22"/>
        <v>11960</v>
      </c>
      <c r="G737">
        <f>D737*(E737-_xlfn.XLOOKUP(C737,products!A:A,products!E:E))</f>
        <v>5382</v>
      </c>
      <c r="H737" s="6" t="str">
        <f>_xlfn.XLOOKUP(C737,products!A:A,products!C:C)</f>
        <v>Sports</v>
      </c>
      <c r="I737" s="6" t="str">
        <f>_xlfn.XLOOKUP(C737,products!A:A,products!B:B)</f>
        <v>Dumbbells</v>
      </c>
      <c r="J737" s="6">
        <f>_xlfn.XLOOKUP(B737,orders!A:A,orders!C:C)</f>
        <v>45664</v>
      </c>
      <c r="K737" s="6" t="str">
        <f t="shared" si="23"/>
        <v>Jan-2025</v>
      </c>
      <c r="L737" s="6">
        <f>_xlfn.XLOOKUP(B737,orders!A:A,orders!B:B)</f>
        <v>80</v>
      </c>
      <c r="M737" s="6" t="str">
        <f>_xlfn.XLOOKUP("C"&amp;TEXT(L737,"000"),customers!A:A,customers!B:B,"Not Found")</f>
        <v>Ravi V.</v>
      </c>
    </row>
    <row r="738" spans="1:13">
      <c r="A738">
        <v>737</v>
      </c>
      <c r="B738">
        <v>469</v>
      </c>
      <c r="C738">
        <v>34</v>
      </c>
      <c r="D738" s="4">
        <v>2</v>
      </c>
      <c r="E738">
        <f>_xlfn.XLOOKUP(C738,products!A:A,products!D:D)</f>
        <v>5158</v>
      </c>
      <c r="F738">
        <f t="shared" si="22"/>
        <v>10316</v>
      </c>
      <c r="G738">
        <f>D738*(E738-_xlfn.XLOOKUP(C738,products!A:A,products!E:E))</f>
        <v>4023.24</v>
      </c>
      <c r="H738" s="6" t="str">
        <f>_xlfn.XLOOKUP(C738,products!A:A,products!C:C)</f>
        <v>Books</v>
      </c>
      <c r="I738" s="6" t="str">
        <f>_xlfn.XLOOKUP(C738,products!A:A,products!B:B)</f>
        <v>Cookbook</v>
      </c>
      <c r="J738" s="6">
        <f>_xlfn.XLOOKUP(B738,orders!A:A,orders!C:C)</f>
        <v>45667</v>
      </c>
      <c r="K738" s="6" t="str">
        <f t="shared" si="23"/>
        <v>Jan-2025</v>
      </c>
      <c r="L738" s="6">
        <f>_xlfn.XLOOKUP(B738,orders!A:A,orders!B:B)</f>
        <v>117</v>
      </c>
      <c r="M738" s="6" t="str">
        <f>_xlfn.XLOOKUP("C"&amp;TEXT(L738,"000"),customers!A:A,customers!B:B,"Not Found")</f>
        <v>Arjun H.</v>
      </c>
    </row>
    <row r="739" spans="1:13">
      <c r="A739">
        <v>738</v>
      </c>
      <c r="B739">
        <v>469</v>
      </c>
      <c r="C739">
        <v>47</v>
      </c>
      <c r="D739" s="4">
        <v>3</v>
      </c>
      <c r="E739">
        <f>_xlfn.XLOOKUP(C739,products!A:A,products!D:D)</f>
        <v>6939</v>
      </c>
      <c r="F739">
        <f t="shared" si="22"/>
        <v>20817</v>
      </c>
      <c r="G739">
        <f>D739*(E739-_xlfn.XLOOKUP(C739,products!A:A,products!E:E))</f>
        <v>7181.8499999999995</v>
      </c>
      <c r="H739" s="6" t="str">
        <f>_xlfn.XLOOKUP(C739,products!A:A,products!C:C)</f>
        <v>Toys</v>
      </c>
      <c r="I739" s="6" t="str">
        <f>_xlfn.XLOOKUP(C739,products!A:A,products!B:B)</f>
        <v>Puzzle</v>
      </c>
      <c r="J739" s="6">
        <f>_xlfn.XLOOKUP(B739,orders!A:A,orders!C:C)</f>
        <v>45667</v>
      </c>
      <c r="K739" s="6" t="str">
        <f t="shared" si="23"/>
        <v>Jan-2025</v>
      </c>
      <c r="L739" s="6">
        <f>_xlfn.XLOOKUP(B739,orders!A:A,orders!B:B)</f>
        <v>117</v>
      </c>
      <c r="M739" s="6" t="str">
        <f>_xlfn.XLOOKUP("C"&amp;TEXT(L739,"000"),customers!A:A,customers!B:B,"Not Found")</f>
        <v>Arjun H.</v>
      </c>
    </row>
    <row r="740" spans="1:13">
      <c r="A740">
        <v>739</v>
      </c>
      <c r="B740">
        <v>470</v>
      </c>
      <c r="C740">
        <v>41</v>
      </c>
      <c r="D740" s="4">
        <v>3</v>
      </c>
      <c r="E740">
        <f>_xlfn.XLOOKUP(C740,products!A:A,products!D:D)</f>
        <v>6117</v>
      </c>
      <c r="F740">
        <f t="shared" si="22"/>
        <v>18351</v>
      </c>
      <c r="G740">
        <f>D740*(E740-_xlfn.XLOOKUP(C740,products!A:A,products!E:E))</f>
        <v>7982.67</v>
      </c>
      <c r="H740" s="6" t="str">
        <f>_xlfn.XLOOKUP(C740,products!A:A,products!C:C)</f>
        <v>Beauty</v>
      </c>
      <c r="I740" s="6" t="str">
        <f>_xlfn.XLOOKUP(C740,products!A:A,products!B:B)</f>
        <v>Face Wash</v>
      </c>
      <c r="J740" s="6">
        <f>_xlfn.XLOOKUP(B740,orders!A:A,orders!C:C)</f>
        <v>45670</v>
      </c>
      <c r="K740" s="6" t="str">
        <f t="shared" si="23"/>
        <v>Jan-2025</v>
      </c>
      <c r="L740" s="6">
        <f>_xlfn.XLOOKUP(B740,orders!A:A,orders!B:B)</f>
        <v>154</v>
      </c>
      <c r="M740" s="6" t="str">
        <f>_xlfn.XLOOKUP("C"&amp;TEXT(L740,"000"),customers!A:A,customers!B:B,"Not Found")</f>
        <v>Pooja M.</v>
      </c>
    </row>
    <row r="741" spans="1:13">
      <c r="A741">
        <v>740</v>
      </c>
      <c r="B741">
        <v>470</v>
      </c>
      <c r="C741">
        <v>4</v>
      </c>
      <c r="D741" s="4">
        <v>4</v>
      </c>
      <c r="E741">
        <f>_xlfn.XLOOKUP(C741,products!A:A,products!D:D)</f>
        <v>1048</v>
      </c>
      <c r="F741">
        <f t="shared" si="22"/>
        <v>4192</v>
      </c>
      <c r="G741">
        <f>D741*(E741-_xlfn.XLOOKUP(C741,products!A:A,products!E:E))</f>
        <v>1634.88</v>
      </c>
      <c r="H741" s="6" t="str">
        <f>_xlfn.XLOOKUP(C741,products!A:A,products!C:C)</f>
        <v>Electronics</v>
      </c>
      <c r="I741" s="6" t="str">
        <f>_xlfn.XLOOKUP(C741,products!A:A,products!B:B)</f>
        <v>Smart Watch</v>
      </c>
      <c r="J741" s="6">
        <f>_xlfn.XLOOKUP(B741,orders!A:A,orders!C:C)</f>
        <v>45670</v>
      </c>
      <c r="K741" s="6" t="str">
        <f t="shared" si="23"/>
        <v>Jan-2025</v>
      </c>
      <c r="L741" s="6">
        <f>_xlfn.XLOOKUP(B741,orders!A:A,orders!B:B)</f>
        <v>154</v>
      </c>
      <c r="M741" s="6" t="str">
        <f>_xlfn.XLOOKUP("C"&amp;TEXT(L741,"000"),customers!A:A,customers!B:B,"Not Found")</f>
        <v>Pooja M.</v>
      </c>
    </row>
    <row r="742" spans="1:13">
      <c r="A742">
        <v>741</v>
      </c>
      <c r="B742">
        <v>471</v>
      </c>
      <c r="C742">
        <v>48</v>
      </c>
      <c r="D742" s="4">
        <v>4</v>
      </c>
      <c r="E742">
        <f>_xlfn.XLOOKUP(C742,products!A:A,products!D:D)</f>
        <v>7076</v>
      </c>
      <c r="F742">
        <f t="shared" si="22"/>
        <v>28304</v>
      </c>
      <c r="G742">
        <f>D742*(E742-_xlfn.XLOOKUP(C742,products!A:A,products!E:E))</f>
        <v>9340.32</v>
      </c>
      <c r="H742" s="6" t="str">
        <f>_xlfn.XLOOKUP(C742,products!A:A,products!C:C)</f>
        <v>Toys</v>
      </c>
      <c r="I742" s="6" t="str">
        <f>_xlfn.XLOOKUP(C742,products!A:A,products!B:B)</f>
        <v>Board Game</v>
      </c>
      <c r="J742" s="6">
        <f>_xlfn.XLOOKUP(B742,orders!A:A,orders!C:C)</f>
        <v>45673</v>
      </c>
      <c r="K742" s="6" t="str">
        <f t="shared" si="23"/>
        <v>Jan-2025</v>
      </c>
      <c r="L742" s="6">
        <f>_xlfn.XLOOKUP(B742,orders!A:A,orders!B:B)</f>
        <v>191</v>
      </c>
      <c r="M742" s="6" t="str">
        <f>_xlfn.XLOOKUP("C"&amp;TEXT(L742,"000"),customers!A:A,customers!B:B,"Not Found")</f>
        <v>Divya V.</v>
      </c>
    </row>
    <row r="743" spans="1:13">
      <c r="A743">
        <v>742</v>
      </c>
      <c r="B743">
        <v>471</v>
      </c>
      <c r="C743">
        <v>11</v>
      </c>
      <c r="D743" s="4">
        <v>1</v>
      </c>
      <c r="E743">
        <f>_xlfn.XLOOKUP(C743,products!A:A,products!D:D)</f>
        <v>2007</v>
      </c>
      <c r="F743">
        <f t="shared" si="22"/>
        <v>2007</v>
      </c>
      <c r="G743">
        <f>D743*(E743-_xlfn.XLOOKUP(C743,products!A:A,products!E:E))</f>
        <v>873.04</v>
      </c>
      <c r="H743" s="6" t="str">
        <f>_xlfn.XLOOKUP(C743,products!A:A,products!C:C)</f>
        <v>Fashion</v>
      </c>
      <c r="I743" s="6" t="str">
        <f>_xlfn.XLOOKUP(C743,products!A:A,products!B:B)</f>
        <v>T-Shirt</v>
      </c>
      <c r="J743" s="6">
        <f>_xlfn.XLOOKUP(B743,orders!A:A,orders!C:C)</f>
        <v>45673</v>
      </c>
      <c r="K743" s="6" t="str">
        <f t="shared" si="23"/>
        <v>Jan-2025</v>
      </c>
      <c r="L743" s="6">
        <f>_xlfn.XLOOKUP(B743,orders!A:A,orders!B:B)</f>
        <v>191</v>
      </c>
      <c r="M743" s="6" t="str">
        <f>_xlfn.XLOOKUP("C"&amp;TEXT(L743,"000"),customers!A:A,customers!B:B,"Not Found")</f>
        <v>Divya V.</v>
      </c>
    </row>
    <row r="744" spans="1:13">
      <c r="A744">
        <v>743</v>
      </c>
      <c r="B744">
        <v>472</v>
      </c>
      <c r="C744">
        <v>5</v>
      </c>
      <c r="D744" s="4">
        <v>1</v>
      </c>
      <c r="E744">
        <f>_xlfn.XLOOKUP(C744,products!A:A,products!D:D)</f>
        <v>1185</v>
      </c>
      <c r="F744">
        <f t="shared" si="22"/>
        <v>1185</v>
      </c>
      <c r="G744">
        <f>D744*(E744-_xlfn.XLOOKUP(C744,products!A:A,products!E:E))</f>
        <v>444.38</v>
      </c>
      <c r="H744" s="6" t="str">
        <f>_xlfn.XLOOKUP(C744,products!A:A,products!C:C)</f>
        <v>Electronics</v>
      </c>
      <c r="I744" s="6" t="str">
        <f>_xlfn.XLOOKUP(C744,products!A:A,products!B:B)</f>
        <v>Keyboard</v>
      </c>
      <c r="J744" s="6">
        <f>_xlfn.XLOOKUP(B744,orders!A:A,orders!C:C)</f>
        <v>45676</v>
      </c>
      <c r="K744" s="6" t="str">
        <f t="shared" si="23"/>
        <v>Jan-2025</v>
      </c>
      <c r="L744" s="6">
        <f>_xlfn.XLOOKUP(B744,orders!A:A,orders!B:B)</f>
        <v>228</v>
      </c>
      <c r="M744" s="6" t="str">
        <f>_xlfn.XLOOKUP("C"&amp;TEXT(L744,"000"),customers!A:A,customers!B:B,"Not Found")</f>
        <v>Swathi D.</v>
      </c>
    </row>
    <row r="745" spans="1:13">
      <c r="A745">
        <v>744</v>
      </c>
      <c r="B745">
        <v>472</v>
      </c>
      <c r="C745">
        <v>18</v>
      </c>
      <c r="D745" s="4">
        <v>2</v>
      </c>
      <c r="E745">
        <f>_xlfn.XLOOKUP(C745,products!A:A,products!D:D)</f>
        <v>2966</v>
      </c>
      <c r="F745">
        <f t="shared" si="22"/>
        <v>5932</v>
      </c>
      <c r="G745">
        <f>D745*(E745-_xlfn.XLOOKUP(C745,products!A:A,products!E:E))</f>
        <v>1957.56</v>
      </c>
      <c r="H745" s="6" t="str">
        <f>_xlfn.XLOOKUP(C745,products!A:A,products!C:C)</f>
        <v>Fashion</v>
      </c>
      <c r="I745" s="6" t="str">
        <f>_xlfn.XLOOKUP(C745,products!A:A,products!B:B)</f>
        <v>Backpack</v>
      </c>
      <c r="J745" s="6">
        <f>_xlfn.XLOOKUP(B745,orders!A:A,orders!C:C)</f>
        <v>45676</v>
      </c>
      <c r="K745" s="6" t="str">
        <f t="shared" si="23"/>
        <v>Jan-2025</v>
      </c>
      <c r="L745" s="6">
        <f>_xlfn.XLOOKUP(B745,orders!A:A,orders!B:B)</f>
        <v>228</v>
      </c>
      <c r="M745" s="6" t="str">
        <f>_xlfn.XLOOKUP("C"&amp;TEXT(L745,"000"),customers!A:A,customers!B:B,"Not Found")</f>
        <v>Swathi D.</v>
      </c>
    </row>
    <row r="746" spans="1:13">
      <c r="A746">
        <v>745</v>
      </c>
      <c r="B746">
        <v>473</v>
      </c>
      <c r="C746">
        <v>12</v>
      </c>
      <c r="D746" s="4">
        <v>2</v>
      </c>
      <c r="E746">
        <f>_xlfn.XLOOKUP(C746,products!A:A,products!D:D)</f>
        <v>2144</v>
      </c>
      <c r="F746">
        <f t="shared" si="22"/>
        <v>4288</v>
      </c>
      <c r="G746">
        <f>D746*(E746-_xlfn.XLOOKUP(C746,products!A:A,products!E:E))</f>
        <v>1800.96</v>
      </c>
      <c r="H746" s="6" t="str">
        <f>_xlfn.XLOOKUP(C746,products!A:A,products!C:C)</f>
        <v>Fashion</v>
      </c>
      <c r="I746" s="6" t="str">
        <f>_xlfn.XLOOKUP(C746,products!A:A,products!B:B)</f>
        <v>Jeans</v>
      </c>
      <c r="J746" s="6">
        <f>_xlfn.XLOOKUP(B746,orders!A:A,orders!C:C)</f>
        <v>45679</v>
      </c>
      <c r="K746" s="6" t="str">
        <f t="shared" si="23"/>
        <v>Jan-2025</v>
      </c>
      <c r="L746" s="6">
        <f>_xlfn.XLOOKUP(B746,orders!A:A,orders!B:B)</f>
        <v>265</v>
      </c>
      <c r="M746" s="6" t="str">
        <f>_xlfn.XLOOKUP("C"&amp;TEXT(L746,"000"),customers!A:A,customers!B:B,"Not Found")</f>
        <v>Divya O.</v>
      </c>
    </row>
    <row r="747" spans="1:13">
      <c r="A747">
        <v>746</v>
      </c>
      <c r="B747">
        <v>473</v>
      </c>
      <c r="C747">
        <v>25</v>
      </c>
      <c r="D747" s="4">
        <v>3</v>
      </c>
      <c r="E747">
        <f>_xlfn.XLOOKUP(C747,products!A:A,products!D:D)</f>
        <v>3925</v>
      </c>
      <c r="F747">
        <f t="shared" si="22"/>
        <v>11775</v>
      </c>
      <c r="G747">
        <f>D747*(E747-_xlfn.XLOOKUP(C747,products!A:A,products!E:E))</f>
        <v>4415.6400000000003</v>
      </c>
      <c r="H747" s="6" t="str">
        <f>_xlfn.XLOOKUP(C747,products!A:A,products!C:C)</f>
        <v>Home Appliances</v>
      </c>
      <c r="I747" s="6" t="str">
        <f>_xlfn.XLOOKUP(C747,products!A:A,products!B:B)</f>
        <v>Vacuum Cleaner</v>
      </c>
      <c r="J747" s="6">
        <f>_xlfn.XLOOKUP(B747,orders!A:A,orders!C:C)</f>
        <v>45679</v>
      </c>
      <c r="K747" s="6" t="str">
        <f t="shared" si="23"/>
        <v>Jan-2025</v>
      </c>
      <c r="L747" s="6">
        <f>_xlfn.XLOOKUP(B747,orders!A:A,orders!B:B)</f>
        <v>265</v>
      </c>
      <c r="M747" s="6" t="str">
        <f>_xlfn.XLOOKUP("C"&amp;TEXT(L747,"000"),customers!A:A,customers!B:B,"Not Found")</f>
        <v>Divya O.</v>
      </c>
    </row>
    <row r="748" spans="1:13">
      <c r="A748">
        <v>747</v>
      </c>
      <c r="B748">
        <v>474</v>
      </c>
      <c r="C748">
        <v>19</v>
      </c>
      <c r="D748" s="4">
        <v>3</v>
      </c>
      <c r="E748">
        <f>_xlfn.XLOOKUP(C748,products!A:A,products!D:D)</f>
        <v>3103</v>
      </c>
      <c r="F748">
        <f t="shared" si="22"/>
        <v>9309</v>
      </c>
      <c r="G748">
        <f>D748*(E748-_xlfn.XLOOKUP(C748,products!A:A,products!E:E))</f>
        <v>2932.32</v>
      </c>
      <c r="H748" s="6" t="str">
        <f>_xlfn.XLOOKUP(C748,products!A:A,products!C:C)</f>
        <v>Fashion</v>
      </c>
      <c r="I748" s="6" t="str">
        <f>_xlfn.XLOOKUP(C748,products!A:A,products!B:B)</f>
        <v>Wallet</v>
      </c>
      <c r="J748" s="6">
        <f>_xlfn.XLOOKUP(B748,orders!A:A,orders!C:C)</f>
        <v>45682</v>
      </c>
      <c r="K748" s="6" t="str">
        <f t="shared" si="23"/>
        <v>Jan-2025</v>
      </c>
      <c r="L748" s="6">
        <f>_xlfn.XLOOKUP(B748,orders!A:A,orders!B:B)</f>
        <v>302</v>
      </c>
      <c r="M748" s="6" t="str">
        <f>_xlfn.XLOOKUP("C"&amp;TEXT(L748,"000"),customers!A:A,customers!B:B,"Not Found")</f>
        <v>Suresh S.</v>
      </c>
    </row>
    <row r="749" spans="1:13">
      <c r="A749">
        <v>748</v>
      </c>
      <c r="B749">
        <v>474</v>
      </c>
      <c r="C749">
        <v>32</v>
      </c>
      <c r="D749" s="4">
        <v>4</v>
      </c>
      <c r="E749">
        <f>_xlfn.XLOOKUP(C749,products!A:A,products!D:D)</f>
        <v>4884</v>
      </c>
      <c r="F749">
        <f t="shared" si="22"/>
        <v>19536</v>
      </c>
      <c r="G749">
        <f>D749*(E749-_xlfn.XLOOKUP(C749,products!A:A,products!E:E))</f>
        <v>8205.1200000000008</v>
      </c>
      <c r="H749" s="6" t="str">
        <f>_xlfn.XLOOKUP(C749,products!A:A,products!C:C)</f>
        <v>Books</v>
      </c>
      <c r="I749" s="6" t="str">
        <f>_xlfn.XLOOKUP(C749,products!A:A,products!B:B)</f>
        <v>Notebook</v>
      </c>
      <c r="J749" s="6">
        <f>_xlfn.XLOOKUP(B749,orders!A:A,orders!C:C)</f>
        <v>45682</v>
      </c>
      <c r="K749" s="6" t="str">
        <f t="shared" si="23"/>
        <v>Jan-2025</v>
      </c>
      <c r="L749" s="6">
        <f>_xlfn.XLOOKUP(B749,orders!A:A,orders!B:B)</f>
        <v>302</v>
      </c>
      <c r="M749" s="6" t="str">
        <f>_xlfn.XLOOKUP("C"&amp;TEXT(L749,"000"),customers!A:A,customers!B:B,"Not Found")</f>
        <v>Suresh S.</v>
      </c>
    </row>
    <row r="750" spans="1:13">
      <c r="A750">
        <v>749</v>
      </c>
      <c r="B750">
        <v>475</v>
      </c>
      <c r="C750">
        <v>26</v>
      </c>
      <c r="D750" s="4">
        <v>4</v>
      </c>
      <c r="E750">
        <f>_xlfn.XLOOKUP(C750,products!A:A,products!D:D)</f>
        <v>4062</v>
      </c>
      <c r="F750">
        <f t="shared" si="22"/>
        <v>16248</v>
      </c>
      <c r="G750">
        <f>D750*(E750-_xlfn.XLOOKUP(C750,products!A:A,products!E:E))</f>
        <v>5849.2800000000007</v>
      </c>
      <c r="H750" s="6" t="str">
        <f>_xlfn.XLOOKUP(C750,products!A:A,products!C:C)</f>
        <v>Home &amp; Kitchen</v>
      </c>
      <c r="I750" s="6" t="str">
        <f>_xlfn.XLOOKUP(C750,products!A:A,products!B:B)</f>
        <v>Bedsheet</v>
      </c>
      <c r="J750" s="6">
        <f>_xlfn.XLOOKUP(B750,orders!A:A,orders!C:C)</f>
        <v>45685</v>
      </c>
      <c r="K750" s="6" t="str">
        <f t="shared" si="23"/>
        <v>Jan-2025</v>
      </c>
      <c r="L750" s="6">
        <f>_xlfn.XLOOKUP(B750,orders!A:A,orders!B:B)</f>
        <v>339</v>
      </c>
      <c r="M750" s="6" t="str">
        <f>_xlfn.XLOOKUP("C"&amp;TEXT(L750,"000"),customers!A:A,customers!B:B,"Not Found")</f>
        <v>Sneha F.</v>
      </c>
    </row>
    <row r="751" spans="1:13">
      <c r="A751">
        <v>750</v>
      </c>
      <c r="B751">
        <v>475</v>
      </c>
      <c r="C751">
        <v>39</v>
      </c>
      <c r="D751" s="4">
        <v>1</v>
      </c>
      <c r="E751">
        <f>_xlfn.XLOOKUP(C751,products!A:A,products!D:D)</f>
        <v>5843</v>
      </c>
      <c r="F751">
        <f t="shared" si="22"/>
        <v>5843</v>
      </c>
      <c r="G751">
        <f>D751*(E751-_xlfn.XLOOKUP(C751,products!A:A,products!E:E))</f>
        <v>1840.54</v>
      </c>
      <c r="H751" s="6" t="str">
        <f>_xlfn.XLOOKUP(C751,products!A:A,products!C:C)</f>
        <v>Sports</v>
      </c>
      <c r="I751" s="6" t="str">
        <f>_xlfn.XLOOKUP(C751,products!A:A,products!B:B)</f>
        <v>Yoga Mat</v>
      </c>
      <c r="J751" s="6">
        <f>_xlfn.XLOOKUP(B751,orders!A:A,orders!C:C)</f>
        <v>45685</v>
      </c>
      <c r="K751" s="6" t="str">
        <f t="shared" si="23"/>
        <v>Jan-2025</v>
      </c>
      <c r="L751" s="6">
        <f>_xlfn.XLOOKUP(B751,orders!A:A,orders!B:B)</f>
        <v>339</v>
      </c>
      <c r="M751" s="6" t="str">
        <f>_xlfn.XLOOKUP("C"&amp;TEXT(L751,"000"),customers!A:A,customers!B:B,"Not Found")</f>
        <v>Sneha F.</v>
      </c>
    </row>
    <row r="752" spans="1:13">
      <c r="A752">
        <v>751</v>
      </c>
      <c r="B752">
        <v>476</v>
      </c>
      <c r="C752">
        <v>33</v>
      </c>
      <c r="D752" s="4">
        <v>1</v>
      </c>
      <c r="E752">
        <f>_xlfn.XLOOKUP(C752,products!A:A,products!D:D)</f>
        <v>5021</v>
      </c>
      <c r="F752">
        <f t="shared" si="22"/>
        <v>5021</v>
      </c>
      <c r="G752">
        <f>D752*(E752-_xlfn.XLOOKUP(C752,products!A:A,products!E:E))</f>
        <v>2033.5</v>
      </c>
      <c r="H752" s="6" t="str">
        <f>_xlfn.XLOOKUP(C752,products!A:A,products!C:C)</f>
        <v>Books</v>
      </c>
      <c r="I752" s="6" t="str">
        <f>_xlfn.XLOOKUP(C752,products!A:A,products!B:B)</f>
        <v>Pen Set</v>
      </c>
      <c r="J752" s="6">
        <f>_xlfn.XLOOKUP(B752,orders!A:A,orders!C:C)</f>
        <v>45688</v>
      </c>
      <c r="K752" s="6" t="str">
        <f t="shared" si="23"/>
        <v>Jan-2025</v>
      </c>
      <c r="L752" s="6">
        <f>_xlfn.XLOOKUP(B752,orders!A:A,orders!B:B)</f>
        <v>376</v>
      </c>
      <c r="M752" s="6" t="str">
        <f>_xlfn.XLOOKUP("C"&amp;TEXT(L752,"000"),customers!A:A,customers!B:B,"Not Found")</f>
        <v>Swathi L.</v>
      </c>
    </row>
    <row r="753" spans="1:13">
      <c r="A753">
        <v>752</v>
      </c>
      <c r="B753">
        <v>476</v>
      </c>
      <c r="C753">
        <v>46</v>
      </c>
      <c r="D753" s="4">
        <v>2</v>
      </c>
      <c r="E753">
        <f>_xlfn.XLOOKUP(C753,products!A:A,products!D:D)</f>
        <v>6802</v>
      </c>
      <c r="F753">
        <f t="shared" si="22"/>
        <v>13604</v>
      </c>
      <c r="G753">
        <f>D753*(E753-_xlfn.XLOOKUP(C753,products!A:A,products!E:E))</f>
        <v>4897.4400000000005</v>
      </c>
      <c r="H753" s="6" t="str">
        <f>_xlfn.XLOOKUP(C753,products!A:A,products!C:C)</f>
        <v>Toys</v>
      </c>
      <c r="I753" s="6" t="str">
        <f>_xlfn.XLOOKUP(C753,products!A:A,products!B:B)</f>
        <v>Toys Car</v>
      </c>
      <c r="J753" s="6">
        <f>_xlfn.XLOOKUP(B753,orders!A:A,orders!C:C)</f>
        <v>45688</v>
      </c>
      <c r="K753" s="6" t="str">
        <f t="shared" si="23"/>
        <v>Jan-2025</v>
      </c>
      <c r="L753" s="6">
        <f>_xlfn.XLOOKUP(B753,orders!A:A,orders!B:B)</f>
        <v>376</v>
      </c>
      <c r="M753" s="6" t="str">
        <f>_xlfn.XLOOKUP("C"&amp;TEXT(L753,"000"),customers!A:A,customers!B:B,"Not Found")</f>
        <v>Swathi L.</v>
      </c>
    </row>
    <row r="754" spans="1:13">
      <c r="A754">
        <v>753</v>
      </c>
      <c r="B754">
        <v>477</v>
      </c>
      <c r="C754">
        <v>40</v>
      </c>
      <c r="D754" s="4">
        <v>2</v>
      </c>
      <c r="E754">
        <f>_xlfn.XLOOKUP(C754,products!A:A,products!D:D)</f>
        <v>5980</v>
      </c>
      <c r="F754">
        <f t="shared" si="22"/>
        <v>11960</v>
      </c>
      <c r="G754">
        <f>D754*(E754-_xlfn.XLOOKUP(C754,products!A:A,products!E:E))</f>
        <v>5382</v>
      </c>
      <c r="H754" s="6" t="str">
        <f>_xlfn.XLOOKUP(C754,products!A:A,products!C:C)</f>
        <v>Sports</v>
      </c>
      <c r="I754" s="6" t="str">
        <f>_xlfn.XLOOKUP(C754,products!A:A,products!B:B)</f>
        <v>Dumbbells</v>
      </c>
      <c r="J754" s="6">
        <f>_xlfn.XLOOKUP(B754,orders!A:A,orders!C:C)</f>
        <v>45691</v>
      </c>
      <c r="K754" s="6" t="str">
        <f t="shared" si="23"/>
        <v>Feb-2025</v>
      </c>
      <c r="L754" s="6">
        <f>_xlfn.XLOOKUP(B754,orders!A:A,orders!B:B)</f>
        <v>413</v>
      </c>
      <c r="M754" s="6" t="str">
        <f>_xlfn.XLOOKUP("C"&amp;TEXT(L754,"000"),customers!A:A,customers!B:B,"Not Found")</f>
        <v>Swathi H.</v>
      </c>
    </row>
    <row r="755" spans="1:13">
      <c r="A755">
        <v>754</v>
      </c>
      <c r="B755">
        <v>477</v>
      </c>
      <c r="C755">
        <v>3</v>
      </c>
      <c r="D755" s="4">
        <v>3</v>
      </c>
      <c r="E755">
        <f>_xlfn.XLOOKUP(C755,products!A:A,products!D:D)</f>
        <v>911</v>
      </c>
      <c r="F755">
        <f t="shared" si="22"/>
        <v>2733</v>
      </c>
      <c r="G755">
        <f>D755*(E755-_xlfn.XLOOKUP(C755,products!A:A,products!E:E))</f>
        <v>1106.8500000000001</v>
      </c>
      <c r="H755" s="6" t="str">
        <f>_xlfn.XLOOKUP(C755,products!A:A,products!C:C)</f>
        <v>Electronics</v>
      </c>
      <c r="I755" s="6" t="str">
        <f>_xlfn.XLOOKUP(C755,products!A:A,products!B:B)</f>
        <v>Headphones</v>
      </c>
      <c r="J755" s="6">
        <f>_xlfn.XLOOKUP(B755,orders!A:A,orders!C:C)</f>
        <v>45691</v>
      </c>
      <c r="K755" s="6" t="str">
        <f t="shared" si="23"/>
        <v>Feb-2025</v>
      </c>
      <c r="L755" s="6">
        <f>_xlfn.XLOOKUP(B755,orders!A:A,orders!B:B)</f>
        <v>413</v>
      </c>
      <c r="M755" s="6" t="str">
        <f>_xlfn.XLOOKUP("C"&amp;TEXT(L755,"000"),customers!A:A,customers!B:B,"Not Found")</f>
        <v>Swathi H.</v>
      </c>
    </row>
    <row r="756" spans="1:13">
      <c r="A756">
        <v>755</v>
      </c>
      <c r="B756">
        <v>478</v>
      </c>
      <c r="C756">
        <v>47</v>
      </c>
      <c r="D756" s="4">
        <v>3</v>
      </c>
      <c r="E756">
        <f>_xlfn.XLOOKUP(C756,products!A:A,products!D:D)</f>
        <v>6939</v>
      </c>
      <c r="F756">
        <f t="shared" si="22"/>
        <v>20817</v>
      </c>
      <c r="G756">
        <f>D756*(E756-_xlfn.XLOOKUP(C756,products!A:A,products!E:E))</f>
        <v>7181.8499999999995</v>
      </c>
      <c r="H756" s="6" t="str">
        <f>_xlfn.XLOOKUP(C756,products!A:A,products!C:C)</f>
        <v>Toys</v>
      </c>
      <c r="I756" s="6" t="str">
        <f>_xlfn.XLOOKUP(C756,products!A:A,products!B:B)</f>
        <v>Puzzle</v>
      </c>
      <c r="J756" s="6">
        <f>_xlfn.XLOOKUP(B756,orders!A:A,orders!C:C)</f>
        <v>45694</v>
      </c>
      <c r="K756" s="6" t="str">
        <f t="shared" si="23"/>
        <v>Feb-2025</v>
      </c>
      <c r="L756" s="6">
        <f>_xlfn.XLOOKUP(B756,orders!A:A,orders!B:B)</f>
        <v>450</v>
      </c>
      <c r="M756" s="6" t="str">
        <f>_xlfn.XLOOKUP("C"&amp;TEXT(L756,"000"),customers!A:A,customers!B:B,"Not Found")</f>
        <v>Swathi G.</v>
      </c>
    </row>
    <row r="757" spans="1:13">
      <c r="A757">
        <v>756</v>
      </c>
      <c r="B757">
        <v>478</v>
      </c>
      <c r="C757">
        <v>10</v>
      </c>
      <c r="D757" s="4">
        <v>4</v>
      </c>
      <c r="E757">
        <f>_xlfn.XLOOKUP(C757,products!A:A,products!D:D)</f>
        <v>1870</v>
      </c>
      <c r="F757">
        <f t="shared" si="22"/>
        <v>7480</v>
      </c>
      <c r="G757">
        <f>D757*(E757-_xlfn.XLOOKUP(C757,products!A:A,products!E:E))</f>
        <v>3366</v>
      </c>
      <c r="H757" s="6" t="str">
        <f>_xlfn.XLOOKUP(C757,products!A:A,products!C:C)</f>
        <v>Electronics</v>
      </c>
      <c r="I757" s="6" t="str">
        <f>_xlfn.XLOOKUP(C757,products!A:A,products!B:B)</f>
        <v>Earbuds</v>
      </c>
      <c r="J757" s="6">
        <f>_xlfn.XLOOKUP(B757,orders!A:A,orders!C:C)</f>
        <v>45694</v>
      </c>
      <c r="K757" s="6" t="str">
        <f t="shared" si="23"/>
        <v>Feb-2025</v>
      </c>
      <c r="L757" s="6">
        <f>_xlfn.XLOOKUP(B757,orders!A:A,orders!B:B)</f>
        <v>450</v>
      </c>
      <c r="M757" s="6" t="str">
        <f>_xlfn.XLOOKUP("C"&amp;TEXT(L757,"000"),customers!A:A,customers!B:B,"Not Found")</f>
        <v>Swathi G.</v>
      </c>
    </row>
    <row r="758" spans="1:13">
      <c r="A758">
        <v>757</v>
      </c>
      <c r="B758">
        <v>479</v>
      </c>
      <c r="C758">
        <v>4</v>
      </c>
      <c r="D758" s="4">
        <v>4</v>
      </c>
      <c r="E758">
        <f>_xlfn.XLOOKUP(C758,products!A:A,products!D:D)</f>
        <v>1048</v>
      </c>
      <c r="F758">
        <f t="shared" si="22"/>
        <v>4192</v>
      </c>
      <c r="G758">
        <f>D758*(E758-_xlfn.XLOOKUP(C758,products!A:A,products!E:E))</f>
        <v>1634.88</v>
      </c>
      <c r="H758" s="6" t="str">
        <f>_xlfn.XLOOKUP(C758,products!A:A,products!C:C)</f>
        <v>Electronics</v>
      </c>
      <c r="I758" s="6" t="str">
        <f>_xlfn.XLOOKUP(C758,products!A:A,products!B:B)</f>
        <v>Smart Watch</v>
      </c>
      <c r="J758" s="6">
        <f>_xlfn.XLOOKUP(B758,orders!A:A,orders!C:C)</f>
        <v>45697</v>
      </c>
      <c r="K758" s="6" t="str">
        <f t="shared" si="23"/>
        <v>Feb-2025</v>
      </c>
      <c r="L758" s="6">
        <f>_xlfn.XLOOKUP(B758,orders!A:A,orders!B:B)</f>
        <v>487</v>
      </c>
      <c r="M758" s="6" t="str">
        <f>_xlfn.XLOOKUP("C"&amp;TEXT(L758,"000"),customers!A:A,customers!B:B,"Not Found")</f>
        <v>Nikhil P.</v>
      </c>
    </row>
    <row r="759" spans="1:13">
      <c r="A759">
        <v>758</v>
      </c>
      <c r="B759">
        <v>479</v>
      </c>
      <c r="C759">
        <v>17</v>
      </c>
      <c r="D759" s="4">
        <v>1</v>
      </c>
      <c r="E759">
        <f>_xlfn.XLOOKUP(C759,products!A:A,products!D:D)</f>
        <v>2829</v>
      </c>
      <c r="F759">
        <f t="shared" si="22"/>
        <v>2829</v>
      </c>
      <c r="G759">
        <f>D759*(E759-_xlfn.XLOOKUP(C759,products!A:A,products!E:E))</f>
        <v>976</v>
      </c>
      <c r="H759" s="6" t="str">
        <f>_xlfn.XLOOKUP(C759,products!A:A,products!C:C)</f>
        <v>Fashion</v>
      </c>
      <c r="I759" s="6" t="str">
        <f>_xlfn.XLOOKUP(C759,products!A:A,products!B:B)</f>
        <v>Dress</v>
      </c>
      <c r="J759" s="6">
        <f>_xlfn.XLOOKUP(B759,orders!A:A,orders!C:C)</f>
        <v>45697</v>
      </c>
      <c r="K759" s="6" t="str">
        <f t="shared" si="23"/>
        <v>Feb-2025</v>
      </c>
      <c r="L759" s="6">
        <f>_xlfn.XLOOKUP(B759,orders!A:A,orders!B:B)</f>
        <v>487</v>
      </c>
      <c r="M759" s="6" t="str">
        <f>_xlfn.XLOOKUP("C"&amp;TEXT(L759,"000"),customers!A:A,customers!B:B,"Not Found")</f>
        <v>Nikhil P.</v>
      </c>
    </row>
    <row r="760" spans="1:13">
      <c r="A760">
        <v>759</v>
      </c>
      <c r="B760">
        <v>480</v>
      </c>
      <c r="C760">
        <v>11</v>
      </c>
      <c r="D760" s="4">
        <v>1</v>
      </c>
      <c r="E760">
        <f>_xlfn.XLOOKUP(C760,products!A:A,products!D:D)</f>
        <v>2007</v>
      </c>
      <c r="F760">
        <f t="shared" si="22"/>
        <v>2007</v>
      </c>
      <c r="G760">
        <f>D760*(E760-_xlfn.XLOOKUP(C760,products!A:A,products!E:E))</f>
        <v>873.04</v>
      </c>
      <c r="H760" s="6" t="str">
        <f>_xlfn.XLOOKUP(C760,products!A:A,products!C:C)</f>
        <v>Fashion</v>
      </c>
      <c r="I760" s="6" t="str">
        <f>_xlfn.XLOOKUP(C760,products!A:A,products!B:B)</f>
        <v>T-Shirt</v>
      </c>
      <c r="J760" s="6">
        <f>_xlfn.XLOOKUP(B760,orders!A:A,orders!C:C)</f>
        <v>45700</v>
      </c>
      <c r="K760" s="6" t="str">
        <f t="shared" si="23"/>
        <v>Feb-2025</v>
      </c>
      <c r="L760" s="6">
        <f>_xlfn.XLOOKUP(B760,orders!A:A,orders!B:B)</f>
        <v>24</v>
      </c>
      <c r="M760" s="6" t="str">
        <f>_xlfn.XLOOKUP("C"&amp;TEXT(L760,"000"),customers!A:A,customers!B:B,"Not Found")</f>
        <v>Anjali E.</v>
      </c>
    </row>
    <row r="761" spans="1:13">
      <c r="A761">
        <v>760</v>
      </c>
      <c r="B761">
        <v>480</v>
      </c>
      <c r="C761">
        <v>24</v>
      </c>
      <c r="D761" s="4">
        <v>2</v>
      </c>
      <c r="E761">
        <f>_xlfn.XLOOKUP(C761,products!A:A,products!D:D)</f>
        <v>3788</v>
      </c>
      <c r="F761">
        <f t="shared" si="22"/>
        <v>7576</v>
      </c>
      <c r="G761">
        <f>D761*(E761-_xlfn.XLOOKUP(C761,products!A:A,products!E:E))</f>
        <v>2954.6400000000003</v>
      </c>
      <c r="H761" s="6" t="str">
        <f>_xlfn.XLOOKUP(C761,products!A:A,products!C:C)</f>
        <v>Home Appliances</v>
      </c>
      <c r="I761" s="6" t="str">
        <f>_xlfn.XLOOKUP(C761,products!A:A,products!B:B)</f>
        <v>Iron</v>
      </c>
      <c r="J761" s="6">
        <f>_xlfn.XLOOKUP(B761,orders!A:A,orders!C:C)</f>
        <v>45700</v>
      </c>
      <c r="K761" s="6" t="str">
        <f t="shared" si="23"/>
        <v>Feb-2025</v>
      </c>
      <c r="L761" s="6">
        <f>_xlfn.XLOOKUP(B761,orders!A:A,orders!B:B)</f>
        <v>24</v>
      </c>
      <c r="M761" s="6" t="str">
        <f>_xlfn.XLOOKUP("C"&amp;TEXT(L761,"000"),customers!A:A,customers!B:B,"Not Found")</f>
        <v>Anjali E.</v>
      </c>
    </row>
    <row r="762" spans="1:13">
      <c r="A762">
        <v>761</v>
      </c>
      <c r="B762">
        <v>481</v>
      </c>
      <c r="C762">
        <v>18</v>
      </c>
      <c r="D762" s="4">
        <v>2</v>
      </c>
      <c r="E762">
        <f>_xlfn.XLOOKUP(C762,products!A:A,products!D:D)</f>
        <v>2966</v>
      </c>
      <c r="F762">
        <f t="shared" si="22"/>
        <v>5932</v>
      </c>
      <c r="G762">
        <f>D762*(E762-_xlfn.XLOOKUP(C762,products!A:A,products!E:E))</f>
        <v>1957.56</v>
      </c>
      <c r="H762" s="6" t="str">
        <f>_xlfn.XLOOKUP(C762,products!A:A,products!C:C)</f>
        <v>Fashion</v>
      </c>
      <c r="I762" s="6" t="str">
        <f>_xlfn.XLOOKUP(C762,products!A:A,products!B:B)</f>
        <v>Backpack</v>
      </c>
      <c r="J762" s="6">
        <f>_xlfn.XLOOKUP(B762,orders!A:A,orders!C:C)</f>
        <v>45703</v>
      </c>
      <c r="K762" s="6" t="str">
        <f t="shared" si="23"/>
        <v>Feb-2025</v>
      </c>
      <c r="L762" s="6">
        <f>_xlfn.XLOOKUP(B762,orders!A:A,orders!B:B)</f>
        <v>61</v>
      </c>
      <c r="M762" s="6" t="str">
        <f>_xlfn.XLOOKUP("C"&amp;TEXT(L762,"000"),customers!A:A,customers!B:B,"Not Found")</f>
        <v>Anjali S.</v>
      </c>
    </row>
    <row r="763" spans="1:13">
      <c r="A763">
        <v>762</v>
      </c>
      <c r="B763">
        <v>481</v>
      </c>
      <c r="C763">
        <v>31</v>
      </c>
      <c r="D763" s="4">
        <v>3</v>
      </c>
      <c r="E763">
        <f>_xlfn.XLOOKUP(C763,products!A:A,products!D:D)</f>
        <v>4747</v>
      </c>
      <c r="F763">
        <f t="shared" si="22"/>
        <v>14241</v>
      </c>
      <c r="G763">
        <f>D763*(E763-_xlfn.XLOOKUP(C763,products!A:A,products!E:E))</f>
        <v>6194.82</v>
      </c>
      <c r="H763" s="6" t="str">
        <f>_xlfn.XLOOKUP(C763,products!A:A,products!C:C)</f>
        <v>Books</v>
      </c>
      <c r="I763" s="6" t="str">
        <f>_xlfn.XLOOKUP(C763,products!A:A,products!B:B)</f>
        <v>Book</v>
      </c>
      <c r="J763" s="6">
        <f>_xlfn.XLOOKUP(B763,orders!A:A,orders!C:C)</f>
        <v>45703</v>
      </c>
      <c r="K763" s="6" t="str">
        <f t="shared" si="23"/>
        <v>Feb-2025</v>
      </c>
      <c r="L763" s="6">
        <f>_xlfn.XLOOKUP(B763,orders!A:A,orders!B:B)</f>
        <v>61</v>
      </c>
      <c r="M763" s="6" t="str">
        <f>_xlfn.XLOOKUP("C"&amp;TEXT(L763,"000"),customers!A:A,customers!B:B,"Not Found")</f>
        <v>Anjali S.</v>
      </c>
    </row>
    <row r="764" spans="1:13">
      <c r="A764">
        <v>763</v>
      </c>
      <c r="B764">
        <v>482</v>
      </c>
      <c r="C764">
        <v>25</v>
      </c>
      <c r="D764" s="4">
        <v>3</v>
      </c>
      <c r="E764">
        <f>_xlfn.XLOOKUP(C764,products!A:A,products!D:D)</f>
        <v>3925</v>
      </c>
      <c r="F764">
        <f t="shared" si="22"/>
        <v>11775</v>
      </c>
      <c r="G764">
        <f>D764*(E764-_xlfn.XLOOKUP(C764,products!A:A,products!E:E))</f>
        <v>4415.6400000000003</v>
      </c>
      <c r="H764" s="6" t="str">
        <f>_xlfn.XLOOKUP(C764,products!A:A,products!C:C)</f>
        <v>Home Appliances</v>
      </c>
      <c r="I764" s="6" t="str">
        <f>_xlfn.XLOOKUP(C764,products!A:A,products!B:B)</f>
        <v>Vacuum Cleaner</v>
      </c>
      <c r="J764" s="6">
        <f>_xlfn.XLOOKUP(B764,orders!A:A,orders!C:C)</f>
        <v>45706</v>
      </c>
      <c r="K764" s="6" t="str">
        <f t="shared" si="23"/>
        <v>Feb-2025</v>
      </c>
      <c r="L764" s="6">
        <f>_xlfn.XLOOKUP(B764,orders!A:A,orders!B:B)</f>
        <v>98</v>
      </c>
      <c r="M764" s="6" t="str">
        <f>_xlfn.XLOOKUP("C"&amp;TEXT(L764,"000"),customers!A:A,customers!B:B,"Not Found")</f>
        <v>Divya R.</v>
      </c>
    </row>
    <row r="765" spans="1:13">
      <c r="A765">
        <v>764</v>
      </c>
      <c r="B765">
        <v>482</v>
      </c>
      <c r="C765">
        <v>38</v>
      </c>
      <c r="D765" s="4">
        <v>4</v>
      </c>
      <c r="E765">
        <f>_xlfn.XLOOKUP(C765,products!A:A,products!D:D)</f>
        <v>5706</v>
      </c>
      <c r="F765">
        <f t="shared" si="22"/>
        <v>22824</v>
      </c>
      <c r="G765">
        <f>D765*(E765-_xlfn.XLOOKUP(C765,products!A:A,products!E:E))</f>
        <v>7531.92</v>
      </c>
      <c r="H765" s="6" t="str">
        <f>_xlfn.XLOOKUP(C765,products!A:A,products!C:C)</f>
        <v>Sports</v>
      </c>
      <c r="I765" s="6" t="str">
        <f>_xlfn.XLOOKUP(C765,products!A:A,products!B:B)</f>
        <v>Badminton Racket</v>
      </c>
      <c r="J765" s="6">
        <f>_xlfn.XLOOKUP(B765,orders!A:A,orders!C:C)</f>
        <v>45706</v>
      </c>
      <c r="K765" s="6" t="str">
        <f t="shared" si="23"/>
        <v>Feb-2025</v>
      </c>
      <c r="L765" s="6">
        <f>_xlfn.XLOOKUP(B765,orders!A:A,orders!B:B)</f>
        <v>98</v>
      </c>
      <c r="M765" s="6" t="str">
        <f>_xlfn.XLOOKUP("C"&amp;TEXT(L765,"000"),customers!A:A,customers!B:B,"Not Found")</f>
        <v>Divya R.</v>
      </c>
    </row>
    <row r="766" spans="1:13">
      <c r="A766">
        <v>765</v>
      </c>
      <c r="B766">
        <v>483</v>
      </c>
      <c r="C766">
        <v>32</v>
      </c>
      <c r="D766" s="4">
        <v>4</v>
      </c>
      <c r="E766">
        <f>_xlfn.XLOOKUP(C766,products!A:A,products!D:D)</f>
        <v>4884</v>
      </c>
      <c r="F766">
        <f t="shared" si="22"/>
        <v>19536</v>
      </c>
      <c r="G766">
        <f>D766*(E766-_xlfn.XLOOKUP(C766,products!A:A,products!E:E))</f>
        <v>8205.1200000000008</v>
      </c>
      <c r="H766" s="6" t="str">
        <f>_xlfn.XLOOKUP(C766,products!A:A,products!C:C)</f>
        <v>Books</v>
      </c>
      <c r="I766" s="6" t="str">
        <f>_xlfn.XLOOKUP(C766,products!A:A,products!B:B)</f>
        <v>Notebook</v>
      </c>
      <c r="J766" s="6">
        <f>_xlfn.XLOOKUP(B766,orders!A:A,orders!C:C)</f>
        <v>45709</v>
      </c>
      <c r="K766" s="6" t="str">
        <f t="shared" si="23"/>
        <v>Feb-2025</v>
      </c>
      <c r="L766" s="6">
        <f>_xlfn.XLOOKUP(B766,orders!A:A,orders!B:B)</f>
        <v>135</v>
      </c>
      <c r="M766" s="6" t="str">
        <f>_xlfn.XLOOKUP("C"&amp;TEXT(L766,"000"),customers!A:A,customers!B:B,"Not Found")</f>
        <v>Sneha T.</v>
      </c>
    </row>
    <row r="767" spans="1:13">
      <c r="A767">
        <v>766</v>
      </c>
      <c r="B767">
        <v>483</v>
      </c>
      <c r="C767">
        <v>45</v>
      </c>
      <c r="D767" s="4">
        <v>1</v>
      </c>
      <c r="E767">
        <f>_xlfn.XLOOKUP(C767,products!A:A,products!D:D)</f>
        <v>6665</v>
      </c>
      <c r="F767">
        <f t="shared" si="22"/>
        <v>6665</v>
      </c>
      <c r="G767">
        <f>D767*(E767-_xlfn.XLOOKUP(C767,products!A:A,products!E:E))</f>
        <v>2499.38</v>
      </c>
      <c r="H767" s="6" t="str">
        <f>_xlfn.XLOOKUP(C767,products!A:A,products!C:C)</f>
        <v>Beauty</v>
      </c>
      <c r="I767" s="6" t="str">
        <f>_xlfn.XLOOKUP(C767,products!A:A,products!B:B)</f>
        <v>Sunscreen</v>
      </c>
      <c r="J767" s="6">
        <f>_xlfn.XLOOKUP(B767,orders!A:A,orders!C:C)</f>
        <v>45709</v>
      </c>
      <c r="K767" s="6" t="str">
        <f t="shared" si="23"/>
        <v>Feb-2025</v>
      </c>
      <c r="L767" s="6">
        <f>_xlfn.XLOOKUP(B767,orders!A:A,orders!B:B)</f>
        <v>135</v>
      </c>
      <c r="M767" s="6" t="str">
        <f>_xlfn.XLOOKUP("C"&amp;TEXT(L767,"000"),customers!A:A,customers!B:B,"Not Found")</f>
        <v>Sneha T.</v>
      </c>
    </row>
    <row r="768" spans="1:13">
      <c r="A768">
        <v>767</v>
      </c>
      <c r="B768">
        <v>484</v>
      </c>
      <c r="C768">
        <v>39</v>
      </c>
      <c r="D768" s="4">
        <v>1</v>
      </c>
      <c r="E768">
        <f>_xlfn.XLOOKUP(C768,products!A:A,products!D:D)</f>
        <v>5843</v>
      </c>
      <c r="F768">
        <f t="shared" si="22"/>
        <v>5843</v>
      </c>
      <c r="G768">
        <f>D768*(E768-_xlfn.XLOOKUP(C768,products!A:A,products!E:E))</f>
        <v>1840.54</v>
      </c>
      <c r="H768" s="6" t="str">
        <f>_xlfn.XLOOKUP(C768,products!A:A,products!C:C)</f>
        <v>Sports</v>
      </c>
      <c r="I768" s="6" t="str">
        <f>_xlfn.XLOOKUP(C768,products!A:A,products!B:B)</f>
        <v>Yoga Mat</v>
      </c>
      <c r="J768" s="6">
        <f>_xlfn.XLOOKUP(B768,orders!A:A,orders!C:C)</f>
        <v>45712</v>
      </c>
      <c r="K768" s="6" t="str">
        <f t="shared" si="23"/>
        <v>Feb-2025</v>
      </c>
      <c r="L768" s="6">
        <f>_xlfn.XLOOKUP(B768,orders!A:A,orders!B:B)</f>
        <v>172</v>
      </c>
      <c r="M768" s="6" t="str">
        <f>_xlfn.XLOOKUP("C"&amp;TEXT(L768,"000"),customers!A:A,customers!B:B,"Not Found")</f>
        <v>Kavya J.</v>
      </c>
    </row>
    <row r="769" spans="1:13">
      <c r="A769">
        <v>768</v>
      </c>
      <c r="B769">
        <v>484</v>
      </c>
      <c r="C769">
        <v>2</v>
      </c>
      <c r="D769" s="4">
        <v>2</v>
      </c>
      <c r="E769">
        <f>_xlfn.XLOOKUP(C769,products!A:A,products!D:D)</f>
        <v>774</v>
      </c>
      <c r="F769">
        <f t="shared" si="22"/>
        <v>1548</v>
      </c>
      <c r="G769">
        <f>D769*(E769-_xlfn.XLOOKUP(C769,products!A:A,products!E:E))</f>
        <v>650.16</v>
      </c>
      <c r="H769" s="6" t="str">
        <f>_xlfn.XLOOKUP(C769,products!A:A,products!C:C)</f>
        <v>Electronics</v>
      </c>
      <c r="I769" s="6" t="str">
        <f>_xlfn.XLOOKUP(C769,products!A:A,products!B:B)</f>
        <v>Mobile</v>
      </c>
      <c r="J769" s="6">
        <f>_xlfn.XLOOKUP(B769,orders!A:A,orders!C:C)</f>
        <v>45712</v>
      </c>
      <c r="K769" s="6" t="str">
        <f t="shared" si="23"/>
        <v>Feb-2025</v>
      </c>
      <c r="L769" s="6">
        <f>_xlfn.XLOOKUP(B769,orders!A:A,orders!B:B)</f>
        <v>172</v>
      </c>
      <c r="M769" s="6" t="str">
        <f>_xlfn.XLOOKUP("C"&amp;TEXT(L769,"000"),customers!A:A,customers!B:B,"Not Found")</f>
        <v>Kavya J.</v>
      </c>
    </row>
    <row r="770" spans="1:13">
      <c r="A770">
        <v>769</v>
      </c>
      <c r="B770">
        <v>485</v>
      </c>
      <c r="C770">
        <v>46</v>
      </c>
      <c r="D770" s="4">
        <v>2</v>
      </c>
      <c r="E770">
        <f>_xlfn.XLOOKUP(C770,products!A:A,products!D:D)</f>
        <v>6802</v>
      </c>
      <c r="F770">
        <f t="shared" ref="F770:F833" si="24">D770*E770</f>
        <v>13604</v>
      </c>
      <c r="G770">
        <f>D770*(E770-_xlfn.XLOOKUP(C770,products!A:A,products!E:E))</f>
        <v>4897.4400000000005</v>
      </c>
      <c r="H770" s="6" t="str">
        <f>_xlfn.XLOOKUP(C770,products!A:A,products!C:C)</f>
        <v>Toys</v>
      </c>
      <c r="I770" s="6" t="str">
        <f>_xlfn.XLOOKUP(C770,products!A:A,products!B:B)</f>
        <v>Toys Car</v>
      </c>
      <c r="J770" s="6">
        <f>_xlfn.XLOOKUP(B770,orders!A:A,orders!C:C)</f>
        <v>45715</v>
      </c>
      <c r="K770" s="6" t="str">
        <f t="shared" ref="K770:K833" si="25">TEXT(J770,"mmm-yyyy")</f>
        <v>Feb-2025</v>
      </c>
      <c r="L770" s="6">
        <f>_xlfn.XLOOKUP(B770,orders!A:A,orders!B:B)</f>
        <v>209</v>
      </c>
      <c r="M770" s="6" t="str">
        <f>_xlfn.XLOOKUP("C"&amp;TEXT(L770,"000"),customers!A:A,customers!B:B,"Not Found")</f>
        <v>Priya K.</v>
      </c>
    </row>
    <row r="771" spans="1:13">
      <c r="A771">
        <v>770</v>
      </c>
      <c r="B771">
        <v>485</v>
      </c>
      <c r="C771">
        <v>9</v>
      </c>
      <c r="D771" s="4">
        <v>3</v>
      </c>
      <c r="E771">
        <f>_xlfn.XLOOKUP(C771,products!A:A,products!D:D)</f>
        <v>1733</v>
      </c>
      <c r="F771">
        <f t="shared" si="24"/>
        <v>5199</v>
      </c>
      <c r="G771">
        <f>D771*(E771-_xlfn.XLOOKUP(C771,products!A:A,products!E:E))</f>
        <v>1637.6700000000003</v>
      </c>
      <c r="H771" s="6" t="str">
        <f>_xlfn.XLOOKUP(C771,products!A:A,products!C:C)</f>
        <v>Electronics</v>
      </c>
      <c r="I771" s="6" t="str">
        <f>_xlfn.XLOOKUP(C771,products!A:A,products!B:B)</f>
        <v>Power Bank</v>
      </c>
      <c r="J771" s="6">
        <f>_xlfn.XLOOKUP(B771,orders!A:A,orders!C:C)</f>
        <v>45715</v>
      </c>
      <c r="K771" s="6" t="str">
        <f t="shared" si="25"/>
        <v>Feb-2025</v>
      </c>
      <c r="L771" s="6">
        <f>_xlfn.XLOOKUP(B771,orders!A:A,orders!B:B)</f>
        <v>209</v>
      </c>
      <c r="M771" s="6" t="str">
        <f>_xlfn.XLOOKUP("C"&amp;TEXT(L771,"000"),customers!A:A,customers!B:B,"Not Found")</f>
        <v>Priya K.</v>
      </c>
    </row>
    <row r="772" spans="1:13">
      <c r="A772">
        <v>771</v>
      </c>
      <c r="B772">
        <v>486</v>
      </c>
      <c r="C772">
        <v>3</v>
      </c>
      <c r="D772" s="4">
        <v>3</v>
      </c>
      <c r="E772">
        <f>_xlfn.XLOOKUP(C772,products!A:A,products!D:D)</f>
        <v>911</v>
      </c>
      <c r="F772">
        <f t="shared" si="24"/>
        <v>2733</v>
      </c>
      <c r="G772">
        <f>D772*(E772-_xlfn.XLOOKUP(C772,products!A:A,products!E:E))</f>
        <v>1106.8500000000001</v>
      </c>
      <c r="H772" s="6" t="str">
        <f>_xlfn.XLOOKUP(C772,products!A:A,products!C:C)</f>
        <v>Electronics</v>
      </c>
      <c r="I772" s="6" t="str">
        <f>_xlfn.XLOOKUP(C772,products!A:A,products!B:B)</f>
        <v>Headphones</v>
      </c>
      <c r="J772" s="6">
        <f>_xlfn.XLOOKUP(B772,orders!A:A,orders!C:C)</f>
        <v>45718</v>
      </c>
      <c r="K772" s="6" t="str">
        <f t="shared" si="25"/>
        <v>Mar-2025</v>
      </c>
      <c r="L772" s="6">
        <f>_xlfn.XLOOKUP(B772,orders!A:A,orders!B:B)</f>
        <v>246</v>
      </c>
      <c r="M772" s="6" t="str">
        <f>_xlfn.XLOOKUP("C"&amp;TEXT(L772,"000"),customers!A:A,customers!B:B,"Not Found")</f>
        <v>Divya P.</v>
      </c>
    </row>
    <row r="773" spans="1:13">
      <c r="A773">
        <v>772</v>
      </c>
      <c r="B773">
        <v>486</v>
      </c>
      <c r="C773">
        <v>16</v>
      </c>
      <c r="D773" s="4">
        <v>4</v>
      </c>
      <c r="E773">
        <f>_xlfn.XLOOKUP(C773,products!A:A,products!D:D)</f>
        <v>2692</v>
      </c>
      <c r="F773">
        <f t="shared" si="24"/>
        <v>10768</v>
      </c>
      <c r="G773">
        <f>D773*(E773-_xlfn.XLOOKUP(C773,products!A:A,products!E:E))</f>
        <v>3876.4799999999996</v>
      </c>
      <c r="H773" s="6" t="str">
        <f>_xlfn.XLOOKUP(C773,products!A:A,products!C:C)</f>
        <v>Fashion</v>
      </c>
      <c r="I773" s="6" t="str">
        <f>_xlfn.XLOOKUP(C773,products!A:A,products!B:B)</f>
        <v>Saree</v>
      </c>
      <c r="J773" s="6">
        <f>_xlfn.XLOOKUP(B773,orders!A:A,orders!C:C)</f>
        <v>45718</v>
      </c>
      <c r="K773" s="6" t="str">
        <f t="shared" si="25"/>
        <v>Mar-2025</v>
      </c>
      <c r="L773" s="6">
        <f>_xlfn.XLOOKUP(B773,orders!A:A,orders!B:B)</f>
        <v>246</v>
      </c>
      <c r="M773" s="6" t="str">
        <f>_xlfn.XLOOKUP("C"&amp;TEXT(L773,"000"),customers!A:A,customers!B:B,"Not Found")</f>
        <v>Divya P.</v>
      </c>
    </row>
    <row r="774" spans="1:13">
      <c r="A774">
        <v>773</v>
      </c>
      <c r="B774">
        <v>487</v>
      </c>
      <c r="C774">
        <v>10</v>
      </c>
      <c r="D774" s="4">
        <v>4</v>
      </c>
      <c r="E774">
        <f>_xlfn.XLOOKUP(C774,products!A:A,products!D:D)</f>
        <v>1870</v>
      </c>
      <c r="F774">
        <f t="shared" si="24"/>
        <v>7480</v>
      </c>
      <c r="G774">
        <f>D774*(E774-_xlfn.XLOOKUP(C774,products!A:A,products!E:E))</f>
        <v>3366</v>
      </c>
      <c r="H774" s="6" t="str">
        <f>_xlfn.XLOOKUP(C774,products!A:A,products!C:C)</f>
        <v>Electronics</v>
      </c>
      <c r="I774" s="6" t="str">
        <f>_xlfn.XLOOKUP(C774,products!A:A,products!B:B)</f>
        <v>Earbuds</v>
      </c>
      <c r="J774" s="6">
        <f>_xlfn.XLOOKUP(B774,orders!A:A,orders!C:C)</f>
        <v>45721</v>
      </c>
      <c r="K774" s="6" t="str">
        <f t="shared" si="25"/>
        <v>Mar-2025</v>
      </c>
      <c r="L774" s="6">
        <f>_xlfn.XLOOKUP(B774,orders!A:A,orders!B:B)</f>
        <v>283</v>
      </c>
      <c r="M774" s="6" t="str">
        <f>_xlfn.XLOOKUP("C"&amp;TEXT(L774,"000"),customers!A:A,customers!B:B,"Not Found")</f>
        <v>Meena T.</v>
      </c>
    </row>
    <row r="775" spans="1:13">
      <c r="A775">
        <v>774</v>
      </c>
      <c r="B775">
        <v>487</v>
      </c>
      <c r="C775">
        <v>23</v>
      </c>
      <c r="D775" s="4">
        <v>1</v>
      </c>
      <c r="E775">
        <f>_xlfn.XLOOKUP(C775,products!A:A,products!D:D)</f>
        <v>3651</v>
      </c>
      <c r="F775">
        <f t="shared" si="24"/>
        <v>3651</v>
      </c>
      <c r="G775">
        <f>D775*(E775-_xlfn.XLOOKUP(C775,products!A:A,products!E:E))</f>
        <v>1478.65</v>
      </c>
      <c r="H775" s="6" t="str">
        <f>_xlfn.XLOOKUP(C775,products!A:A,products!C:C)</f>
        <v>Home Appliances</v>
      </c>
      <c r="I775" s="6" t="str">
        <f>_xlfn.XLOOKUP(C775,products!A:A,products!B:B)</f>
        <v>Fan</v>
      </c>
      <c r="J775" s="6">
        <f>_xlfn.XLOOKUP(B775,orders!A:A,orders!C:C)</f>
        <v>45721</v>
      </c>
      <c r="K775" s="6" t="str">
        <f t="shared" si="25"/>
        <v>Mar-2025</v>
      </c>
      <c r="L775" s="6">
        <f>_xlfn.XLOOKUP(B775,orders!A:A,orders!B:B)</f>
        <v>283</v>
      </c>
      <c r="M775" s="6" t="str">
        <f>_xlfn.XLOOKUP("C"&amp;TEXT(L775,"000"),customers!A:A,customers!B:B,"Not Found")</f>
        <v>Meena T.</v>
      </c>
    </row>
    <row r="776" spans="1:13">
      <c r="A776">
        <v>775</v>
      </c>
      <c r="B776">
        <v>488</v>
      </c>
      <c r="C776">
        <v>17</v>
      </c>
      <c r="D776" s="4">
        <v>1</v>
      </c>
      <c r="E776">
        <f>_xlfn.XLOOKUP(C776,products!A:A,products!D:D)</f>
        <v>2829</v>
      </c>
      <c r="F776">
        <f t="shared" si="24"/>
        <v>2829</v>
      </c>
      <c r="G776">
        <f>D776*(E776-_xlfn.XLOOKUP(C776,products!A:A,products!E:E))</f>
        <v>976</v>
      </c>
      <c r="H776" s="6" t="str">
        <f>_xlfn.XLOOKUP(C776,products!A:A,products!C:C)</f>
        <v>Fashion</v>
      </c>
      <c r="I776" s="6" t="str">
        <f>_xlfn.XLOOKUP(C776,products!A:A,products!B:B)</f>
        <v>Dress</v>
      </c>
      <c r="J776" s="6">
        <f>_xlfn.XLOOKUP(B776,orders!A:A,orders!C:C)</f>
        <v>45724</v>
      </c>
      <c r="K776" s="6" t="str">
        <f t="shared" si="25"/>
        <v>Mar-2025</v>
      </c>
      <c r="L776" s="6">
        <f>_xlfn.XLOOKUP(B776,orders!A:A,orders!B:B)</f>
        <v>320</v>
      </c>
      <c r="M776" s="6" t="str">
        <f>_xlfn.XLOOKUP("C"&amp;TEXT(L776,"000"),customers!A:A,customers!B:B,"Not Found")</f>
        <v>Ravi K.</v>
      </c>
    </row>
    <row r="777" spans="1:13">
      <c r="A777">
        <v>776</v>
      </c>
      <c r="B777">
        <v>488</v>
      </c>
      <c r="C777">
        <v>30</v>
      </c>
      <c r="D777" s="4">
        <v>2</v>
      </c>
      <c r="E777">
        <f>_xlfn.XLOOKUP(C777,products!A:A,products!D:D)</f>
        <v>4610</v>
      </c>
      <c r="F777">
        <f t="shared" si="24"/>
        <v>9220</v>
      </c>
      <c r="G777">
        <f>D777*(E777-_xlfn.XLOOKUP(C777,products!A:A,products!E:E))</f>
        <v>4149</v>
      </c>
      <c r="H777" s="6" t="str">
        <f>_xlfn.XLOOKUP(C777,products!A:A,products!C:C)</f>
        <v>Furniture</v>
      </c>
      <c r="I777" s="6" t="str">
        <f>_xlfn.XLOOKUP(C777,products!A:A,products!B:B)</f>
        <v>Table</v>
      </c>
      <c r="J777" s="6">
        <f>_xlfn.XLOOKUP(B777,orders!A:A,orders!C:C)</f>
        <v>45724</v>
      </c>
      <c r="K777" s="6" t="str">
        <f t="shared" si="25"/>
        <v>Mar-2025</v>
      </c>
      <c r="L777" s="6">
        <f>_xlfn.XLOOKUP(B777,orders!A:A,orders!B:B)</f>
        <v>320</v>
      </c>
      <c r="M777" s="6" t="str">
        <f>_xlfn.XLOOKUP("C"&amp;TEXT(L777,"000"),customers!A:A,customers!B:B,"Not Found")</f>
        <v>Ravi K.</v>
      </c>
    </row>
    <row r="778" spans="1:13">
      <c r="A778">
        <v>777</v>
      </c>
      <c r="B778">
        <v>489</v>
      </c>
      <c r="C778">
        <v>24</v>
      </c>
      <c r="D778" s="4">
        <v>2</v>
      </c>
      <c r="E778">
        <f>_xlfn.XLOOKUP(C778,products!A:A,products!D:D)</f>
        <v>3788</v>
      </c>
      <c r="F778">
        <f t="shared" si="24"/>
        <v>7576</v>
      </c>
      <c r="G778">
        <f>D778*(E778-_xlfn.XLOOKUP(C778,products!A:A,products!E:E))</f>
        <v>2954.6400000000003</v>
      </c>
      <c r="H778" s="6" t="str">
        <f>_xlfn.XLOOKUP(C778,products!A:A,products!C:C)</f>
        <v>Home Appliances</v>
      </c>
      <c r="I778" s="6" t="str">
        <f>_xlfn.XLOOKUP(C778,products!A:A,products!B:B)</f>
        <v>Iron</v>
      </c>
      <c r="J778" s="6">
        <f>_xlfn.XLOOKUP(B778,orders!A:A,orders!C:C)</f>
        <v>45727</v>
      </c>
      <c r="K778" s="6" t="str">
        <f t="shared" si="25"/>
        <v>Mar-2025</v>
      </c>
      <c r="L778" s="6">
        <f>_xlfn.XLOOKUP(B778,orders!A:A,orders!B:B)</f>
        <v>357</v>
      </c>
      <c r="M778" s="6" t="str">
        <f>_xlfn.XLOOKUP("C"&amp;TEXT(L778,"000"),customers!A:A,customers!B:B,"Not Found")</f>
        <v>Pooja J.</v>
      </c>
    </row>
    <row r="779" spans="1:13">
      <c r="A779">
        <v>778</v>
      </c>
      <c r="B779">
        <v>489</v>
      </c>
      <c r="C779">
        <v>37</v>
      </c>
      <c r="D779" s="4">
        <v>3</v>
      </c>
      <c r="E779">
        <f>_xlfn.XLOOKUP(C779,products!A:A,products!D:D)</f>
        <v>5569</v>
      </c>
      <c r="F779">
        <f t="shared" si="24"/>
        <v>16707</v>
      </c>
      <c r="G779">
        <f>D779*(E779-_xlfn.XLOOKUP(C779,products!A:A,products!E:E))</f>
        <v>5763.9000000000005</v>
      </c>
      <c r="H779" s="6" t="str">
        <f>_xlfn.XLOOKUP(C779,products!A:A,products!C:C)</f>
        <v>Sports</v>
      </c>
      <c r="I779" s="6" t="str">
        <f>_xlfn.XLOOKUP(C779,products!A:A,products!B:B)</f>
        <v>Football</v>
      </c>
      <c r="J779" s="6">
        <f>_xlfn.XLOOKUP(B779,orders!A:A,orders!C:C)</f>
        <v>45727</v>
      </c>
      <c r="K779" s="6" t="str">
        <f t="shared" si="25"/>
        <v>Mar-2025</v>
      </c>
      <c r="L779" s="6">
        <f>_xlfn.XLOOKUP(B779,orders!A:A,orders!B:B)</f>
        <v>357</v>
      </c>
      <c r="M779" s="6" t="str">
        <f>_xlfn.XLOOKUP("C"&amp;TEXT(L779,"000"),customers!A:A,customers!B:B,"Not Found")</f>
        <v>Pooja J.</v>
      </c>
    </row>
    <row r="780" spans="1:13">
      <c r="A780">
        <v>779</v>
      </c>
      <c r="B780">
        <v>490</v>
      </c>
      <c r="C780">
        <v>31</v>
      </c>
      <c r="D780" s="4">
        <v>3</v>
      </c>
      <c r="E780">
        <f>_xlfn.XLOOKUP(C780,products!A:A,products!D:D)</f>
        <v>4747</v>
      </c>
      <c r="F780">
        <f t="shared" si="24"/>
        <v>14241</v>
      </c>
      <c r="G780">
        <f>D780*(E780-_xlfn.XLOOKUP(C780,products!A:A,products!E:E))</f>
        <v>6194.82</v>
      </c>
      <c r="H780" s="6" t="str">
        <f>_xlfn.XLOOKUP(C780,products!A:A,products!C:C)</f>
        <v>Books</v>
      </c>
      <c r="I780" s="6" t="str">
        <f>_xlfn.XLOOKUP(C780,products!A:A,products!B:B)</f>
        <v>Book</v>
      </c>
      <c r="J780" s="6">
        <f>_xlfn.XLOOKUP(B780,orders!A:A,orders!C:C)</f>
        <v>45730</v>
      </c>
      <c r="K780" s="6" t="str">
        <f t="shared" si="25"/>
        <v>Mar-2025</v>
      </c>
      <c r="L780" s="6">
        <f>_xlfn.XLOOKUP(B780,orders!A:A,orders!B:B)</f>
        <v>394</v>
      </c>
      <c r="M780" s="6" t="str">
        <f>_xlfn.XLOOKUP("C"&amp;TEXT(L780,"000"),customers!A:A,customers!B:B,"Not Found")</f>
        <v>Lakshmi R.</v>
      </c>
    </row>
    <row r="781" spans="1:13">
      <c r="A781">
        <v>780</v>
      </c>
      <c r="B781">
        <v>490</v>
      </c>
      <c r="C781">
        <v>44</v>
      </c>
      <c r="D781" s="4">
        <v>4</v>
      </c>
      <c r="E781">
        <f>_xlfn.XLOOKUP(C781,products!A:A,products!D:D)</f>
        <v>6528</v>
      </c>
      <c r="F781">
        <f t="shared" si="24"/>
        <v>26112</v>
      </c>
      <c r="G781">
        <f>D781*(E781-_xlfn.XLOOKUP(C781,products!A:A,products!E:E))</f>
        <v>10183.68</v>
      </c>
      <c r="H781" s="6" t="str">
        <f>_xlfn.XLOOKUP(C781,products!A:A,products!C:C)</f>
        <v>Beauty</v>
      </c>
      <c r="I781" s="6" t="str">
        <f>_xlfn.XLOOKUP(C781,products!A:A,products!B:B)</f>
        <v>Moisturizer</v>
      </c>
      <c r="J781" s="6">
        <f>_xlfn.XLOOKUP(B781,orders!A:A,orders!C:C)</f>
        <v>45730</v>
      </c>
      <c r="K781" s="6" t="str">
        <f t="shared" si="25"/>
        <v>Mar-2025</v>
      </c>
      <c r="L781" s="6">
        <f>_xlfn.XLOOKUP(B781,orders!A:A,orders!B:B)</f>
        <v>394</v>
      </c>
      <c r="M781" s="6" t="str">
        <f>_xlfn.XLOOKUP("C"&amp;TEXT(L781,"000"),customers!A:A,customers!B:B,"Not Found")</f>
        <v>Lakshmi R.</v>
      </c>
    </row>
    <row r="782" spans="1:13">
      <c r="A782">
        <v>781</v>
      </c>
      <c r="B782">
        <v>491</v>
      </c>
      <c r="C782">
        <v>38</v>
      </c>
      <c r="D782" s="4">
        <v>4</v>
      </c>
      <c r="E782">
        <f>_xlfn.XLOOKUP(C782,products!A:A,products!D:D)</f>
        <v>5706</v>
      </c>
      <c r="F782">
        <f t="shared" si="24"/>
        <v>22824</v>
      </c>
      <c r="G782">
        <f>D782*(E782-_xlfn.XLOOKUP(C782,products!A:A,products!E:E))</f>
        <v>7531.92</v>
      </c>
      <c r="H782" s="6" t="str">
        <f>_xlfn.XLOOKUP(C782,products!A:A,products!C:C)</f>
        <v>Sports</v>
      </c>
      <c r="I782" s="6" t="str">
        <f>_xlfn.XLOOKUP(C782,products!A:A,products!B:B)</f>
        <v>Badminton Racket</v>
      </c>
      <c r="J782" s="6">
        <f>_xlfn.XLOOKUP(B782,orders!A:A,orders!C:C)</f>
        <v>45733</v>
      </c>
      <c r="K782" s="6" t="str">
        <f t="shared" si="25"/>
        <v>Mar-2025</v>
      </c>
      <c r="L782" s="6">
        <f>_xlfn.XLOOKUP(B782,orders!A:A,orders!B:B)</f>
        <v>431</v>
      </c>
      <c r="M782" s="6" t="str">
        <f>_xlfn.XLOOKUP("C"&amp;TEXT(L782,"000"),customers!A:A,customers!B:B,"Not Found")</f>
        <v>Meena D.</v>
      </c>
    </row>
    <row r="783" spans="1:13">
      <c r="A783">
        <v>782</v>
      </c>
      <c r="B783">
        <v>491</v>
      </c>
      <c r="C783">
        <v>1</v>
      </c>
      <c r="D783" s="4">
        <v>1</v>
      </c>
      <c r="E783">
        <f>_xlfn.XLOOKUP(C783,products!A:A,products!D:D)</f>
        <v>637</v>
      </c>
      <c r="F783">
        <f t="shared" si="24"/>
        <v>637</v>
      </c>
      <c r="G783">
        <f>D783*(E783-_xlfn.XLOOKUP(C783,products!A:A,products!E:E))</f>
        <v>277.08999999999997</v>
      </c>
      <c r="H783" s="6" t="str">
        <f>_xlfn.XLOOKUP(C783,products!A:A,products!C:C)</f>
        <v>Electronics</v>
      </c>
      <c r="I783" s="6" t="str">
        <f>_xlfn.XLOOKUP(C783,products!A:A,products!B:B)</f>
        <v>Laptop</v>
      </c>
      <c r="J783" s="6">
        <f>_xlfn.XLOOKUP(B783,orders!A:A,orders!C:C)</f>
        <v>45733</v>
      </c>
      <c r="K783" s="6" t="str">
        <f t="shared" si="25"/>
        <v>Mar-2025</v>
      </c>
      <c r="L783" s="6">
        <f>_xlfn.XLOOKUP(B783,orders!A:A,orders!B:B)</f>
        <v>431</v>
      </c>
      <c r="M783" s="6" t="str">
        <f>_xlfn.XLOOKUP("C"&amp;TEXT(L783,"000"),customers!A:A,customers!B:B,"Not Found")</f>
        <v>Meena D.</v>
      </c>
    </row>
    <row r="784" spans="1:13">
      <c r="A784">
        <v>783</v>
      </c>
      <c r="B784">
        <v>492</v>
      </c>
      <c r="C784">
        <v>45</v>
      </c>
      <c r="D784" s="4">
        <v>1</v>
      </c>
      <c r="E784">
        <f>_xlfn.XLOOKUP(C784,products!A:A,products!D:D)</f>
        <v>6665</v>
      </c>
      <c r="F784">
        <f t="shared" si="24"/>
        <v>6665</v>
      </c>
      <c r="G784">
        <f>D784*(E784-_xlfn.XLOOKUP(C784,products!A:A,products!E:E))</f>
        <v>2499.38</v>
      </c>
      <c r="H784" s="6" t="str">
        <f>_xlfn.XLOOKUP(C784,products!A:A,products!C:C)</f>
        <v>Beauty</v>
      </c>
      <c r="I784" s="6" t="str">
        <f>_xlfn.XLOOKUP(C784,products!A:A,products!B:B)</f>
        <v>Sunscreen</v>
      </c>
      <c r="J784" s="6">
        <f>_xlfn.XLOOKUP(B784,orders!A:A,orders!C:C)</f>
        <v>45736</v>
      </c>
      <c r="K784" s="6" t="str">
        <f t="shared" si="25"/>
        <v>Mar-2025</v>
      </c>
      <c r="L784" s="6">
        <f>_xlfn.XLOOKUP(B784,orders!A:A,orders!B:B)</f>
        <v>468</v>
      </c>
      <c r="M784" s="6" t="str">
        <f>_xlfn.XLOOKUP("C"&amp;TEXT(L784,"000"),customers!A:A,customers!B:B,"Not Found")</f>
        <v>Divya O.</v>
      </c>
    </row>
    <row r="785" spans="1:13">
      <c r="A785">
        <v>784</v>
      </c>
      <c r="B785">
        <v>492</v>
      </c>
      <c r="C785">
        <v>8</v>
      </c>
      <c r="D785" s="4">
        <v>2</v>
      </c>
      <c r="E785">
        <f>_xlfn.XLOOKUP(C785,products!A:A,products!D:D)</f>
        <v>1596</v>
      </c>
      <c r="F785">
        <f t="shared" si="24"/>
        <v>3192</v>
      </c>
      <c r="G785">
        <f>D785*(E785-_xlfn.XLOOKUP(C785,products!A:A,products!E:E))</f>
        <v>1053.3600000000001</v>
      </c>
      <c r="H785" s="6" t="str">
        <f>_xlfn.XLOOKUP(C785,products!A:A,products!C:C)</f>
        <v>Electronics</v>
      </c>
      <c r="I785" s="6" t="str">
        <f>_xlfn.XLOOKUP(C785,products!A:A,products!B:B)</f>
        <v>Tablet</v>
      </c>
      <c r="J785" s="6">
        <f>_xlfn.XLOOKUP(B785,orders!A:A,orders!C:C)</f>
        <v>45736</v>
      </c>
      <c r="K785" s="6" t="str">
        <f t="shared" si="25"/>
        <v>Mar-2025</v>
      </c>
      <c r="L785" s="6">
        <f>_xlfn.XLOOKUP(B785,orders!A:A,orders!B:B)</f>
        <v>468</v>
      </c>
      <c r="M785" s="6" t="str">
        <f>_xlfn.XLOOKUP("C"&amp;TEXT(L785,"000"),customers!A:A,customers!B:B,"Not Found")</f>
        <v>Divya O.</v>
      </c>
    </row>
    <row r="786" spans="1:13">
      <c r="A786">
        <v>785</v>
      </c>
      <c r="B786">
        <v>493</v>
      </c>
      <c r="C786">
        <v>2</v>
      </c>
      <c r="D786" s="4">
        <v>2</v>
      </c>
      <c r="E786">
        <f>_xlfn.XLOOKUP(C786,products!A:A,products!D:D)</f>
        <v>774</v>
      </c>
      <c r="F786">
        <f t="shared" si="24"/>
        <v>1548</v>
      </c>
      <c r="G786">
        <f>D786*(E786-_xlfn.XLOOKUP(C786,products!A:A,products!E:E))</f>
        <v>650.16</v>
      </c>
      <c r="H786" s="6" t="str">
        <f>_xlfn.XLOOKUP(C786,products!A:A,products!C:C)</f>
        <v>Electronics</v>
      </c>
      <c r="I786" s="6" t="str">
        <f>_xlfn.XLOOKUP(C786,products!A:A,products!B:B)</f>
        <v>Mobile</v>
      </c>
      <c r="J786" s="6">
        <f>_xlfn.XLOOKUP(B786,orders!A:A,orders!C:C)</f>
        <v>45739</v>
      </c>
      <c r="K786" s="6" t="str">
        <f t="shared" si="25"/>
        <v>Mar-2025</v>
      </c>
      <c r="L786" s="6">
        <f>_xlfn.XLOOKUP(B786,orders!A:A,orders!B:B)</f>
        <v>5</v>
      </c>
      <c r="M786" s="6" t="str">
        <f>_xlfn.XLOOKUP("C"&amp;TEXT(L786,"000"),customers!A:A,customers!B:B,"Not Found")</f>
        <v>Ravi W.</v>
      </c>
    </row>
    <row r="787" spans="1:13">
      <c r="A787">
        <v>786</v>
      </c>
      <c r="B787">
        <v>493</v>
      </c>
      <c r="C787">
        <v>15</v>
      </c>
      <c r="D787" s="4">
        <v>3</v>
      </c>
      <c r="E787">
        <f>_xlfn.XLOOKUP(C787,products!A:A,products!D:D)</f>
        <v>2555</v>
      </c>
      <c r="F787">
        <f t="shared" si="24"/>
        <v>7665</v>
      </c>
      <c r="G787">
        <f>D787*(E787-_xlfn.XLOOKUP(C787,products!A:A,products!E:E))</f>
        <v>2874.3599999999997</v>
      </c>
      <c r="H787" s="6" t="str">
        <f>_xlfn.XLOOKUP(C787,products!A:A,products!C:C)</f>
        <v>Fashion</v>
      </c>
      <c r="I787" s="6" t="str">
        <f>_xlfn.XLOOKUP(C787,products!A:A,products!B:B)</f>
        <v>Shoes</v>
      </c>
      <c r="J787" s="6">
        <f>_xlfn.XLOOKUP(B787,orders!A:A,orders!C:C)</f>
        <v>45739</v>
      </c>
      <c r="K787" s="6" t="str">
        <f t="shared" si="25"/>
        <v>Mar-2025</v>
      </c>
      <c r="L787" s="6">
        <f>_xlfn.XLOOKUP(B787,orders!A:A,orders!B:B)</f>
        <v>5</v>
      </c>
      <c r="M787" s="6" t="str">
        <f>_xlfn.XLOOKUP("C"&amp;TEXT(L787,"000"),customers!A:A,customers!B:B,"Not Found")</f>
        <v>Ravi W.</v>
      </c>
    </row>
    <row r="788" spans="1:13">
      <c r="A788">
        <v>787</v>
      </c>
      <c r="B788">
        <v>494</v>
      </c>
      <c r="C788">
        <v>9</v>
      </c>
      <c r="D788" s="4">
        <v>3</v>
      </c>
      <c r="E788">
        <f>_xlfn.XLOOKUP(C788,products!A:A,products!D:D)</f>
        <v>1733</v>
      </c>
      <c r="F788">
        <f t="shared" si="24"/>
        <v>5199</v>
      </c>
      <c r="G788">
        <f>D788*(E788-_xlfn.XLOOKUP(C788,products!A:A,products!E:E))</f>
        <v>1637.6700000000003</v>
      </c>
      <c r="H788" s="6" t="str">
        <f>_xlfn.XLOOKUP(C788,products!A:A,products!C:C)</f>
        <v>Electronics</v>
      </c>
      <c r="I788" s="6" t="str">
        <f>_xlfn.XLOOKUP(C788,products!A:A,products!B:B)</f>
        <v>Power Bank</v>
      </c>
      <c r="J788" s="6">
        <f>_xlfn.XLOOKUP(B788,orders!A:A,orders!C:C)</f>
        <v>45742</v>
      </c>
      <c r="K788" s="6" t="str">
        <f t="shared" si="25"/>
        <v>Mar-2025</v>
      </c>
      <c r="L788" s="6">
        <f>_xlfn.XLOOKUP(B788,orders!A:A,orders!B:B)</f>
        <v>42</v>
      </c>
      <c r="M788" s="6" t="str">
        <f>_xlfn.XLOOKUP("C"&amp;TEXT(L788,"000"),customers!A:A,customers!B:B,"Not Found")</f>
        <v>Kiran B.</v>
      </c>
    </row>
    <row r="789" spans="1:13">
      <c r="A789">
        <v>788</v>
      </c>
      <c r="B789">
        <v>494</v>
      </c>
      <c r="C789">
        <v>22</v>
      </c>
      <c r="D789" s="4">
        <v>4</v>
      </c>
      <c r="E789">
        <f>_xlfn.XLOOKUP(C789,products!A:A,products!D:D)</f>
        <v>3514</v>
      </c>
      <c r="F789">
        <f t="shared" si="24"/>
        <v>14056</v>
      </c>
      <c r="G789">
        <f>D789*(E789-_xlfn.XLOOKUP(C789,products!A:A,products!E:E))</f>
        <v>5903.52</v>
      </c>
      <c r="H789" s="6" t="str">
        <f>_xlfn.XLOOKUP(C789,products!A:A,products!C:C)</f>
        <v>Home Appliances</v>
      </c>
      <c r="I789" s="6" t="str">
        <f>_xlfn.XLOOKUP(C789,products!A:A,products!B:B)</f>
        <v>Microwave</v>
      </c>
      <c r="J789" s="6">
        <f>_xlfn.XLOOKUP(B789,orders!A:A,orders!C:C)</f>
        <v>45742</v>
      </c>
      <c r="K789" s="6" t="str">
        <f t="shared" si="25"/>
        <v>Mar-2025</v>
      </c>
      <c r="L789" s="6">
        <f>_xlfn.XLOOKUP(B789,orders!A:A,orders!B:B)</f>
        <v>42</v>
      </c>
      <c r="M789" s="6" t="str">
        <f>_xlfn.XLOOKUP("C"&amp;TEXT(L789,"000"),customers!A:A,customers!B:B,"Not Found")</f>
        <v>Kiran B.</v>
      </c>
    </row>
    <row r="790" spans="1:13">
      <c r="A790">
        <v>789</v>
      </c>
      <c r="B790">
        <v>495</v>
      </c>
      <c r="C790">
        <v>16</v>
      </c>
      <c r="D790" s="4">
        <v>4</v>
      </c>
      <c r="E790">
        <f>_xlfn.XLOOKUP(C790,products!A:A,products!D:D)</f>
        <v>2692</v>
      </c>
      <c r="F790">
        <f t="shared" si="24"/>
        <v>10768</v>
      </c>
      <c r="G790">
        <f>D790*(E790-_xlfn.XLOOKUP(C790,products!A:A,products!E:E))</f>
        <v>3876.4799999999996</v>
      </c>
      <c r="H790" s="6" t="str">
        <f>_xlfn.XLOOKUP(C790,products!A:A,products!C:C)</f>
        <v>Fashion</v>
      </c>
      <c r="I790" s="6" t="str">
        <f>_xlfn.XLOOKUP(C790,products!A:A,products!B:B)</f>
        <v>Saree</v>
      </c>
      <c r="J790" s="6">
        <f>_xlfn.XLOOKUP(B790,orders!A:A,orders!C:C)</f>
        <v>45745</v>
      </c>
      <c r="K790" s="6" t="str">
        <f t="shared" si="25"/>
        <v>Mar-2025</v>
      </c>
      <c r="L790" s="6">
        <f>_xlfn.XLOOKUP(B790,orders!A:A,orders!B:B)</f>
        <v>79</v>
      </c>
      <c r="M790" s="6" t="str">
        <f>_xlfn.XLOOKUP("C"&amp;TEXT(L790,"000"),customers!A:A,customers!B:B,"Not Found")</f>
        <v>Priya J.</v>
      </c>
    </row>
    <row r="791" spans="1:13">
      <c r="A791">
        <v>790</v>
      </c>
      <c r="B791">
        <v>495</v>
      </c>
      <c r="C791">
        <v>29</v>
      </c>
      <c r="D791" s="4">
        <v>1</v>
      </c>
      <c r="E791">
        <f>_xlfn.XLOOKUP(C791,products!A:A,products!D:D)</f>
        <v>4473</v>
      </c>
      <c r="F791">
        <f t="shared" si="24"/>
        <v>4473</v>
      </c>
      <c r="G791">
        <f>D791*(E791-_xlfn.XLOOKUP(C791,products!A:A,products!E:E))</f>
        <v>1408.9899999999998</v>
      </c>
      <c r="H791" s="6" t="str">
        <f>_xlfn.XLOOKUP(C791,products!A:A,products!C:C)</f>
        <v>Furniture</v>
      </c>
      <c r="I791" s="6" t="str">
        <f>_xlfn.XLOOKUP(C791,products!A:A,products!B:B)</f>
        <v>Chair</v>
      </c>
      <c r="J791" s="6">
        <f>_xlfn.XLOOKUP(B791,orders!A:A,orders!C:C)</f>
        <v>45745</v>
      </c>
      <c r="K791" s="6" t="str">
        <f t="shared" si="25"/>
        <v>Mar-2025</v>
      </c>
      <c r="L791" s="6">
        <f>_xlfn.XLOOKUP(B791,orders!A:A,orders!B:B)</f>
        <v>79</v>
      </c>
      <c r="M791" s="6" t="str">
        <f>_xlfn.XLOOKUP("C"&amp;TEXT(L791,"000"),customers!A:A,customers!B:B,"Not Found")</f>
        <v>Priya J.</v>
      </c>
    </row>
    <row r="792" spans="1:13">
      <c r="A792">
        <v>791</v>
      </c>
      <c r="B792">
        <v>496</v>
      </c>
      <c r="C792">
        <v>23</v>
      </c>
      <c r="D792" s="4">
        <v>1</v>
      </c>
      <c r="E792">
        <f>_xlfn.XLOOKUP(C792,products!A:A,products!D:D)</f>
        <v>3651</v>
      </c>
      <c r="F792">
        <f t="shared" si="24"/>
        <v>3651</v>
      </c>
      <c r="G792">
        <f>D792*(E792-_xlfn.XLOOKUP(C792,products!A:A,products!E:E))</f>
        <v>1478.65</v>
      </c>
      <c r="H792" s="6" t="str">
        <f>_xlfn.XLOOKUP(C792,products!A:A,products!C:C)</f>
        <v>Home Appliances</v>
      </c>
      <c r="I792" s="6" t="str">
        <f>_xlfn.XLOOKUP(C792,products!A:A,products!B:B)</f>
        <v>Fan</v>
      </c>
      <c r="J792" s="6">
        <f>_xlfn.XLOOKUP(B792,orders!A:A,orders!C:C)</f>
        <v>45748</v>
      </c>
      <c r="K792" s="6" t="str">
        <f t="shared" si="25"/>
        <v>Apr-2025</v>
      </c>
      <c r="L792" s="6">
        <f>_xlfn.XLOOKUP(B792,orders!A:A,orders!B:B)</f>
        <v>116</v>
      </c>
      <c r="M792" s="6" t="str">
        <f>_xlfn.XLOOKUP("C"&amp;TEXT(L792,"000"),customers!A:A,customers!B:B,"Not Found")</f>
        <v>Vikram K.</v>
      </c>
    </row>
    <row r="793" spans="1:13">
      <c r="A793">
        <v>792</v>
      </c>
      <c r="B793">
        <v>496</v>
      </c>
      <c r="C793">
        <v>36</v>
      </c>
      <c r="D793" s="4">
        <v>2</v>
      </c>
      <c r="E793">
        <f>_xlfn.XLOOKUP(C793,products!A:A,products!D:D)</f>
        <v>5432</v>
      </c>
      <c r="F793">
        <f t="shared" si="24"/>
        <v>10864</v>
      </c>
      <c r="G793">
        <f>D793*(E793-_xlfn.XLOOKUP(C793,products!A:A,products!E:E))</f>
        <v>3911.04</v>
      </c>
      <c r="H793" s="6" t="str">
        <f>_xlfn.XLOOKUP(C793,products!A:A,products!C:C)</f>
        <v>Sports</v>
      </c>
      <c r="I793" s="6" t="str">
        <f>_xlfn.XLOOKUP(C793,products!A:A,products!B:B)</f>
        <v>Cricket Bat</v>
      </c>
      <c r="J793" s="6">
        <f>_xlfn.XLOOKUP(B793,orders!A:A,orders!C:C)</f>
        <v>45748</v>
      </c>
      <c r="K793" s="6" t="str">
        <f t="shared" si="25"/>
        <v>Apr-2025</v>
      </c>
      <c r="L793" s="6">
        <f>_xlfn.XLOOKUP(B793,orders!A:A,orders!B:B)</f>
        <v>116</v>
      </c>
      <c r="M793" s="6" t="str">
        <f>_xlfn.XLOOKUP("C"&amp;TEXT(L793,"000"),customers!A:A,customers!B:B,"Not Found")</f>
        <v>Vikram K.</v>
      </c>
    </row>
    <row r="794" spans="1:13">
      <c r="A794">
        <v>793</v>
      </c>
      <c r="B794">
        <v>497</v>
      </c>
      <c r="C794">
        <v>30</v>
      </c>
      <c r="D794" s="4">
        <v>2</v>
      </c>
      <c r="E794">
        <f>_xlfn.XLOOKUP(C794,products!A:A,products!D:D)</f>
        <v>4610</v>
      </c>
      <c r="F794">
        <f t="shared" si="24"/>
        <v>9220</v>
      </c>
      <c r="G794">
        <f>D794*(E794-_xlfn.XLOOKUP(C794,products!A:A,products!E:E))</f>
        <v>4149</v>
      </c>
      <c r="H794" s="6" t="str">
        <f>_xlfn.XLOOKUP(C794,products!A:A,products!C:C)</f>
        <v>Furniture</v>
      </c>
      <c r="I794" s="6" t="str">
        <f>_xlfn.XLOOKUP(C794,products!A:A,products!B:B)</f>
        <v>Table</v>
      </c>
      <c r="J794" s="6">
        <f>_xlfn.XLOOKUP(B794,orders!A:A,orders!C:C)</f>
        <v>45751</v>
      </c>
      <c r="K794" s="6" t="str">
        <f t="shared" si="25"/>
        <v>Apr-2025</v>
      </c>
      <c r="L794" s="6">
        <f>_xlfn.XLOOKUP(B794,orders!A:A,orders!B:B)</f>
        <v>153</v>
      </c>
      <c r="M794" s="6" t="str">
        <f>_xlfn.XLOOKUP("C"&amp;TEXT(L794,"000"),customers!A:A,customers!B:B,"Not Found")</f>
        <v>Rohit Z.</v>
      </c>
    </row>
    <row r="795" spans="1:13">
      <c r="A795">
        <v>794</v>
      </c>
      <c r="B795">
        <v>497</v>
      </c>
      <c r="C795">
        <v>43</v>
      </c>
      <c r="D795" s="4">
        <v>3</v>
      </c>
      <c r="E795">
        <f>_xlfn.XLOOKUP(C795,products!A:A,products!D:D)</f>
        <v>6391</v>
      </c>
      <c r="F795">
        <f t="shared" si="24"/>
        <v>19173</v>
      </c>
      <c r="G795">
        <f>D795*(E795-_xlfn.XLOOKUP(C795,products!A:A,products!E:E))</f>
        <v>7765.0499999999993</v>
      </c>
      <c r="H795" s="6" t="str">
        <f>_xlfn.XLOOKUP(C795,products!A:A,products!C:C)</f>
        <v>Beauty</v>
      </c>
      <c r="I795" s="6" t="str">
        <f>_xlfn.XLOOKUP(C795,products!A:A,products!B:B)</f>
        <v>Perfume</v>
      </c>
      <c r="J795" s="6">
        <f>_xlfn.XLOOKUP(B795,orders!A:A,orders!C:C)</f>
        <v>45751</v>
      </c>
      <c r="K795" s="6" t="str">
        <f t="shared" si="25"/>
        <v>Apr-2025</v>
      </c>
      <c r="L795" s="6">
        <f>_xlfn.XLOOKUP(B795,orders!A:A,orders!B:B)</f>
        <v>153</v>
      </c>
      <c r="M795" s="6" t="str">
        <f>_xlfn.XLOOKUP("C"&amp;TEXT(L795,"000"),customers!A:A,customers!B:B,"Not Found")</f>
        <v>Rohit Z.</v>
      </c>
    </row>
    <row r="796" spans="1:13">
      <c r="A796">
        <v>795</v>
      </c>
      <c r="B796">
        <v>498</v>
      </c>
      <c r="C796">
        <v>37</v>
      </c>
      <c r="D796" s="4">
        <v>3</v>
      </c>
      <c r="E796">
        <f>_xlfn.XLOOKUP(C796,products!A:A,products!D:D)</f>
        <v>5569</v>
      </c>
      <c r="F796">
        <f t="shared" si="24"/>
        <v>16707</v>
      </c>
      <c r="G796">
        <f>D796*(E796-_xlfn.XLOOKUP(C796,products!A:A,products!E:E))</f>
        <v>5763.9000000000005</v>
      </c>
      <c r="H796" s="6" t="str">
        <f>_xlfn.XLOOKUP(C796,products!A:A,products!C:C)</f>
        <v>Sports</v>
      </c>
      <c r="I796" s="6" t="str">
        <f>_xlfn.XLOOKUP(C796,products!A:A,products!B:B)</f>
        <v>Football</v>
      </c>
      <c r="J796" s="6">
        <f>_xlfn.XLOOKUP(B796,orders!A:A,orders!C:C)</f>
        <v>45754</v>
      </c>
      <c r="K796" s="6" t="str">
        <f t="shared" si="25"/>
        <v>Apr-2025</v>
      </c>
      <c r="L796" s="6">
        <f>_xlfn.XLOOKUP(B796,orders!A:A,orders!B:B)</f>
        <v>190</v>
      </c>
      <c r="M796" s="6" t="str">
        <f>_xlfn.XLOOKUP("C"&amp;TEXT(L796,"000"),customers!A:A,customers!B:B,"Not Found")</f>
        <v>Anjali F.</v>
      </c>
    </row>
    <row r="797" spans="1:13">
      <c r="A797">
        <v>796</v>
      </c>
      <c r="B797">
        <v>498</v>
      </c>
      <c r="C797">
        <v>50</v>
      </c>
      <c r="D797" s="4">
        <v>4</v>
      </c>
      <c r="E797">
        <f>_xlfn.XLOOKUP(C797,products!A:A,products!D:D)</f>
        <v>7350</v>
      </c>
      <c r="F797">
        <f t="shared" si="24"/>
        <v>29400</v>
      </c>
      <c r="G797">
        <f>D797*(E797-_xlfn.XLOOKUP(C797,products!A:A,products!E:E))</f>
        <v>13230</v>
      </c>
      <c r="H797" s="6" t="str">
        <f>_xlfn.XLOOKUP(C797,products!A:A,products!C:C)</f>
        <v>Toys</v>
      </c>
      <c r="I797" s="6" t="str">
        <f>_xlfn.XLOOKUP(C797,products!A:A,products!B:B)</f>
        <v>Building Blocks</v>
      </c>
      <c r="J797" s="6">
        <f>_xlfn.XLOOKUP(B797,orders!A:A,orders!C:C)</f>
        <v>45754</v>
      </c>
      <c r="K797" s="6" t="str">
        <f t="shared" si="25"/>
        <v>Apr-2025</v>
      </c>
      <c r="L797" s="6">
        <f>_xlfn.XLOOKUP(B797,orders!A:A,orders!B:B)</f>
        <v>190</v>
      </c>
      <c r="M797" s="6" t="str">
        <f>_xlfn.XLOOKUP("C"&amp;TEXT(L797,"000"),customers!A:A,customers!B:B,"Not Found")</f>
        <v>Anjali F.</v>
      </c>
    </row>
    <row r="798" spans="1:13">
      <c r="A798">
        <v>797</v>
      </c>
      <c r="B798">
        <v>499</v>
      </c>
      <c r="C798">
        <v>44</v>
      </c>
      <c r="D798" s="4">
        <v>4</v>
      </c>
      <c r="E798">
        <f>_xlfn.XLOOKUP(C798,products!A:A,products!D:D)</f>
        <v>6528</v>
      </c>
      <c r="F798">
        <f t="shared" si="24"/>
        <v>26112</v>
      </c>
      <c r="G798">
        <f>D798*(E798-_xlfn.XLOOKUP(C798,products!A:A,products!E:E))</f>
        <v>10183.68</v>
      </c>
      <c r="H798" s="6" t="str">
        <f>_xlfn.XLOOKUP(C798,products!A:A,products!C:C)</f>
        <v>Beauty</v>
      </c>
      <c r="I798" s="6" t="str">
        <f>_xlfn.XLOOKUP(C798,products!A:A,products!B:B)</f>
        <v>Moisturizer</v>
      </c>
      <c r="J798" s="6">
        <f>_xlfn.XLOOKUP(B798,orders!A:A,orders!C:C)</f>
        <v>45757</v>
      </c>
      <c r="K798" s="6" t="str">
        <f t="shared" si="25"/>
        <v>Apr-2025</v>
      </c>
      <c r="L798" s="6">
        <f>_xlfn.XLOOKUP(B798,orders!A:A,orders!B:B)</f>
        <v>227</v>
      </c>
      <c r="M798" s="6" t="str">
        <f>_xlfn.XLOOKUP("C"&amp;TEXT(L798,"000"),customers!A:A,customers!B:B,"Not Found")</f>
        <v>Vikram O.</v>
      </c>
    </row>
    <row r="799" spans="1:13">
      <c r="A799">
        <v>798</v>
      </c>
      <c r="B799">
        <v>499</v>
      </c>
      <c r="C799">
        <v>7</v>
      </c>
      <c r="D799" s="4">
        <v>1</v>
      </c>
      <c r="E799">
        <f>_xlfn.XLOOKUP(C799,products!A:A,products!D:D)</f>
        <v>1459</v>
      </c>
      <c r="F799">
        <f t="shared" si="24"/>
        <v>1459</v>
      </c>
      <c r="G799">
        <f>D799*(E799-_xlfn.XLOOKUP(C799,products!A:A,products!E:E))</f>
        <v>503.35</v>
      </c>
      <c r="H799" s="6" t="str">
        <f>_xlfn.XLOOKUP(C799,products!A:A,products!C:C)</f>
        <v>Electronics</v>
      </c>
      <c r="I799" s="6" t="str">
        <f>_xlfn.XLOOKUP(C799,products!A:A,products!B:B)</f>
        <v>Monitor</v>
      </c>
      <c r="J799" s="6">
        <f>_xlfn.XLOOKUP(B799,orders!A:A,orders!C:C)</f>
        <v>45757</v>
      </c>
      <c r="K799" s="6" t="str">
        <f t="shared" si="25"/>
        <v>Apr-2025</v>
      </c>
      <c r="L799" s="6">
        <f>_xlfn.XLOOKUP(B799,orders!A:A,orders!B:B)</f>
        <v>227</v>
      </c>
      <c r="M799" s="6" t="str">
        <f>_xlfn.XLOOKUP("C"&amp;TEXT(L799,"000"),customers!A:A,customers!B:B,"Not Found")</f>
        <v>Vikram O.</v>
      </c>
    </row>
    <row r="800" spans="1:13">
      <c r="A800">
        <v>799</v>
      </c>
      <c r="B800">
        <v>500</v>
      </c>
      <c r="C800">
        <v>1</v>
      </c>
      <c r="D800" s="4">
        <v>1</v>
      </c>
      <c r="E800">
        <f>_xlfn.XLOOKUP(C800,products!A:A,products!D:D)</f>
        <v>637</v>
      </c>
      <c r="F800">
        <f t="shared" si="24"/>
        <v>637</v>
      </c>
      <c r="G800">
        <f>D800*(E800-_xlfn.XLOOKUP(C800,products!A:A,products!E:E))</f>
        <v>277.08999999999997</v>
      </c>
      <c r="H800" s="6" t="str">
        <f>_xlfn.XLOOKUP(C800,products!A:A,products!C:C)</f>
        <v>Electronics</v>
      </c>
      <c r="I800" s="6" t="str">
        <f>_xlfn.XLOOKUP(C800,products!A:A,products!B:B)</f>
        <v>Laptop</v>
      </c>
      <c r="J800" s="6">
        <f>_xlfn.XLOOKUP(B800,orders!A:A,orders!C:C)</f>
        <v>45760</v>
      </c>
      <c r="K800" s="6" t="str">
        <f t="shared" si="25"/>
        <v>Apr-2025</v>
      </c>
      <c r="L800" s="6">
        <f>_xlfn.XLOOKUP(B800,orders!A:A,orders!B:B)</f>
        <v>264</v>
      </c>
      <c r="M800" s="6" t="str">
        <f>_xlfn.XLOOKUP("C"&amp;TEXT(L800,"000"),customers!A:A,customers!B:B,"Not Found")</f>
        <v>Manoj H.</v>
      </c>
    </row>
    <row r="801" spans="1:13">
      <c r="A801">
        <v>800</v>
      </c>
      <c r="B801">
        <v>500</v>
      </c>
      <c r="C801">
        <v>14</v>
      </c>
      <c r="D801" s="4">
        <v>2</v>
      </c>
      <c r="E801">
        <f>_xlfn.XLOOKUP(C801,products!A:A,products!D:D)</f>
        <v>2418</v>
      </c>
      <c r="F801">
        <f t="shared" si="24"/>
        <v>4836</v>
      </c>
      <c r="G801">
        <f>D801*(E801-_xlfn.XLOOKUP(C801,products!A:A,products!E:E))</f>
        <v>1886.04</v>
      </c>
      <c r="H801" s="6" t="str">
        <f>_xlfn.XLOOKUP(C801,products!A:A,products!C:C)</f>
        <v>Fashion</v>
      </c>
      <c r="I801" s="6" t="str">
        <f>_xlfn.XLOOKUP(C801,products!A:A,products!B:B)</f>
        <v>Jacket</v>
      </c>
      <c r="J801" s="6">
        <f>_xlfn.XLOOKUP(B801,orders!A:A,orders!C:C)</f>
        <v>45760</v>
      </c>
      <c r="K801" s="6" t="str">
        <f t="shared" si="25"/>
        <v>Apr-2025</v>
      </c>
      <c r="L801" s="6">
        <f>_xlfn.XLOOKUP(B801,orders!A:A,orders!B:B)</f>
        <v>264</v>
      </c>
      <c r="M801" s="6" t="str">
        <f>_xlfn.XLOOKUP("C"&amp;TEXT(L801,"000"),customers!A:A,customers!B:B,"Not Found")</f>
        <v>Manoj H.</v>
      </c>
    </row>
    <row r="802" spans="1:13">
      <c r="A802">
        <v>801</v>
      </c>
      <c r="B802">
        <v>501</v>
      </c>
      <c r="C802">
        <v>8</v>
      </c>
      <c r="D802" s="4">
        <v>2</v>
      </c>
      <c r="E802">
        <f>_xlfn.XLOOKUP(C802,products!A:A,products!D:D)</f>
        <v>1596</v>
      </c>
      <c r="F802">
        <f t="shared" si="24"/>
        <v>3192</v>
      </c>
      <c r="G802">
        <f>D802*(E802-_xlfn.XLOOKUP(C802,products!A:A,products!E:E))</f>
        <v>1053.3600000000001</v>
      </c>
      <c r="H802" s="6" t="str">
        <f>_xlfn.XLOOKUP(C802,products!A:A,products!C:C)</f>
        <v>Electronics</v>
      </c>
      <c r="I802" s="6" t="str">
        <f>_xlfn.XLOOKUP(C802,products!A:A,products!B:B)</f>
        <v>Tablet</v>
      </c>
      <c r="J802" s="6">
        <f>_xlfn.XLOOKUP(B802,orders!A:A,orders!C:C)</f>
        <v>45763</v>
      </c>
      <c r="K802" s="6" t="str">
        <f t="shared" si="25"/>
        <v>Apr-2025</v>
      </c>
      <c r="L802" s="6">
        <f>_xlfn.XLOOKUP(B802,orders!A:A,orders!B:B)</f>
        <v>301</v>
      </c>
      <c r="M802" s="6" t="str">
        <f>_xlfn.XLOOKUP("C"&amp;TEXT(L802,"000"),customers!A:A,customers!B:B,"Not Found")</f>
        <v>Priya N.</v>
      </c>
    </row>
    <row r="803" spans="1:13">
      <c r="A803">
        <v>802</v>
      </c>
      <c r="B803">
        <v>501</v>
      </c>
      <c r="C803">
        <v>21</v>
      </c>
      <c r="D803" s="4">
        <v>3</v>
      </c>
      <c r="E803">
        <f>_xlfn.XLOOKUP(C803,products!A:A,products!D:D)</f>
        <v>3377</v>
      </c>
      <c r="F803">
        <f t="shared" si="24"/>
        <v>10131</v>
      </c>
      <c r="G803">
        <f>D803*(E803-_xlfn.XLOOKUP(C803,products!A:A,products!E:E))</f>
        <v>4406.97</v>
      </c>
      <c r="H803" s="6" t="str">
        <f>_xlfn.XLOOKUP(C803,products!A:A,products!C:C)</f>
        <v>Home Appliances</v>
      </c>
      <c r="I803" s="6" t="str">
        <f>_xlfn.XLOOKUP(C803,products!A:A,products!B:B)</f>
        <v>Mixer</v>
      </c>
      <c r="J803" s="6">
        <f>_xlfn.XLOOKUP(B803,orders!A:A,orders!C:C)</f>
        <v>45763</v>
      </c>
      <c r="K803" s="6" t="str">
        <f t="shared" si="25"/>
        <v>Apr-2025</v>
      </c>
      <c r="L803" s="6">
        <f>_xlfn.XLOOKUP(B803,orders!A:A,orders!B:B)</f>
        <v>301</v>
      </c>
      <c r="M803" s="6" t="str">
        <f>_xlfn.XLOOKUP("C"&amp;TEXT(L803,"000"),customers!A:A,customers!B:B,"Not Found")</f>
        <v>Priya N.</v>
      </c>
    </row>
    <row r="804" spans="1:13">
      <c r="A804">
        <v>803</v>
      </c>
      <c r="B804">
        <v>502</v>
      </c>
      <c r="C804">
        <v>15</v>
      </c>
      <c r="D804" s="4">
        <v>3</v>
      </c>
      <c r="E804">
        <f>_xlfn.XLOOKUP(C804,products!A:A,products!D:D)</f>
        <v>2555</v>
      </c>
      <c r="F804">
        <f t="shared" si="24"/>
        <v>7665</v>
      </c>
      <c r="G804">
        <f>D804*(E804-_xlfn.XLOOKUP(C804,products!A:A,products!E:E))</f>
        <v>2874.3599999999997</v>
      </c>
      <c r="H804" s="6" t="str">
        <f>_xlfn.XLOOKUP(C804,products!A:A,products!C:C)</f>
        <v>Fashion</v>
      </c>
      <c r="I804" s="6" t="str">
        <f>_xlfn.XLOOKUP(C804,products!A:A,products!B:B)</f>
        <v>Shoes</v>
      </c>
      <c r="J804" s="6">
        <f>_xlfn.XLOOKUP(B804,orders!A:A,orders!C:C)</f>
        <v>45766</v>
      </c>
      <c r="K804" s="6" t="str">
        <f t="shared" si="25"/>
        <v>Apr-2025</v>
      </c>
      <c r="L804" s="6">
        <f>_xlfn.XLOOKUP(B804,orders!A:A,orders!B:B)</f>
        <v>338</v>
      </c>
      <c r="M804" s="6" t="str">
        <f>_xlfn.XLOOKUP("C"&amp;TEXT(L804,"000"),customers!A:A,customers!B:B,"Not Found")</f>
        <v>Meena E.</v>
      </c>
    </row>
    <row r="805" spans="1:13">
      <c r="A805">
        <v>804</v>
      </c>
      <c r="B805">
        <v>502</v>
      </c>
      <c r="C805">
        <v>28</v>
      </c>
      <c r="D805" s="4">
        <v>4</v>
      </c>
      <c r="E805">
        <f>_xlfn.XLOOKUP(C805,products!A:A,products!D:D)</f>
        <v>4336</v>
      </c>
      <c r="F805">
        <f t="shared" si="24"/>
        <v>17344</v>
      </c>
      <c r="G805">
        <f>D805*(E805-_xlfn.XLOOKUP(C805,products!A:A,products!E:E))</f>
        <v>5723.52</v>
      </c>
      <c r="H805" s="6" t="str">
        <f>_xlfn.XLOOKUP(C805,products!A:A,products!C:C)</f>
        <v>Home &amp; Kitchen</v>
      </c>
      <c r="I805" s="6" t="str">
        <f>_xlfn.XLOOKUP(C805,products!A:A,products!B:B)</f>
        <v>Bottle</v>
      </c>
      <c r="J805" s="6">
        <f>_xlfn.XLOOKUP(B805,orders!A:A,orders!C:C)</f>
        <v>45766</v>
      </c>
      <c r="K805" s="6" t="str">
        <f t="shared" si="25"/>
        <v>Apr-2025</v>
      </c>
      <c r="L805" s="6">
        <f>_xlfn.XLOOKUP(B805,orders!A:A,orders!B:B)</f>
        <v>338</v>
      </c>
      <c r="M805" s="6" t="str">
        <f>_xlfn.XLOOKUP("C"&amp;TEXT(L805,"000"),customers!A:A,customers!B:B,"Not Found")</f>
        <v>Meena E.</v>
      </c>
    </row>
    <row r="806" spans="1:13">
      <c r="A806">
        <v>805</v>
      </c>
      <c r="B806">
        <v>503</v>
      </c>
      <c r="C806">
        <v>22</v>
      </c>
      <c r="D806" s="4">
        <v>4</v>
      </c>
      <c r="E806">
        <f>_xlfn.XLOOKUP(C806,products!A:A,products!D:D)</f>
        <v>3514</v>
      </c>
      <c r="F806">
        <f t="shared" si="24"/>
        <v>14056</v>
      </c>
      <c r="G806">
        <f>D806*(E806-_xlfn.XLOOKUP(C806,products!A:A,products!E:E))</f>
        <v>5903.52</v>
      </c>
      <c r="H806" s="6" t="str">
        <f>_xlfn.XLOOKUP(C806,products!A:A,products!C:C)</f>
        <v>Home Appliances</v>
      </c>
      <c r="I806" s="6" t="str">
        <f>_xlfn.XLOOKUP(C806,products!A:A,products!B:B)</f>
        <v>Microwave</v>
      </c>
      <c r="J806" s="6">
        <f>_xlfn.XLOOKUP(B806,orders!A:A,orders!C:C)</f>
        <v>45769</v>
      </c>
      <c r="K806" s="6" t="str">
        <f t="shared" si="25"/>
        <v>Apr-2025</v>
      </c>
      <c r="L806" s="6">
        <f>_xlfn.XLOOKUP(B806,orders!A:A,orders!B:B)</f>
        <v>375</v>
      </c>
      <c r="M806" s="6" t="str">
        <f>_xlfn.XLOOKUP("C"&amp;TEXT(L806,"000"),customers!A:A,customers!B:B,"Not Found")</f>
        <v>Rohit M.</v>
      </c>
    </row>
    <row r="807" spans="1:13">
      <c r="A807">
        <v>806</v>
      </c>
      <c r="B807">
        <v>503</v>
      </c>
      <c r="C807">
        <v>35</v>
      </c>
      <c r="D807" s="4">
        <v>1</v>
      </c>
      <c r="E807">
        <f>_xlfn.XLOOKUP(C807,products!A:A,products!D:D)</f>
        <v>5295</v>
      </c>
      <c r="F807">
        <f t="shared" si="24"/>
        <v>5295</v>
      </c>
      <c r="G807">
        <f>D807*(E807-_xlfn.XLOOKUP(C807,products!A:A,products!E:E))</f>
        <v>1985.62</v>
      </c>
      <c r="H807" s="6" t="str">
        <f>_xlfn.XLOOKUP(C807,products!A:A,products!C:C)</f>
        <v>Books</v>
      </c>
      <c r="I807" s="6" t="str">
        <f>_xlfn.XLOOKUP(C807,products!A:A,products!B:B)</f>
        <v>Novel</v>
      </c>
      <c r="J807" s="6">
        <f>_xlfn.XLOOKUP(B807,orders!A:A,orders!C:C)</f>
        <v>45769</v>
      </c>
      <c r="K807" s="6" t="str">
        <f t="shared" si="25"/>
        <v>Apr-2025</v>
      </c>
      <c r="L807" s="6">
        <f>_xlfn.XLOOKUP(B807,orders!A:A,orders!B:B)</f>
        <v>375</v>
      </c>
      <c r="M807" s="6" t="str">
        <f>_xlfn.XLOOKUP("C"&amp;TEXT(L807,"000"),customers!A:A,customers!B:B,"Not Found")</f>
        <v>Rohit M.</v>
      </c>
    </row>
    <row r="808" spans="1:13">
      <c r="A808">
        <v>807</v>
      </c>
      <c r="B808">
        <v>504</v>
      </c>
      <c r="C808">
        <v>29</v>
      </c>
      <c r="D808" s="4">
        <v>1</v>
      </c>
      <c r="E808">
        <f>_xlfn.XLOOKUP(C808,products!A:A,products!D:D)</f>
        <v>4473</v>
      </c>
      <c r="F808">
        <f t="shared" si="24"/>
        <v>4473</v>
      </c>
      <c r="G808">
        <f>D808*(E808-_xlfn.XLOOKUP(C808,products!A:A,products!E:E))</f>
        <v>1408.9899999999998</v>
      </c>
      <c r="H808" s="6" t="str">
        <f>_xlfn.XLOOKUP(C808,products!A:A,products!C:C)</f>
        <v>Furniture</v>
      </c>
      <c r="I808" s="6" t="str">
        <f>_xlfn.XLOOKUP(C808,products!A:A,products!B:B)</f>
        <v>Chair</v>
      </c>
      <c r="J808" s="6">
        <f>_xlfn.XLOOKUP(B808,orders!A:A,orders!C:C)</f>
        <v>45772</v>
      </c>
      <c r="K808" s="6" t="str">
        <f t="shared" si="25"/>
        <v>Apr-2025</v>
      </c>
      <c r="L808" s="6">
        <f>_xlfn.XLOOKUP(B808,orders!A:A,orders!B:B)</f>
        <v>412</v>
      </c>
      <c r="M808" s="6" t="str">
        <f>_xlfn.XLOOKUP("C"&amp;TEXT(L808,"000"),customers!A:A,customers!B:B,"Not Found")</f>
        <v>Rahul P.</v>
      </c>
    </row>
    <row r="809" spans="1:13">
      <c r="A809">
        <v>808</v>
      </c>
      <c r="B809">
        <v>504</v>
      </c>
      <c r="C809">
        <v>42</v>
      </c>
      <c r="D809" s="4">
        <v>2</v>
      </c>
      <c r="E809">
        <f>_xlfn.XLOOKUP(C809,products!A:A,products!D:D)</f>
        <v>6254</v>
      </c>
      <c r="F809">
        <f t="shared" si="24"/>
        <v>12508</v>
      </c>
      <c r="G809">
        <f>D809*(E809-_xlfn.XLOOKUP(C809,products!A:A,products!E:E))</f>
        <v>5253.36</v>
      </c>
      <c r="H809" s="6" t="str">
        <f>_xlfn.XLOOKUP(C809,products!A:A,products!C:C)</f>
        <v>Beauty</v>
      </c>
      <c r="I809" s="6" t="str">
        <f>_xlfn.XLOOKUP(C809,products!A:A,products!B:B)</f>
        <v>Shampoo</v>
      </c>
      <c r="J809" s="6">
        <f>_xlfn.XLOOKUP(B809,orders!A:A,orders!C:C)</f>
        <v>45772</v>
      </c>
      <c r="K809" s="6" t="str">
        <f t="shared" si="25"/>
        <v>Apr-2025</v>
      </c>
      <c r="L809" s="6">
        <f>_xlfn.XLOOKUP(B809,orders!A:A,orders!B:B)</f>
        <v>412</v>
      </c>
      <c r="M809" s="6" t="str">
        <f>_xlfn.XLOOKUP("C"&amp;TEXT(L809,"000"),customers!A:A,customers!B:B,"Not Found")</f>
        <v>Rahul P.</v>
      </c>
    </row>
    <row r="810" spans="1:13">
      <c r="A810">
        <v>809</v>
      </c>
      <c r="B810">
        <v>505</v>
      </c>
      <c r="C810">
        <v>36</v>
      </c>
      <c r="D810" s="4">
        <v>2</v>
      </c>
      <c r="E810">
        <f>_xlfn.XLOOKUP(C810,products!A:A,products!D:D)</f>
        <v>5432</v>
      </c>
      <c r="F810">
        <f t="shared" si="24"/>
        <v>10864</v>
      </c>
      <c r="G810">
        <f>D810*(E810-_xlfn.XLOOKUP(C810,products!A:A,products!E:E))</f>
        <v>3911.04</v>
      </c>
      <c r="H810" s="6" t="str">
        <f>_xlfn.XLOOKUP(C810,products!A:A,products!C:C)</f>
        <v>Sports</v>
      </c>
      <c r="I810" s="6" t="str">
        <f>_xlfn.XLOOKUP(C810,products!A:A,products!B:B)</f>
        <v>Cricket Bat</v>
      </c>
      <c r="J810" s="6">
        <f>_xlfn.XLOOKUP(B810,orders!A:A,orders!C:C)</f>
        <v>45775</v>
      </c>
      <c r="K810" s="6" t="str">
        <f t="shared" si="25"/>
        <v>Apr-2025</v>
      </c>
      <c r="L810" s="6">
        <f>_xlfn.XLOOKUP(B810,orders!A:A,orders!B:B)</f>
        <v>449</v>
      </c>
      <c r="M810" s="6" t="str">
        <f>_xlfn.XLOOKUP("C"&amp;TEXT(L810,"000"),customers!A:A,customers!B:B,"Not Found")</f>
        <v>Suresh R.</v>
      </c>
    </row>
    <row r="811" spans="1:13">
      <c r="A811">
        <v>810</v>
      </c>
      <c r="B811">
        <v>505</v>
      </c>
      <c r="C811">
        <v>49</v>
      </c>
      <c r="D811" s="4">
        <v>3</v>
      </c>
      <c r="E811">
        <f>_xlfn.XLOOKUP(C811,products!A:A,products!D:D)</f>
        <v>7213</v>
      </c>
      <c r="F811">
        <f t="shared" si="24"/>
        <v>21639</v>
      </c>
      <c r="G811">
        <f>D811*(E811-_xlfn.XLOOKUP(C811,products!A:A,products!E:E))</f>
        <v>6816.27</v>
      </c>
      <c r="H811" s="6" t="str">
        <f>_xlfn.XLOOKUP(C811,products!A:A,products!C:C)</f>
        <v>Toys</v>
      </c>
      <c r="I811" s="6" t="str">
        <f>_xlfn.XLOOKUP(C811,products!A:A,products!B:B)</f>
        <v>Remote Car</v>
      </c>
      <c r="J811" s="6">
        <f>_xlfn.XLOOKUP(B811,orders!A:A,orders!C:C)</f>
        <v>45775</v>
      </c>
      <c r="K811" s="6" t="str">
        <f t="shared" si="25"/>
        <v>Apr-2025</v>
      </c>
      <c r="L811" s="6">
        <f>_xlfn.XLOOKUP(B811,orders!A:A,orders!B:B)</f>
        <v>449</v>
      </c>
      <c r="M811" s="6" t="str">
        <f>_xlfn.XLOOKUP("C"&amp;TEXT(L811,"000"),customers!A:A,customers!B:B,"Not Found")</f>
        <v>Suresh R.</v>
      </c>
    </row>
    <row r="812" spans="1:13">
      <c r="A812">
        <v>811</v>
      </c>
      <c r="B812">
        <v>506</v>
      </c>
      <c r="C812">
        <v>43</v>
      </c>
      <c r="D812" s="4">
        <v>3</v>
      </c>
      <c r="E812">
        <f>_xlfn.XLOOKUP(C812,products!A:A,products!D:D)</f>
        <v>6391</v>
      </c>
      <c r="F812">
        <f t="shared" si="24"/>
        <v>19173</v>
      </c>
      <c r="G812">
        <f>D812*(E812-_xlfn.XLOOKUP(C812,products!A:A,products!E:E))</f>
        <v>7765.0499999999993</v>
      </c>
      <c r="H812" s="6" t="str">
        <f>_xlfn.XLOOKUP(C812,products!A:A,products!C:C)</f>
        <v>Beauty</v>
      </c>
      <c r="I812" s="6" t="str">
        <f>_xlfn.XLOOKUP(C812,products!A:A,products!B:B)</f>
        <v>Perfume</v>
      </c>
      <c r="J812" s="6">
        <f>_xlfn.XLOOKUP(B812,orders!A:A,orders!C:C)</f>
        <v>45778</v>
      </c>
      <c r="K812" s="6" t="str">
        <f t="shared" si="25"/>
        <v>May-2025</v>
      </c>
      <c r="L812" s="6">
        <f>_xlfn.XLOOKUP(B812,orders!A:A,orders!B:B)</f>
        <v>486</v>
      </c>
      <c r="M812" s="6" t="str">
        <f>_xlfn.XLOOKUP("C"&amp;TEXT(L812,"000"),customers!A:A,customers!B:B,"Not Found")</f>
        <v>Suresh Q.</v>
      </c>
    </row>
    <row r="813" spans="1:13">
      <c r="A813">
        <v>812</v>
      </c>
      <c r="B813">
        <v>506</v>
      </c>
      <c r="C813">
        <v>6</v>
      </c>
      <c r="D813" s="4">
        <v>4</v>
      </c>
      <c r="E813">
        <f>_xlfn.XLOOKUP(C813,products!A:A,products!D:D)</f>
        <v>1322</v>
      </c>
      <c r="F813">
        <f t="shared" si="24"/>
        <v>5288</v>
      </c>
      <c r="G813">
        <f>D813*(E813-_xlfn.XLOOKUP(C813,products!A:A,products!E:E))</f>
        <v>1903.6799999999998</v>
      </c>
      <c r="H813" s="6" t="str">
        <f>_xlfn.XLOOKUP(C813,products!A:A,products!C:C)</f>
        <v>Electronics</v>
      </c>
      <c r="I813" s="6" t="str">
        <f>_xlfn.XLOOKUP(C813,products!A:A,products!B:B)</f>
        <v>Mouse</v>
      </c>
      <c r="J813" s="6">
        <f>_xlfn.XLOOKUP(B813,orders!A:A,orders!C:C)</f>
        <v>45778</v>
      </c>
      <c r="K813" s="6" t="str">
        <f t="shared" si="25"/>
        <v>May-2025</v>
      </c>
      <c r="L813" s="6">
        <f>_xlfn.XLOOKUP(B813,orders!A:A,orders!B:B)</f>
        <v>486</v>
      </c>
      <c r="M813" s="6" t="str">
        <f>_xlfn.XLOOKUP("C"&amp;TEXT(L813,"000"),customers!A:A,customers!B:B,"Not Found")</f>
        <v>Suresh Q.</v>
      </c>
    </row>
    <row r="814" spans="1:13">
      <c r="A814">
        <v>813</v>
      </c>
      <c r="B814">
        <v>507</v>
      </c>
      <c r="C814">
        <v>50</v>
      </c>
      <c r="D814" s="4">
        <v>4</v>
      </c>
      <c r="E814">
        <f>_xlfn.XLOOKUP(C814,products!A:A,products!D:D)</f>
        <v>7350</v>
      </c>
      <c r="F814">
        <f t="shared" si="24"/>
        <v>29400</v>
      </c>
      <c r="G814">
        <f>D814*(E814-_xlfn.XLOOKUP(C814,products!A:A,products!E:E))</f>
        <v>13230</v>
      </c>
      <c r="H814" s="6" t="str">
        <f>_xlfn.XLOOKUP(C814,products!A:A,products!C:C)</f>
        <v>Toys</v>
      </c>
      <c r="I814" s="6" t="str">
        <f>_xlfn.XLOOKUP(C814,products!A:A,products!B:B)</f>
        <v>Building Blocks</v>
      </c>
      <c r="J814" s="6">
        <f>_xlfn.XLOOKUP(B814,orders!A:A,orders!C:C)</f>
        <v>45781</v>
      </c>
      <c r="K814" s="6" t="str">
        <f t="shared" si="25"/>
        <v>May-2025</v>
      </c>
      <c r="L814" s="6">
        <f>_xlfn.XLOOKUP(B814,orders!A:A,orders!B:B)</f>
        <v>23</v>
      </c>
      <c r="M814" s="6" t="str">
        <f>_xlfn.XLOOKUP("C"&amp;TEXT(L814,"000"),customers!A:A,customers!B:B,"Not Found")</f>
        <v>Arjun Q.</v>
      </c>
    </row>
    <row r="815" spans="1:13">
      <c r="A815">
        <v>814</v>
      </c>
      <c r="B815">
        <v>507</v>
      </c>
      <c r="C815">
        <v>13</v>
      </c>
      <c r="D815" s="4">
        <v>1</v>
      </c>
      <c r="E815">
        <f>_xlfn.XLOOKUP(C815,products!A:A,products!D:D)</f>
        <v>2281</v>
      </c>
      <c r="F815">
        <f t="shared" si="24"/>
        <v>2281</v>
      </c>
      <c r="G815">
        <f>D815*(E815-_xlfn.XLOOKUP(C815,products!A:A,products!E:E))</f>
        <v>923.8</v>
      </c>
      <c r="H815" s="6" t="str">
        <f>_xlfn.XLOOKUP(C815,products!A:A,products!C:C)</f>
        <v>Fashion</v>
      </c>
      <c r="I815" s="6" t="str">
        <f>_xlfn.XLOOKUP(C815,products!A:A,products!B:B)</f>
        <v>Shirt</v>
      </c>
      <c r="J815" s="6">
        <f>_xlfn.XLOOKUP(B815,orders!A:A,orders!C:C)</f>
        <v>45781</v>
      </c>
      <c r="K815" s="6" t="str">
        <f t="shared" si="25"/>
        <v>May-2025</v>
      </c>
      <c r="L815" s="6">
        <f>_xlfn.XLOOKUP(B815,orders!A:A,orders!B:B)</f>
        <v>23</v>
      </c>
      <c r="M815" s="6" t="str">
        <f>_xlfn.XLOOKUP("C"&amp;TEXT(L815,"000"),customers!A:A,customers!B:B,"Not Found")</f>
        <v>Arjun Q.</v>
      </c>
    </row>
    <row r="816" spans="1:13">
      <c r="A816">
        <v>815</v>
      </c>
      <c r="B816">
        <v>508</v>
      </c>
      <c r="C816">
        <v>7</v>
      </c>
      <c r="D816" s="4">
        <v>1</v>
      </c>
      <c r="E816">
        <f>_xlfn.XLOOKUP(C816,products!A:A,products!D:D)</f>
        <v>1459</v>
      </c>
      <c r="F816">
        <f t="shared" si="24"/>
        <v>1459</v>
      </c>
      <c r="G816">
        <f>D816*(E816-_xlfn.XLOOKUP(C816,products!A:A,products!E:E))</f>
        <v>503.35</v>
      </c>
      <c r="H816" s="6" t="str">
        <f>_xlfn.XLOOKUP(C816,products!A:A,products!C:C)</f>
        <v>Electronics</v>
      </c>
      <c r="I816" s="6" t="str">
        <f>_xlfn.XLOOKUP(C816,products!A:A,products!B:B)</f>
        <v>Monitor</v>
      </c>
      <c r="J816" s="6">
        <f>_xlfn.XLOOKUP(B816,orders!A:A,orders!C:C)</f>
        <v>45784</v>
      </c>
      <c r="K816" s="6" t="str">
        <f t="shared" si="25"/>
        <v>May-2025</v>
      </c>
      <c r="L816" s="6">
        <f>_xlfn.XLOOKUP(B816,orders!A:A,orders!B:B)</f>
        <v>60</v>
      </c>
      <c r="M816" s="6" t="str">
        <f>_xlfn.XLOOKUP("C"&amp;TEXT(L816,"000"),customers!A:A,customers!B:B,"Not Found")</f>
        <v>Kiran T.</v>
      </c>
    </row>
    <row r="817" spans="1:13">
      <c r="A817">
        <v>816</v>
      </c>
      <c r="B817">
        <v>508</v>
      </c>
      <c r="C817">
        <v>20</v>
      </c>
      <c r="D817" s="4">
        <v>2</v>
      </c>
      <c r="E817">
        <f>_xlfn.XLOOKUP(C817,products!A:A,products!D:D)</f>
        <v>3240</v>
      </c>
      <c r="F817">
        <f t="shared" si="24"/>
        <v>6480</v>
      </c>
      <c r="G817">
        <f>D817*(E817-_xlfn.XLOOKUP(C817,products!A:A,products!E:E))</f>
        <v>2916</v>
      </c>
      <c r="H817" s="6" t="str">
        <f>_xlfn.XLOOKUP(C817,products!A:A,products!C:C)</f>
        <v>Fashion</v>
      </c>
      <c r="I817" s="6" t="str">
        <f>_xlfn.XLOOKUP(C817,products!A:A,products!B:B)</f>
        <v>Belt</v>
      </c>
      <c r="J817" s="6">
        <f>_xlfn.XLOOKUP(B817,orders!A:A,orders!C:C)</f>
        <v>45784</v>
      </c>
      <c r="K817" s="6" t="str">
        <f t="shared" si="25"/>
        <v>May-2025</v>
      </c>
      <c r="L817" s="6">
        <f>_xlfn.XLOOKUP(B817,orders!A:A,orders!B:B)</f>
        <v>60</v>
      </c>
      <c r="M817" s="6" t="str">
        <f>_xlfn.XLOOKUP("C"&amp;TEXT(L817,"000"),customers!A:A,customers!B:B,"Not Found")</f>
        <v>Kiran T.</v>
      </c>
    </row>
    <row r="818" spans="1:13">
      <c r="A818">
        <v>817</v>
      </c>
      <c r="B818">
        <v>509</v>
      </c>
      <c r="C818">
        <v>14</v>
      </c>
      <c r="D818" s="4">
        <v>2</v>
      </c>
      <c r="E818">
        <f>_xlfn.XLOOKUP(C818,products!A:A,products!D:D)</f>
        <v>2418</v>
      </c>
      <c r="F818">
        <f t="shared" si="24"/>
        <v>4836</v>
      </c>
      <c r="G818">
        <f>D818*(E818-_xlfn.XLOOKUP(C818,products!A:A,products!E:E))</f>
        <v>1886.04</v>
      </c>
      <c r="H818" s="6" t="str">
        <f>_xlfn.XLOOKUP(C818,products!A:A,products!C:C)</f>
        <v>Fashion</v>
      </c>
      <c r="I818" s="6" t="str">
        <f>_xlfn.XLOOKUP(C818,products!A:A,products!B:B)</f>
        <v>Jacket</v>
      </c>
      <c r="J818" s="6">
        <f>_xlfn.XLOOKUP(B818,orders!A:A,orders!C:C)</f>
        <v>45787</v>
      </c>
      <c r="K818" s="6" t="str">
        <f t="shared" si="25"/>
        <v>May-2025</v>
      </c>
      <c r="L818" s="6">
        <f>_xlfn.XLOOKUP(B818,orders!A:A,orders!B:B)</f>
        <v>97</v>
      </c>
      <c r="M818" s="6" t="str">
        <f>_xlfn.XLOOKUP("C"&amp;TEXT(L818,"000"),customers!A:A,customers!B:B,"Not Found")</f>
        <v>Divya V.</v>
      </c>
    </row>
    <row r="819" spans="1:13">
      <c r="A819">
        <v>818</v>
      </c>
      <c r="B819">
        <v>509</v>
      </c>
      <c r="C819">
        <v>27</v>
      </c>
      <c r="D819" s="4">
        <v>3</v>
      </c>
      <c r="E819">
        <f>_xlfn.XLOOKUP(C819,products!A:A,products!D:D)</f>
        <v>4199</v>
      </c>
      <c r="F819">
        <f t="shared" si="24"/>
        <v>12597</v>
      </c>
      <c r="G819">
        <f>D819*(E819-_xlfn.XLOOKUP(C819,products!A:A,products!E:E))</f>
        <v>4345.9500000000007</v>
      </c>
      <c r="H819" s="6" t="str">
        <f>_xlfn.XLOOKUP(C819,products!A:A,products!C:C)</f>
        <v>Home &amp; Kitchen</v>
      </c>
      <c r="I819" s="6" t="str">
        <f>_xlfn.XLOOKUP(C819,products!A:A,products!B:B)</f>
        <v>Cookware Set</v>
      </c>
      <c r="J819" s="6">
        <f>_xlfn.XLOOKUP(B819,orders!A:A,orders!C:C)</f>
        <v>45787</v>
      </c>
      <c r="K819" s="6" t="str">
        <f t="shared" si="25"/>
        <v>May-2025</v>
      </c>
      <c r="L819" s="6">
        <f>_xlfn.XLOOKUP(B819,orders!A:A,orders!B:B)</f>
        <v>97</v>
      </c>
      <c r="M819" s="6" t="str">
        <f>_xlfn.XLOOKUP("C"&amp;TEXT(L819,"000"),customers!A:A,customers!B:B,"Not Found")</f>
        <v>Divya V.</v>
      </c>
    </row>
    <row r="820" spans="1:13">
      <c r="A820">
        <v>819</v>
      </c>
      <c r="B820">
        <v>510</v>
      </c>
      <c r="C820">
        <v>21</v>
      </c>
      <c r="D820" s="4">
        <v>3</v>
      </c>
      <c r="E820">
        <f>_xlfn.XLOOKUP(C820,products!A:A,products!D:D)</f>
        <v>3377</v>
      </c>
      <c r="F820">
        <f t="shared" si="24"/>
        <v>10131</v>
      </c>
      <c r="G820">
        <f>D820*(E820-_xlfn.XLOOKUP(C820,products!A:A,products!E:E))</f>
        <v>4406.97</v>
      </c>
      <c r="H820" s="6" t="str">
        <f>_xlfn.XLOOKUP(C820,products!A:A,products!C:C)</f>
        <v>Home Appliances</v>
      </c>
      <c r="I820" s="6" t="str">
        <f>_xlfn.XLOOKUP(C820,products!A:A,products!B:B)</f>
        <v>Mixer</v>
      </c>
      <c r="J820" s="6">
        <f>_xlfn.XLOOKUP(B820,orders!A:A,orders!C:C)</f>
        <v>45790</v>
      </c>
      <c r="K820" s="6" t="str">
        <f t="shared" si="25"/>
        <v>May-2025</v>
      </c>
      <c r="L820" s="6">
        <f>_xlfn.XLOOKUP(B820,orders!A:A,orders!B:B)</f>
        <v>134</v>
      </c>
      <c r="M820" s="6" t="str">
        <f>_xlfn.XLOOKUP("C"&amp;TEXT(L820,"000"),customers!A:A,customers!B:B,"Not Found")</f>
        <v>Nikhil G.</v>
      </c>
    </row>
    <row r="821" spans="1:13">
      <c r="A821">
        <v>820</v>
      </c>
      <c r="B821">
        <v>510</v>
      </c>
      <c r="C821">
        <v>34</v>
      </c>
      <c r="D821" s="4">
        <v>4</v>
      </c>
      <c r="E821">
        <f>_xlfn.XLOOKUP(C821,products!A:A,products!D:D)</f>
        <v>5158</v>
      </c>
      <c r="F821">
        <f t="shared" si="24"/>
        <v>20632</v>
      </c>
      <c r="G821">
        <f>D821*(E821-_xlfn.XLOOKUP(C821,products!A:A,products!E:E))</f>
        <v>8046.48</v>
      </c>
      <c r="H821" s="6" t="str">
        <f>_xlfn.XLOOKUP(C821,products!A:A,products!C:C)</f>
        <v>Books</v>
      </c>
      <c r="I821" s="6" t="str">
        <f>_xlfn.XLOOKUP(C821,products!A:A,products!B:B)</f>
        <v>Cookbook</v>
      </c>
      <c r="J821" s="6">
        <f>_xlfn.XLOOKUP(B821,orders!A:A,orders!C:C)</f>
        <v>45790</v>
      </c>
      <c r="K821" s="6" t="str">
        <f t="shared" si="25"/>
        <v>May-2025</v>
      </c>
      <c r="L821" s="6">
        <f>_xlfn.XLOOKUP(B821,orders!A:A,orders!B:B)</f>
        <v>134</v>
      </c>
      <c r="M821" s="6" t="str">
        <f>_xlfn.XLOOKUP("C"&amp;TEXT(L821,"000"),customers!A:A,customers!B:B,"Not Found")</f>
        <v>Nikhil G.</v>
      </c>
    </row>
    <row r="822" spans="1:13">
      <c r="A822">
        <v>821</v>
      </c>
      <c r="B822">
        <v>511</v>
      </c>
      <c r="C822">
        <v>28</v>
      </c>
      <c r="D822" s="4">
        <v>4</v>
      </c>
      <c r="E822">
        <f>_xlfn.XLOOKUP(C822,products!A:A,products!D:D)</f>
        <v>4336</v>
      </c>
      <c r="F822">
        <f t="shared" si="24"/>
        <v>17344</v>
      </c>
      <c r="G822">
        <f>D822*(E822-_xlfn.XLOOKUP(C822,products!A:A,products!E:E))</f>
        <v>5723.52</v>
      </c>
      <c r="H822" s="6" t="str">
        <f>_xlfn.XLOOKUP(C822,products!A:A,products!C:C)</f>
        <v>Home &amp; Kitchen</v>
      </c>
      <c r="I822" s="6" t="str">
        <f>_xlfn.XLOOKUP(C822,products!A:A,products!B:B)</f>
        <v>Bottle</v>
      </c>
      <c r="J822" s="6">
        <f>_xlfn.XLOOKUP(B822,orders!A:A,orders!C:C)</f>
        <v>45793</v>
      </c>
      <c r="K822" s="6" t="str">
        <f t="shared" si="25"/>
        <v>May-2025</v>
      </c>
      <c r="L822" s="6">
        <f>_xlfn.XLOOKUP(B822,orders!A:A,orders!B:B)</f>
        <v>171</v>
      </c>
      <c r="M822" s="6" t="str">
        <f>_xlfn.XLOOKUP("C"&amp;TEXT(L822,"000"),customers!A:A,customers!B:B,"Not Found")</f>
        <v>Amit O.</v>
      </c>
    </row>
    <row r="823" spans="1:13">
      <c r="A823">
        <v>822</v>
      </c>
      <c r="B823">
        <v>511</v>
      </c>
      <c r="C823">
        <v>41</v>
      </c>
      <c r="D823" s="4">
        <v>1</v>
      </c>
      <c r="E823">
        <f>_xlfn.XLOOKUP(C823,products!A:A,products!D:D)</f>
        <v>6117</v>
      </c>
      <c r="F823">
        <f t="shared" si="24"/>
        <v>6117</v>
      </c>
      <c r="G823">
        <f>D823*(E823-_xlfn.XLOOKUP(C823,products!A:A,products!E:E))</f>
        <v>2660.89</v>
      </c>
      <c r="H823" s="6" t="str">
        <f>_xlfn.XLOOKUP(C823,products!A:A,products!C:C)</f>
        <v>Beauty</v>
      </c>
      <c r="I823" s="6" t="str">
        <f>_xlfn.XLOOKUP(C823,products!A:A,products!B:B)</f>
        <v>Face Wash</v>
      </c>
      <c r="J823" s="6">
        <f>_xlfn.XLOOKUP(B823,orders!A:A,orders!C:C)</f>
        <v>45793</v>
      </c>
      <c r="K823" s="6" t="str">
        <f t="shared" si="25"/>
        <v>May-2025</v>
      </c>
      <c r="L823" s="6">
        <f>_xlfn.XLOOKUP(B823,orders!A:A,orders!B:B)</f>
        <v>171</v>
      </c>
      <c r="M823" s="6" t="str">
        <f>_xlfn.XLOOKUP("C"&amp;TEXT(L823,"000"),customers!A:A,customers!B:B,"Not Found")</f>
        <v>Amit O.</v>
      </c>
    </row>
    <row r="824" spans="1:13">
      <c r="A824">
        <v>823</v>
      </c>
      <c r="B824">
        <v>512</v>
      </c>
      <c r="C824">
        <v>35</v>
      </c>
      <c r="D824" s="4">
        <v>1</v>
      </c>
      <c r="E824">
        <f>_xlfn.XLOOKUP(C824,products!A:A,products!D:D)</f>
        <v>5295</v>
      </c>
      <c r="F824">
        <f t="shared" si="24"/>
        <v>5295</v>
      </c>
      <c r="G824">
        <f>D824*(E824-_xlfn.XLOOKUP(C824,products!A:A,products!E:E))</f>
        <v>1985.62</v>
      </c>
      <c r="H824" s="6" t="str">
        <f>_xlfn.XLOOKUP(C824,products!A:A,products!C:C)</f>
        <v>Books</v>
      </c>
      <c r="I824" s="6" t="str">
        <f>_xlfn.XLOOKUP(C824,products!A:A,products!B:B)</f>
        <v>Novel</v>
      </c>
      <c r="J824" s="6">
        <f>_xlfn.XLOOKUP(B824,orders!A:A,orders!C:C)</f>
        <v>45796</v>
      </c>
      <c r="K824" s="6" t="str">
        <f t="shared" si="25"/>
        <v>May-2025</v>
      </c>
      <c r="L824" s="6">
        <f>_xlfn.XLOOKUP(B824,orders!A:A,orders!B:B)</f>
        <v>208</v>
      </c>
      <c r="M824" s="6" t="str">
        <f>_xlfn.XLOOKUP("C"&amp;TEXT(L824,"000"),customers!A:A,customers!B:B,"Not Found")</f>
        <v>Pooja S.</v>
      </c>
    </row>
    <row r="825" spans="1:13">
      <c r="A825">
        <v>824</v>
      </c>
      <c r="B825">
        <v>512</v>
      </c>
      <c r="C825">
        <v>48</v>
      </c>
      <c r="D825" s="4">
        <v>2</v>
      </c>
      <c r="E825">
        <f>_xlfn.XLOOKUP(C825,products!A:A,products!D:D)</f>
        <v>7076</v>
      </c>
      <c r="F825">
        <f t="shared" si="24"/>
        <v>14152</v>
      </c>
      <c r="G825">
        <f>D825*(E825-_xlfn.XLOOKUP(C825,products!A:A,products!E:E))</f>
        <v>4670.16</v>
      </c>
      <c r="H825" s="6" t="str">
        <f>_xlfn.XLOOKUP(C825,products!A:A,products!C:C)</f>
        <v>Toys</v>
      </c>
      <c r="I825" s="6" t="str">
        <f>_xlfn.XLOOKUP(C825,products!A:A,products!B:B)</f>
        <v>Board Game</v>
      </c>
      <c r="J825" s="6">
        <f>_xlfn.XLOOKUP(B825,orders!A:A,orders!C:C)</f>
        <v>45796</v>
      </c>
      <c r="K825" s="6" t="str">
        <f t="shared" si="25"/>
        <v>May-2025</v>
      </c>
      <c r="L825" s="6">
        <f>_xlfn.XLOOKUP(B825,orders!A:A,orders!B:B)</f>
        <v>208</v>
      </c>
      <c r="M825" s="6" t="str">
        <f>_xlfn.XLOOKUP("C"&amp;TEXT(L825,"000"),customers!A:A,customers!B:B,"Not Found")</f>
        <v>Pooja S.</v>
      </c>
    </row>
    <row r="826" spans="1:13">
      <c r="A826">
        <v>825</v>
      </c>
      <c r="B826">
        <v>513</v>
      </c>
      <c r="C826">
        <v>42</v>
      </c>
      <c r="D826" s="4">
        <v>2</v>
      </c>
      <c r="E826">
        <f>_xlfn.XLOOKUP(C826,products!A:A,products!D:D)</f>
        <v>6254</v>
      </c>
      <c r="F826">
        <f t="shared" si="24"/>
        <v>12508</v>
      </c>
      <c r="G826">
        <f>D826*(E826-_xlfn.XLOOKUP(C826,products!A:A,products!E:E))</f>
        <v>5253.36</v>
      </c>
      <c r="H826" s="6" t="str">
        <f>_xlfn.XLOOKUP(C826,products!A:A,products!C:C)</f>
        <v>Beauty</v>
      </c>
      <c r="I826" s="6" t="str">
        <f>_xlfn.XLOOKUP(C826,products!A:A,products!B:B)</f>
        <v>Shampoo</v>
      </c>
      <c r="J826" s="6">
        <f>_xlfn.XLOOKUP(B826,orders!A:A,orders!C:C)</f>
        <v>45799</v>
      </c>
      <c r="K826" s="6" t="str">
        <f t="shared" si="25"/>
        <v>May-2025</v>
      </c>
      <c r="L826" s="6">
        <f>_xlfn.XLOOKUP(B826,orders!A:A,orders!B:B)</f>
        <v>245</v>
      </c>
      <c r="M826" s="6" t="str">
        <f>_xlfn.XLOOKUP("C"&amp;TEXT(L826,"000"),customers!A:A,customers!B:B,"Not Found")</f>
        <v>Kavya D.</v>
      </c>
    </row>
    <row r="827" spans="1:13">
      <c r="A827">
        <v>826</v>
      </c>
      <c r="B827">
        <v>513</v>
      </c>
      <c r="C827">
        <v>5</v>
      </c>
      <c r="D827" s="4">
        <v>3</v>
      </c>
      <c r="E827">
        <f>_xlfn.XLOOKUP(C827,products!A:A,products!D:D)</f>
        <v>1185</v>
      </c>
      <c r="F827">
        <f t="shared" si="24"/>
        <v>3555</v>
      </c>
      <c r="G827">
        <f>D827*(E827-_xlfn.XLOOKUP(C827,products!A:A,products!E:E))</f>
        <v>1333.1399999999999</v>
      </c>
      <c r="H827" s="6" t="str">
        <f>_xlfn.XLOOKUP(C827,products!A:A,products!C:C)</f>
        <v>Electronics</v>
      </c>
      <c r="I827" s="6" t="str">
        <f>_xlfn.XLOOKUP(C827,products!A:A,products!B:B)</f>
        <v>Keyboard</v>
      </c>
      <c r="J827" s="6">
        <f>_xlfn.XLOOKUP(B827,orders!A:A,orders!C:C)</f>
        <v>45799</v>
      </c>
      <c r="K827" s="6" t="str">
        <f t="shared" si="25"/>
        <v>May-2025</v>
      </c>
      <c r="L827" s="6">
        <f>_xlfn.XLOOKUP(B827,orders!A:A,orders!B:B)</f>
        <v>245</v>
      </c>
      <c r="M827" s="6" t="str">
        <f>_xlfn.XLOOKUP("C"&amp;TEXT(L827,"000"),customers!A:A,customers!B:B,"Not Found")</f>
        <v>Kavya D.</v>
      </c>
    </row>
    <row r="828" spans="1:13">
      <c r="A828">
        <v>827</v>
      </c>
      <c r="B828">
        <v>514</v>
      </c>
      <c r="C828">
        <v>49</v>
      </c>
      <c r="D828" s="4">
        <v>3</v>
      </c>
      <c r="E828">
        <f>_xlfn.XLOOKUP(C828,products!A:A,products!D:D)</f>
        <v>7213</v>
      </c>
      <c r="F828">
        <f t="shared" si="24"/>
        <v>21639</v>
      </c>
      <c r="G828">
        <f>D828*(E828-_xlfn.XLOOKUP(C828,products!A:A,products!E:E))</f>
        <v>6816.27</v>
      </c>
      <c r="H828" s="6" t="str">
        <f>_xlfn.XLOOKUP(C828,products!A:A,products!C:C)</f>
        <v>Toys</v>
      </c>
      <c r="I828" s="6" t="str">
        <f>_xlfn.XLOOKUP(C828,products!A:A,products!B:B)</f>
        <v>Remote Car</v>
      </c>
      <c r="J828" s="6">
        <f>_xlfn.XLOOKUP(B828,orders!A:A,orders!C:C)</f>
        <v>45802</v>
      </c>
      <c r="K828" s="6" t="str">
        <f t="shared" si="25"/>
        <v>May-2025</v>
      </c>
      <c r="L828" s="6">
        <f>_xlfn.XLOOKUP(B828,orders!A:A,orders!B:B)</f>
        <v>282</v>
      </c>
      <c r="M828" s="6" t="str">
        <f>_xlfn.XLOOKUP("C"&amp;TEXT(L828,"000"),customers!A:A,customers!B:B,"Not Found")</f>
        <v>Vikram S.</v>
      </c>
    </row>
    <row r="829" spans="1:13">
      <c r="A829">
        <v>828</v>
      </c>
      <c r="B829">
        <v>514</v>
      </c>
      <c r="C829">
        <v>12</v>
      </c>
      <c r="D829" s="4">
        <v>4</v>
      </c>
      <c r="E829">
        <f>_xlfn.XLOOKUP(C829,products!A:A,products!D:D)</f>
        <v>2144</v>
      </c>
      <c r="F829">
        <f t="shared" si="24"/>
        <v>8576</v>
      </c>
      <c r="G829">
        <f>D829*(E829-_xlfn.XLOOKUP(C829,products!A:A,products!E:E))</f>
        <v>3601.92</v>
      </c>
      <c r="H829" s="6" t="str">
        <f>_xlfn.XLOOKUP(C829,products!A:A,products!C:C)</f>
        <v>Fashion</v>
      </c>
      <c r="I829" s="6" t="str">
        <f>_xlfn.XLOOKUP(C829,products!A:A,products!B:B)</f>
        <v>Jeans</v>
      </c>
      <c r="J829" s="6">
        <f>_xlfn.XLOOKUP(B829,orders!A:A,orders!C:C)</f>
        <v>45802</v>
      </c>
      <c r="K829" s="6" t="str">
        <f t="shared" si="25"/>
        <v>May-2025</v>
      </c>
      <c r="L829" s="6">
        <f>_xlfn.XLOOKUP(B829,orders!A:A,orders!B:B)</f>
        <v>282</v>
      </c>
      <c r="M829" s="6" t="str">
        <f>_xlfn.XLOOKUP("C"&amp;TEXT(L829,"000"),customers!A:A,customers!B:B,"Not Found")</f>
        <v>Vikram S.</v>
      </c>
    </row>
    <row r="830" spans="1:13">
      <c r="A830">
        <v>829</v>
      </c>
      <c r="B830">
        <v>515</v>
      </c>
      <c r="C830">
        <v>6</v>
      </c>
      <c r="D830" s="4">
        <v>4</v>
      </c>
      <c r="E830">
        <f>_xlfn.XLOOKUP(C830,products!A:A,products!D:D)</f>
        <v>1322</v>
      </c>
      <c r="F830">
        <f t="shared" si="24"/>
        <v>5288</v>
      </c>
      <c r="G830">
        <f>D830*(E830-_xlfn.XLOOKUP(C830,products!A:A,products!E:E))</f>
        <v>1903.6799999999998</v>
      </c>
      <c r="H830" s="6" t="str">
        <f>_xlfn.XLOOKUP(C830,products!A:A,products!C:C)</f>
        <v>Electronics</v>
      </c>
      <c r="I830" s="6" t="str">
        <f>_xlfn.XLOOKUP(C830,products!A:A,products!B:B)</f>
        <v>Mouse</v>
      </c>
      <c r="J830" s="6">
        <f>_xlfn.XLOOKUP(B830,orders!A:A,orders!C:C)</f>
        <v>45805</v>
      </c>
      <c r="K830" s="6" t="str">
        <f t="shared" si="25"/>
        <v>May-2025</v>
      </c>
      <c r="L830" s="6">
        <f>_xlfn.XLOOKUP(B830,orders!A:A,orders!B:B)</f>
        <v>319</v>
      </c>
      <c r="M830" s="6" t="str">
        <f>_xlfn.XLOOKUP("C"&amp;TEXT(L830,"000"),customers!A:A,customers!B:B,"Not Found")</f>
        <v>Nikhil R.</v>
      </c>
    </row>
    <row r="831" spans="1:13">
      <c r="A831">
        <v>830</v>
      </c>
      <c r="B831">
        <v>515</v>
      </c>
      <c r="C831">
        <v>19</v>
      </c>
      <c r="D831" s="4">
        <v>1</v>
      </c>
      <c r="E831">
        <f>_xlfn.XLOOKUP(C831,products!A:A,products!D:D)</f>
        <v>3103</v>
      </c>
      <c r="F831">
        <f t="shared" si="24"/>
        <v>3103</v>
      </c>
      <c r="G831">
        <f>D831*(E831-_xlfn.XLOOKUP(C831,products!A:A,products!E:E))</f>
        <v>977.44</v>
      </c>
      <c r="H831" s="6" t="str">
        <f>_xlfn.XLOOKUP(C831,products!A:A,products!C:C)</f>
        <v>Fashion</v>
      </c>
      <c r="I831" s="6" t="str">
        <f>_xlfn.XLOOKUP(C831,products!A:A,products!B:B)</f>
        <v>Wallet</v>
      </c>
      <c r="J831" s="6">
        <f>_xlfn.XLOOKUP(B831,orders!A:A,orders!C:C)</f>
        <v>45805</v>
      </c>
      <c r="K831" s="6" t="str">
        <f t="shared" si="25"/>
        <v>May-2025</v>
      </c>
      <c r="L831" s="6">
        <f>_xlfn.XLOOKUP(B831,orders!A:A,orders!B:B)</f>
        <v>319</v>
      </c>
      <c r="M831" s="6" t="str">
        <f>_xlfn.XLOOKUP("C"&amp;TEXT(L831,"000"),customers!A:A,customers!B:B,"Not Found")</f>
        <v>Nikhil R.</v>
      </c>
    </row>
    <row r="832" spans="1:13">
      <c r="A832">
        <v>831</v>
      </c>
      <c r="B832">
        <v>516</v>
      </c>
      <c r="C832">
        <v>13</v>
      </c>
      <c r="D832" s="4">
        <v>1</v>
      </c>
      <c r="E832">
        <f>_xlfn.XLOOKUP(C832,products!A:A,products!D:D)</f>
        <v>2281</v>
      </c>
      <c r="F832">
        <f t="shared" si="24"/>
        <v>2281</v>
      </c>
      <c r="G832">
        <f>D832*(E832-_xlfn.XLOOKUP(C832,products!A:A,products!E:E))</f>
        <v>923.8</v>
      </c>
      <c r="H832" s="6" t="str">
        <f>_xlfn.XLOOKUP(C832,products!A:A,products!C:C)</f>
        <v>Fashion</v>
      </c>
      <c r="I832" s="6" t="str">
        <f>_xlfn.XLOOKUP(C832,products!A:A,products!B:B)</f>
        <v>Shirt</v>
      </c>
      <c r="J832" s="6">
        <f>_xlfn.XLOOKUP(B832,orders!A:A,orders!C:C)</f>
        <v>45808</v>
      </c>
      <c r="K832" s="6" t="str">
        <f t="shared" si="25"/>
        <v>May-2025</v>
      </c>
      <c r="L832" s="6">
        <f>_xlfn.XLOOKUP(B832,orders!A:A,orders!B:B)</f>
        <v>356</v>
      </c>
      <c r="M832" s="6" t="str">
        <f>_xlfn.XLOOKUP("C"&amp;TEXT(L832,"000"),customers!A:A,customers!B:B,"Not Found")</f>
        <v>Meena Q.</v>
      </c>
    </row>
    <row r="833" spans="1:13">
      <c r="A833">
        <v>832</v>
      </c>
      <c r="B833">
        <v>516</v>
      </c>
      <c r="C833">
        <v>26</v>
      </c>
      <c r="D833" s="4">
        <v>2</v>
      </c>
      <c r="E833">
        <f>_xlfn.XLOOKUP(C833,products!A:A,products!D:D)</f>
        <v>4062</v>
      </c>
      <c r="F833">
        <f t="shared" si="24"/>
        <v>8124</v>
      </c>
      <c r="G833">
        <f>D833*(E833-_xlfn.XLOOKUP(C833,products!A:A,products!E:E))</f>
        <v>2924.6400000000003</v>
      </c>
      <c r="H833" s="6" t="str">
        <f>_xlfn.XLOOKUP(C833,products!A:A,products!C:C)</f>
        <v>Home &amp; Kitchen</v>
      </c>
      <c r="I833" s="6" t="str">
        <f>_xlfn.XLOOKUP(C833,products!A:A,products!B:B)</f>
        <v>Bedsheet</v>
      </c>
      <c r="J833" s="6">
        <f>_xlfn.XLOOKUP(B833,orders!A:A,orders!C:C)</f>
        <v>45808</v>
      </c>
      <c r="K833" s="6" t="str">
        <f t="shared" si="25"/>
        <v>May-2025</v>
      </c>
      <c r="L833" s="6">
        <f>_xlfn.XLOOKUP(B833,orders!A:A,orders!B:B)</f>
        <v>356</v>
      </c>
      <c r="M833" s="6" t="str">
        <f>_xlfn.XLOOKUP("C"&amp;TEXT(L833,"000"),customers!A:A,customers!B:B,"Not Found")</f>
        <v>Meena Q.</v>
      </c>
    </row>
    <row r="834" spans="1:13">
      <c r="A834">
        <v>833</v>
      </c>
      <c r="B834">
        <v>517</v>
      </c>
      <c r="C834">
        <v>20</v>
      </c>
      <c r="D834" s="4">
        <v>2</v>
      </c>
      <c r="E834">
        <f>_xlfn.XLOOKUP(C834,products!A:A,products!D:D)</f>
        <v>3240</v>
      </c>
      <c r="F834">
        <f t="shared" ref="F834:F897" si="26">D834*E834</f>
        <v>6480</v>
      </c>
      <c r="G834">
        <f>D834*(E834-_xlfn.XLOOKUP(C834,products!A:A,products!E:E))</f>
        <v>2916</v>
      </c>
      <c r="H834" s="6" t="str">
        <f>_xlfn.XLOOKUP(C834,products!A:A,products!C:C)</f>
        <v>Fashion</v>
      </c>
      <c r="I834" s="6" t="str">
        <f>_xlfn.XLOOKUP(C834,products!A:A,products!B:B)</f>
        <v>Belt</v>
      </c>
      <c r="J834" s="6">
        <f>_xlfn.XLOOKUP(B834,orders!A:A,orders!C:C)</f>
        <v>45811</v>
      </c>
      <c r="K834" s="6" t="str">
        <f t="shared" ref="K834:K897" si="27">TEXT(J834,"mmm-yyyy")</f>
        <v>Jun-2025</v>
      </c>
      <c r="L834" s="6">
        <f>_xlfn.XLOOKUP(B834,orders!A:A,orders!B:B)</f>
        <v>393</v>
      </c>
      <c r="M834" s="6" t="str">
        <f>_xlfn.XLOOKUP("C"&amp;TEXT(L834,"000"),customers!A:A,customers!B:B,"Not Found")</f>
        <v>Kiran Z.</v>
      </c>
    </row>
    <row r="835" spans="1:13">
      <c r="A835">
        <v>834</v>
      </c>
      <c r="B835">
        <v>517</v>
      </c>
      <c r="C835">
        <v>33</v>
      </c>
      <c r="D835" s="4">
        <v>3</v>
      </c>
      <c r="E835">
        <f>_xlfn.XLOOKUP(C835,products!A:A,products!D:D)</f>
        <v>5021</v>
      </c>
      <c r="F835">
        <f t="shared" si="26"/>
        <v>15063</v>
      </c>
      <c r="G835">
        <f>D835*(E835-_xlfn.XLOOKUP(C835,products!A:A,products!E:E))</f>
        <v>6100.5</v>
      </c>
      <c r="H835" s="6" t="str">
        <f>_xlfn.XLOOKUP(C835,products!A:A,products!C:C)</f>
        <v>Books</v>
      </c>
      <c r="I835" s="6" t="str">
        <f>_xlfn.XLOOKUP(C835,products!A:A,products!B:B)</f>
        <v>Pen Set</v>
      </c>
      <c r="J835" s="6">
        <f>_xlfn.XLOOKUP(B835,orders!A:A,orders!C:C)</f>
        <v>45811</v>
      </c>
      <c r="K835" s="6" t="str">
        <f t="shared" si="27"/>
        <v>Jun-2025</v>
      </c>
      <c r="L835" s="6">
        <f>_xlfn.XLOOKUP(B835,orders!A:A,orders!B:B)</f>
        <v>393</v>
      </c>
      <c r="M835" s="6" t="str">
        <f>_xlfn.XLOOKUP("C"&amp;TEXT(L835,"000"),customers!A:A,customers!B:B,"Not Found")</f>
        <v>Kiran Z.</v>
      </c>
    </row>
    <row r="836" spans="1:13">
      <c r="A836">
        <v>835</v>
      </c>
      <c r="B836">
        <v>518</v>
      </c>
      <c r="C836">
        <v>27</v>
      </c>
      <c r="D836" s="4">
        <v>3</v>
      </c>
      <c r="E836">
        <f>_xlfn.XLOOKUP(C836,products!A:A,products!D:D)</f>
        <v>4199</v>
      </c>
      <c r="F836">
        <f t="shared" si="26"/>
        <v>12597</v>
      </c>
      <c r="G836">
        <f>D836*(E836-_xlfn.XLOOKUP(C836,products!A:A,products!E:E))</f>
        <v>4345.9500000000007</v>
      </c>
      <c r="H836" s="6" t="str">
        <f>_xlfn.XLOOKUP(C836,products!A:A,products!C:C)</f>
        <v>Home &amp; Kitchen</v>
      </c>
      <c r="I836" s="6" t="str">
        <f>_xlfn.XLOOKUP(C836,products!A:A,products!B:B)</f>
        <v>Cookware Set</v>
      </c>
      <c r="J836" s="6">
        <f>_xlfn.XLOOKUP(B836,orders!A:A,orders!C:C)</f>
        <v>45814</v>
      </c>
      <c r="K836" s="6" t="str">
        <f t="shared" si="27"/>
        <v>Jun-2025</v>
      </c>
      <c r="L836" s="6">
        <f>_xlfn.XLOOKUP(B836,orders!A:A,orders!B:B)</f>
        <v>430</v>
      </c>
      <c r="M836" s="6" t="str">
        <f>_xlfn.XLOOKUP("C"&amp;TEXT(L836,"000"),customers!A:A,customers!B:B,"Not Found")</f>
        <v>Rohit Y.</v>
      </c>
    </row>
    <row r="837" spans="1:13">
      <c r="A837">
        <v>836</v>
      </c>
      <c r="B837">
        <v>518</v>
      </c>
      <c r="C837">
        <v>40</v>
      </c>
      <c r="D837" s="4">
        <v>4</v>
      </c>
      <c r="E837">
        <f>_xlfn.XLOOKUP(C837,products!A:A,products!D:D)</f>
        <v>5980</v>
      </c>
      <c r="F837">
        <f t="shared" si="26"/>
        <v>23920</v>
      </c>
      <c r="G837">
        <f>D837*(E837-_xlfn.XLOOKUP(C837,products!A:A,products!E:E))</f>
        <v>10764</v>
      </c>
      <c r="H837" s="6" t="str">
        <f>_xlfn.XLOOKUP(C837,products!A:A,products!C:C)</f>
        <v>Sports</v>
      </c>
      <c r="I837" s="6" t="str">
        <f>_xlfn.XLOOKUP(C837,products!A:A,products!B:B)</f>
        <v>Dumbbells</v>
      </c>
      <c r="J837" s="6">
        <f>_xlfn.XLOOKUP(B837,orders!A:A,orders!C:C)</f>
        <v>45814</v>
      </c>
      <c r="K837" s="6" t="str">
        <f t="shared" si="27"/>
        <v>Jun-2025</v>
      </c>
      <c r="L837" s="6">
        <f>_xlfn.XLOOKUP(B837,orders!A:A,orders!B:B)</f>
        <v>430</v>
      </c>
      <c r="M837" s="6" t="str">
        <f>_xlfn.XLOOKUP("C"&amp;TEXT(L837,"000"),customers!A:A,customers!B:B,"Not Found")</f>
        <v>Rohit Y.</v>
      </c>
    </row>
    <row r="838" spans="1:13">
      <c r="A838">
        <v>837</v>
      </c>
      <c r="B838">
        <v>519</v>
      </c>
      <c r="C838">
        <v>34</v>
      </c>
      <c r="D838" s="4">
        <v>4</v>
      </c>
      <c r="E838">
        <f>_xlfn.XLOOKUP(C838,products!A:A,products!D:D)</f>
        <v>5158</v>
      </c>
      <c r="F838">
        <f t="shared" si="26"/>
        <v>20632</v>
      </c>
      <c r="G838">
        <f>D838*(E838-_xlfn.XLOOKUP(C838,products!A:A,products!E:E))</f>
        <v>8046.48</v>
      </c>
      <c r="H838" s="6" t="str">
        <f>_xlfn.XLOOKUP(C838,products!A:A,products!C:C)</f>
        <v>Books</v>
      </c>
      <c r="I838" s="6" t="str">
        <f>_xlfn.XLOOKUP(C838,products!A:A,products!B:B)</f>
        <v>Cookbook</v>
      </c>
      <c r="J838" s="6">
        <f>_xlfn.XLOOKUP(B838,orders!A:A,orders!C:C)</f>
        <v>45817</v>
      </c>
      <c r="K838" s="6" t="str">
        <f t="shared" si="27"/>
        <v>Jun-2025</v>
      </c>
      <c r="L838" s="6">
        <f>_xlfn.XLOOKUP(B838,orders!A:A,orders!B:B)</f>
        <v>467</v>
      </c>
      <c r="M838" s="6" t="str">
        <f>_xlfn.XLOOKUP("C"&amp;TEXT(L838,"000"),customers!A:A,customers!B:B,"Not Found")</f>
        <v>Priya A.</v>
      </c>
    </row>
    <row r="839" spans="1:13">
      <c r="A839">
        <v>838</v>
      </c>
      <c r="B839">
        <v>519</v>
      </c>
      <c r="C839">
        <v>47</v>
      </c>
      <c r="D839" s="4">
        <v>1</v>
      </c>
      <c r="E839">
        <f>_xlfn.XLOOKUP(C839,products!A:A,products!D:D)</f>
        <v>6939</v>
      </c>
      <c r="F839">
        <f t="shared" si="26"/>
        <v>6939</v>
      </c>
      <c r="G839">
        <f>D839*(E839-_xlfn.XLOOKUP(C839,products!A:A,products!E:E))</f>
        <v>2393.9499999999998</v>
      </c>
      <c r="H839" s="6" t="str">
        <f>_xlfn.XLOOKUP(C839,products!A:A,products!C:C)</f>
        <v>Toys</v>
      </c>
      <c r="I839" s="6" t="str">
        <f>_xlfn.XLOOKUP(C839,products!A:A,products!B:B)</f>
        <v>Puzzle</v>
      </c>
      <c r="J839" s="6">
        <f>_xlfn.XLOOKUP(B839,orders!A:A,orders!C:C)</f>
        <v>45817</v>
      </c>
      <c r="K839" s="6" t="str">
        <f t="shared" si="27"/>
        <v>Jun-2025</v>
      </c>
      <c r="L839" s="6">
        <f>_xlfn.XLOOKUP(B839,orders!A:A,orders!B:B)</f>
        <v>467</v>
      </c>
      <c r="M839" s="6" t="str">
        <f>_xlfn.XLOOKUP("C"&amp;TEXT(L839,"000"),customers!A:A,customers!B:B,"Not Found")</f>
        <v>Priya A.</v>
      </c>
    </row>
    <row r="840" spans="1:13">
      <c r="A840">
        <v>839</v>
      </c>
      <c r="B840">
        <v>520</v>
      </c>
      <c r="C840">
        <v>41</v>
      </c>
      <c r="D840" s="4">
        <v>1</v>
      </c>
      <c r="E840">
        <f>_xlfn.XLOOKUP(C840,products!A:A,products!D:D)</f>
        <v>6117</v>
      </c>
      <c r="F840">
        <f t="shared" si="26"/>
        <v>6117</v>
      </c>
      <c r="G840">
        <f>D840*(E840-_xlfn.XLOOKUP(C840,products!A:A,products!E:E))</f>
        <v>2660.89</v>
      </c>
      <c r="H840" s="6" t="str">
        <f>_xlfn.XLOOKUP(C840,products!A:A,products!C:C)</f>
        <v>Beauty</v>
      </c>
      <c r="I840" s="6" t="str">
        <f>_xlfn.XLOOKUP(C840,products!A:A,products!B:B)</f>
        <v>Face Wash</v>
      </c>
      <c r="J840" s="6">
        <f>_xlfn.XLOOKUP(B840,orders!A:A,orders!C:C)</f>
        <v>45820</v>
      </c>
      <c r="K840" s="6" t="str">
        <f t="shared" si="27"/>
        <v>Jun-2025</v>
      </c>
      <c r="L840" s="6">
        <f>_xlfn.XLOOKUP(B840,orders!A:A,orders!B:B)</f>
        <v>4</v>
      </c>
      <c r="M840" s="6" t="str">
        <f>_xlfn.XLOOKUP("C"&amp;TEXT(L840,"000"),customers!A:A,customers!B:B,"Not Found")</f>
        <v>Pooja Q.</v>
      </c>
    </row>
    <row r="841" spans="1:13">
      <c r="A841">
        <v>840</v>
      </c>
      <c r="B841">
        <v>520</v>
      </c>
      <c r="C841">
        <v>4</v>
      </c>
      <c r="D841" s="4">
        <v>2</v>
      </c>
      <c r="E841">
        <f>_xlfn.XLOOKUP(C841,products!A:A,products!D:D)</f>
        <v>1048</v>
      </c>
      <c r="F841">
        <f t="shared" si="26"/>
        <v>2096</v>
      </c>
      <c r="G841">
        <f>D841*(E841-_xlfn.XLOOKUP(C841,products!A:A,products!E:E))</f>
        <v>817.44</v>
      </c>
      <c r="H841" s="6" t="str">
        <f>_xlfn.XLOOKUP(C841,products!A:A,products!C:C)</f>
        <v>Electronics</v>
      </c>
      <c r="I841" s="6" t="str">
        <f>_xlfn.XLOOKUP(C841,products!A:A,products!B:B)</f>
        <v>Smart Watch</v>
      </c>
      <c r="J841" s="6">
        <f>_xlfn.XLOOKUP(B841,orders!A:A,orders!C:C)</f>
        <v>45820</v>
      </c>
      <c r="K841" s="6" t="str">
        <f t="shared" si="27"/>
        <v>Jun-2025</v>
      </c>
      <c r="L841" s="6">
        <f>_xlfn.XLOOKUP(B841,orders!A:A,orders!B:B)</f>
        <v>4</v>
      </c>
      <c r="M841" s="6" t="str">
        <f>_xlfn.XLOOKUP("C"&amp;TEXT(L841,"000"),customers!A:A,customers!B:B,"Not Found")</f>
        <v>Pooja Q.</v>
      </c>
    </row>
    <row r="842" spans="1:13">
      <c r="A842">
        <v>841</v>
      </c>
      <c r="B842">
        <v>521</v>
      </c>
      <c r="C842">
        <v>48</v>
      </c>
      <c r="D842" s="4">
        <v>2</v>
      </c>
      <c r="E842">
        <f>_xlfn.XLOOKUP(C842,products!A:A,products!D:D)</f>
        <v>7076</v>
      </c>
      <c r="F842">
        <f t="shared" si="26"/>
        <v>14152</v>
      </c>
      <c r="G842">
        <f>D842*(E842-_xlfn.XLOOKUP(C842,products!A:A,products!E:E))</f>
        <v>4670.16</v>
      </c>
      <c r="H842" s="6" t="str">
        <f>_xlfn.XLOOKUP(C842,products!A:A,products!C:C)</f>
        <v>Toys</v>
      </c>
      <c r="I842" s="6" t="str">
        <f>_xlfn.XLOOKUP(C842,products!A:A,products!B:B)</f>
        <v>Board Game</v>
      </c>
      <c r="J842" s="6">
        <f>_xlfn.XLOOKUP(B842,orders!A:A,orders!C:C)</f>
        <v>45823</v>
      </c>
      <c r="K842" s="6" t="str">
        <f t="shared" si="27"/>
        <v>Jun-2025</v>
      </c>
      <c r="L842" s="6">
        <f>_xlfn.XLOOKUP(B842,orders!A:A,orders!B:B)</f>
        <v>41</v>
      </c>
      <c r="M842" s="6" t="str">
        <f>_xlfn.XLOOKUP("C"&amp;TEXT(L842,"000"),customers!A:A,customers!B:B,"Not Found")</f>
        <v>Kiran W.</v>
      </c>
    </row>
    <row r="843" spans="1:13">
      <c r="A843">
        <v>842</v>
      </c>
      <c r="B843">
        <v>521</v>
      </c>
      <c r="C843">
        <v>11</v>
      </c>
      <c r="D843" s="4">
        <v>3</v>
      </c>
      <c r="E843">
        <f>_xlfn.XLOOKUP(C843,products!A:A,products!D:D)</f>
        <v>2007</v>
      </c>
      <c r="F843">
        <f t="shared" si="26"/>
        <v>6021</v>
      </c>
      <c r="G843">
        <f>D843*(E843-_xlfn.XLOOKUP(C843,products!A:A,products!E:E))</f>
        <v>2619.12</v>
      </c>
      <c r="H843" s="6" t="str">
        <f>_xlfn.XLOOKUP(C843,products!A:A,products!C:C)</f>
        <v>Fashion</v>
      </c>
      <c r="I843" s="6" t="str">
        <f>_xlfn.XLOOKUP(C843,products!A:A,products!B:B)</f>
        <v>T-Shirt</v>
      </c>
      <c r="J843" s="6">
        <f>_xlfn.XLOOKUP(B843,orders!A:A,orders!C:C)</f>
        <v>45823</v>
      </c>
      <c r="K843" s="6" t="str">
        <f t="shared" si="27"/>
        <v>Jun-2025</v>
      </c>
      <c r="L843" s="6">
        <f>_xlfn.XLOOKUP(B843,orders!A:A,orders!B:B)</f>
        <v>41</v>
      </c>
      <c r="M843" s="6" t="str">
        <f>_xlfn.XLOOKUP("C"&amp;TEXT(L843,"000"),customers!A:A,customers!B:B,"Not Found")</f>
        <v>Kiran W.</v>
      </c>
    </row>
    <row r="844" spans="1:13">
      <c r="A844">
        <v>843</v>
      </c>
      <c r="B844">
        <v>522</v>
      </c>
      <c r="C844">
        <v>5</v>
      </c>
      <c r="D844" s="4">
        <v>3</v>
      </c>
      <c r="E844">
        <f>_xlfn.XLOOKUP(C844,products!A:A,products!D:D)</f>
        <v>1185</v>
      </c>
      <c r="F844">
        <f t="shared" si="26"/>
        <v>3555</v>
      </c>
      <c r="G844">
        <f>D844*(E844-_xlfn.XLOOKUP(C844,products!A:A,products!E:E))</f>
        <v>1333.1399999999999</v>
      </c>
      <c r="H844" s="6" t="str">
        <f>_xlfn.XLOOKUP(C844,products!A:A,products!C:C)</f>
        <v>Electronics</v>
      </c>
      <c r="I844" s="6" t="str">
        <f>_xlfn.XLOOKUP(C844,products!A:A,products!B:B)</f>
        <v>Keyboard</v>
      </c>
      <c r="J844" s="6">
        <f>_xlfn.XLOOKUP(B844,orders!A:A,orders!C:C)</f>
        <v>45826</v>
      </c>
      <c r="K844" s="6" t="str">
        <f t="shared" si="27"/>
        <v>Jun-2025</v>
      </c>
      <c r="L844" s="6">
        <f>_xlfn.XLOOKUP(B844,orders!A:A,orders!B:B)</f>
        <v>78</v>
      </c>
      <c r="M844" s="6" t="str">
        <f>_xlfn.XLOOKUP("C"&amp;TEXT(L844,"000"),customers!A:A,customers!B:B,"Not Found")</f>
        <v>Nikhil R.</v>
      </c>
    </row>
    <row r="845" spans="1:13">
      <c r="A845">
        <v>844</v>
      </c>
      <c r="B845">
        <v>522</v>
      </c>
      <c r="C845">
        <v>18</v>
      </c>
      <c r="D845" s="4">
        <v>4</v>
      </c>
      <c r="E845">
        <f>_xlfn.XLOOKUP(C845,products!A:A,products!D:D)</f>
        <v>2966</v>
      </c>
      <c r="F845">
        <f t="shared" si="26"/>
        <v>11864</v>
      </c>
      <c r="G845">
        <f>D845*(E845-_xlfn.XLOOKUP(C845,products!A:A,products!E:E))</f>
        <v>3915.12</v>
      </c>
      <c r="H845" s="6" t="str">
        <f>_xlfn.XLOOKUP(C845,products!A:A,products!C:C)</f>
        <v>Fashion</v>
      </c>
      <c r="I845" s="6" t="str">
        <f>_xlfn.XLOOKUP(C845,products!A:A,products!B:B)</f>
        <v>Backpack</v>
      </c>
      <c r="J845" s="6">
        <f>_xlfn.XLOOKUP(B845,orders!A:A,orders!C:C)</f>
        <v>45826</v>
      </c>
      <c r="K845" s="6" t="str">
        <f t="shared" si="27"/>
        <v>Jun-2025</v>
      </c>
      <c r="L845" s="6">
        <f>_xlfn.XLOOKUP(B845,orders!A:A,orders!B:B)</f>
        <v>78</v>
      </c>
      <c r="M845" s="6" t="str">
        <f>_xlfn.XLOOKUP("C"&amp;TEXT(L845,"000"),customers!A:A,customers!B:B,"Not Found")</f>
        <v>Nikhil R.</v>
      </c>
    </row>
    <row r="846" spans="1:13">
      <c r="A846">
        <v>845</v>
      </c>
      <c r="B846">
        <v>523</v>
      </c>
      <c r="C846">
        <v>12</v>
      </c>
      <c r="D846" s="4">
        <v>4</v>
      </c>
      <c r="E846">
        <f>_xlfn.XLOOKUP(C846,products!A:A,products!D:D)</f>
        <v>2144</v>
      </c>
      <c r="F846">
        <f t="shared" si="26"/>
        <v>8576</v>
      </c>
      <c r="G846">
        <f>D846*(E846-_xlfn.XLOOKUP(C846,products!A:A,products!E:E))</f>
        <v>3601.92</v>
      </c>
      <c r="H846" s="6" t="str">
        <f>_xlfn.XLOOKUP(C846,products!A:A,products!C:C)</f>
        <v>Fashion</v>
      </c>
      <c r="I846" s="6" t="str">
        <f>_xlfn.XLOOKUP(C846,products!A:A,products!B:B)</f>
        <v>Jeans</v>
      </c>
      <c r="J846" s="6">
        <f>_xlfn.XLOOKUP(B846,orders!A:A,orders!C:C)</f>
        <v>45829</v>
      </c>
      <c r="K846" s="6" t="str">
        <f t="shared" si="27"/>
        <v>Jun-2025</v>
      </c>
      <c r="L846" s="6">
        <f>_xlfn.XLOOKUP(B846,orders!A:A,orders!B:B)</f>
        <v>115</v>
      </c>
      <c r="M846" s="6" t="str">
        <f>_xlfn.XLOOKUP("C"&amp;TEXT(L846,"000"),customers!A:A,customers!B:B,"Not Found")</f>
        <v>Vikram O.</v>
      </c>
    </row>
    <row r="847" spans="1:13">
      <c r="A847">
        <v>846</v>
      </c>
      <c r="B847">
        <v>523</v>
      </c>
      <c r="C847">
        <v>25</v>
      </c>
      <c r="D847" s="4">
        <v>1</v>
      </c>
      <c r="E847">
        <f>_xlfn.XLOOKUP(C847,products!A:A,products!D:D)</f>
        <v>3925</v>
      </c>
      <c r="F847">
        <f t="shared" si="26"/>
        <v>3925</v>
      </c>
      <c r="G847">
        <f>D847*(E847-_xlfn.XLOOKUP(C847,products!A:A,products!E:E))</f>
        <v>1471.88</v>
      </c>
      <c r="H847" s="6" t="str">
        <f>_xlfn.XLOOKUP(C847,products!A:A,products!C:C)</f>
        <v>Home Appliances</v>
      </c>
      <c r="I847" s="6" t="str">
        <f>_xlfn.XLOOKUP(C847,products!A:A,products!B:B)</f>
        <v>Vacuum Cleaner</v>
      </c>
      <c r="J847" s="6">
        <f>_xlfn.XLOOKUP(B847,orders!A:A,orders!C:C)</f>
        <v>45829</v>
      </c>
      <c r="K847" s="6" t="str">
        <f t="shared" si="27"/>
        <v>Jun-2025</v>
      </c>
      <c r="L847" s="6">
        <f>_xlfn.XLOOKUP(B847,orders!A:A,orders!B:B)</f>
        <v>115</v>
      </c>
      <c r="M847" s="6" t="str">
        <f>_xlfn.XLOOKUP("C"&amp;TEXT(L847,"000"),customers!A:A,customers!B:B,"Not Found")</f>
        <v>Vikram O.</v>
      </c>
    </row>
    <row r="848" spans="1:13">
      <c r="A848">
        <v>847</v>
      </c>
      <c r="B848">
        <v>524</v>
      </c>
      <c r="C848">
        <v>19</v>
      </c>
      <c r="D848" s="4">
        <v>1</v>
      </c>
      <c r="E848">
        <f>_xlfn.XLOOKUP(C848,products!A:A,products!D:D)</f>
        <v>3103</v>
      </c>
      <c r="F848">
        <f t="shared" si="26"/>
        <v>3103</v>
      </c>
      <c r="G848">
        <f>D848*(E848-_xlfn.XLOOKUP(C848,products!A:A,products!E:E))</f>
        <v>977.44</v>
      </c>
      <c r="H848" s="6" t="str">
        <f>_xlfn.XLOOKUP(C848,products!A:A,products!C:C)</f>
        <v>Fashion</v>
      </c>
      <c r="I848" s="6" t="str">
        <f>_xlfn.XLOOKUP(C848,products!A:A,products!B:B)</f>
        <v>Wallet</v>
      </c>
      <c r="J848" s="6">
        <f>_xlfn.XLOOKUP(B848,orders!A:A,orders!C:C)</f>
        <v>45832</v>
      </c>
      <c r="K848" s="6" t="str">
        <f t="shared" si="27"/>
        <v>Jun-2025</v>
      </c>
      <c r="L848" s="6">
        <f>_xlfn.XLOOKUP(B848,orders!A:A,orders!B:B)</f>
        <v>152</v>
      </c>
      <c r="M848" s="6" t="str">
        <f>_xlfn.XLOOKUP("C"&amp;TEXT(L848,"000"),customers!A:A,customers!B:B,"Not Found")</f>
        <v>Lakshmi Y.</v>
      </c>
    </row>
    <row r="849" spans="1:13">
      <c r="A849">
        <v>848</v>
      </c>
      <c r="B849">
        <v>524</v>
      </c>
      <c r="C849">
        <v>32</v>
      </c>
      <c r="D849" s="4">
        <v>2</v>
      </c>
      <c r="E849">
        <f>_xlfn.XLOOKUP(C849,products!A:A,products!D:D)</f>
        <v>4884</v>
      </c>
      <c r="F849">
        <f t="shared" si="26"/>
        <v>9768</v>
      </c>
      <c r="G849">
        <f>D849*(E849-_xlfn.XLOOKUP(C849,products!A:A,products!E:E))</f>
        <v>4102.5600000000004</v>
      </c>
      <c r="H849" s="6" t="str">
        <f>_xlfn.XLOOKUP(C849,products!A:A,products!C:C)</f>
        <v>Books</v>
      </c>
      <c r="I849" s="6" t="str">
        <f>_xlfn.XLOOKUP(C849,products!A:A,products!B:B)</f>
        <v>Notebook</v>
      </c>
      <c r="J849" s="6">
        <f>_xlfn.XLOOKUP(B849,orders!A:A,orders!C:C)</f>
        <v>45832</v>
      </c>
      <c r="K849" s="6" t="str">
        <f t="shared" si="27"/>
        <v>Jun-2025</v>
      </c>
      <c r="L849" s="6">
        <f>_xlfn.XLOOKUP(B849,orders!A:A,orders!B:B)</f>
        <v>152</v>
      </c>
      <c r="M849" s="6" t="str">
        <f>_xlfn.XLOOKUP("C"&amp;TEXT(L849,"000"),customers!A:A,customers!B:B,"Not Found")</f>
        <v>Lakshmi Y.</v>
      </c>
    </row>
    <row r="850" spans="1:13">
      <c r="A850">
        <v>849</v>
      </c>
      <c r="B850">
        <v>525</v>
      </c>
      <c r="C850">
        <v>26</v>
      </c>
      <c r="D850" s="4">
        <v>2</v>
      </c>
      <c r="E850">
        <f>_xlfn.XLOOKUP(C850,products!A:A,products!D:D)</f>
        <v>4062</v>
      </c>
      <c r="F850">
        <f t="shared" si="26"/>
        <v>8124</v>
      </c>
      <c r="G850">
        <f>D850*(E850-_xlfn.XLOOKUP(C850,products!A:A,products!E:E))</f>
        <v>2924.6400000000003</v>
      </c>
      <c r="H850" s="6" t="str">
        <f>_xlfn.XLOOKUP(C850,products!A:A,products!C:C)</f>
        <v>Home &amp; Kitchen</v>
      </c>
      <c r="I850" s="6" t="str">
        <f>_xlfn.XLOOKUP(C850,products!A:A,products!B:B)</f>
        <v>Bedsheet</v>
      </c>
      <c r="J850" s="6">
        <f>_xlfn.XLOOKUP(B850,orders!A:A,orders!C:C)</f>
        <v>45835</v>
      </c>
      <c r="K850" s="6" t="str">
        <f t="shared" si="27"/>
        <v>Jun-2025</v>
      </c>
      <c r="L850" s="6">
        <f>_xlfn.XLOOKUP(B850,orders!A:A,orders!B:B)</f>
        <v>189</v>
      </c>
      <c r="M850" s="6" t="str">
        <f>_xlfn.XLOOKUP("C"&amp;TEXT(L850,"000"),customers!A:A,customers!B:B,"Not Found")</f>
        <v>Swathi L.</v>
      </c>
    </row>
    <row r="851" spans="1:13">
      <c r="A851">
        <v>850</v>
      </c>
      <c r="B851">
        <v>525</v>
      </c>
      <c r="C851">
        <v>39</v>
      </c>
      <c r="D851" s="4">
        <v>3</v>
      </c>
      <c r="E851">
        <f>_xlfn.XLOOKUP(C851,products!A:A,products!D:D)</f>
        <v>5843</v>
      </c>
      <c r="F851">
        <f t="shared" si="26"/>
        <v>17529</v>
      </c>
      <c r="G851">
        <f>D851*(E851-_xlfn.XLOOKUP(C851,products!A:A,products!E:E))</f>
        <v>5521.62</v>
      </c>
      <c r="H851" s="6" t="str">
        <f>_xlfn.XLOOKUP(C851,products!A:A,products!C:C)</f>
        <v>Sports</v>
      </c>
      <c r="I851" s="6" t="str">
        <f>_xlfn.XLOOKUP(C851,products!A:A,products!B:B)</f>
        <v>Yoga Mat</v>
      </c>
      <c r="J851" s="6">
        <f>_xlfn.XLOOKUP(B851,orders!A:A,orders!C:C)</f>
        <v>45835</v>
      </c>
      <c r="K851" s="6" t="str">
        <f t="shared" si="27"/>
        <v>Jun-2025</v>
      </c>
      <c r="L851" s="6">
        <f>_xlfn.XLOOKUP(B851,orders!A:A,orders!B:B)</f>
        <v>189</v>
      </c>
      <c r="M851" s="6" t="str">
        <f>_xlfn.XLOOKUP("C"&amp;TEXT(L851,"000"),customers!A:A,customers!B:B,"Not Found")</f>
        <v>Swathi L.</v>
      </c>
    </row>
    <row r="852" spans="1:13">
      <c r="A852">
        <v>851</v>
      </c>
      <c r="B852">
        <v>526</v>
      </c>
      <c r="C852">
        <v>33</v>
      </c>
      <c r="D852" s="4">
        <v>3</v>
      </c>
      <c r="E852">
        <f>_xlfn.XLOOKUP(C852,products!A:A,products!D:D)</f>
        <v>5021</v>
      </c>
      <c r="F852">
        <f t="shared" si="26"/>
        <v>15063</v>
      </c>
      <c r="G852">
        <f>D852*(E852-_xlfn.XLOOKUP(C852,products!A:A,products!E:E))</f>
        <v>6100.5</v>
      </c>
      <c r="H852" s="6" t="str">
        <f>_xlfn.XLOOKUP(C852,products!A:A,products!C:C)</f>
        <v>Books</v>
      </c>
      <c r="I852" s="6" t="str">
        <f>_xlfn.XLOOKUP(C852,products!A:A,products!B:B)</f>
        <v>Pen Set</v>
      </c>
      <c r="J852" s="6">
        <f>_xlfn.XLOOKUP(B852,orders!A:A,orders!C:C)</f>
        <v>45838</v>
      </c>
      <c r="K852" s="6" t="str">
        <f t="shared" si="27"/>
        <v>Jun-2025</v>
      </c>
      <c r="L852" s="6">
        <f>_xlfn.XLOOKUP(B852,orders!A:A,orders!B:B)</f>
        <v>226</v>
      </c>
      <c r="M852" s="6" t="str">
        <f>_xlfn.XLOOKUP("C"&amp;TEXT(L852,"000"),customers!A:A,customers!B:B,"Not Found")</f>
        <v>Rohit L.</v>
      </c>
    </row>
    <row r="853" spans="1:13">
      <c r="A853">
        <v>852</v>
      </c>
      <c r="B853">
        <v>526</v>
      </c>
      <c r="C853">
        <v>46</v>
      </c>
      <c r="D853" s="4">
        <v>4</v>
      </c>
      <c r="E853">
        <f>_xlfn.XLOOKUP(C853,products!A:A,products!D:D)</f>
        <v>6802</v>
      </c>
      <c r="F853">
        <f t="shared" si="26"/>
        <v>27208</v>
      </c>
      <c r="G853">
        <f>D853*(E853-_xlfn.XLOOKUP(C853,products!A:A,products!E:E))</f>
        <v>9794.880000000001</v>
      </c>
      <c r="H853" s="6" t="str">
        <f>_xlfn.XLOOKUP(C853,products!A:A,products!C:C)</f>
        <v>Toys</v>
      </c>
      <c r="I853" s="6" t="str">
        <f>_xlfn.XLOOKUP(C853,products!A:A,products!B:B)</f>
        <v>Toys Car</v>
      </c>
      <c r="J853" s="6">
        <f>_xlfn.XLOOKUP(B853,orders!A:A,orders!C:C)</f>
        <v>45838</v>
      </c>
      <c r="K853" s="6" t="str">
        <f t="shared" si="27"/>
        <v>Jun-2025</v>
      </c>
      <c r="L853" s="6">
        <f>_xlfn.XLOOKUP(B853,orders!A:A,orders!B:B)</f>
        <v>226</v>
      </c>
      <c r="M853" s="6" t="str">
        <f>_xlfn.XLOOKUP("C"&amp;TEXT(L853,"000"),customers!A:A,customers!B:B,"Not Found")</f>
        <v>Rohit L.</v>
      </c>
    </row>
    <row r="854" spans="1:13">
      <c r="A854">
        <v>853</v>
      </c>
      <c r="B854">
        <v>527</v>
      </c>
      <c r="C854">
        <v>40</v>
      </c>
      <c r="D854" s="4">
        <v>4</v>
      </c>
      <c r="E854">
        <f>_xlfn.XLOOKUP(C854,products!A:A,products!D:D)</f>
        <v>5980</v>
      </c>
      <c r="F854">
        <f t="shared" si="26"/>
        <v>23920</v>
      </c>
      <c r="G854">
        <f>D854*(E854-_xlfn.XLOOKUP(C854,products!A:A,products!E:E))</f>
        <v>10764</v>
      </c>
      <c r="H854" s="6" t="str">
        <f>_xlfn.XLOOKUP(C854,products!A:A,products!C:C)</f>
        <v>Sports</v>
      </c>
      <c r="I854" s="6" t="str">
        <f>_xlfn.XLOOKUP(C854,products!A:A,products!B:B)</f>
        <v>Dumbbells</v>
      </c>
      <c r="J854" s="6">
        <f>_xlfn.XLOOKUP(B854,orders!A:A,orders!C:C)</f>
        <v>45841</v>
      </c>
      <c r="K854" s="6" t="str">
        <f t="shared" si="27"/>
        <v>Jul-2025</v>
      </c>
      <c r="L854" s="6">
        <f>_xlfn.XLOOKUP(B854,orders!A:A,orders!B:B)</f>
        <v>263</v>
      </c>
      <c r="M854" s="6" t="str">
        <f>_xlfn.XLOOKUP("C"&amp;TEXT(L854,"000"),customers!A:A,customers!B:B,"Not Found")</f>
        <v>Neha Q.</v>
      </c>
    </row>
    <row r="855" spans="1:13">
      <c r="A855">
        <v>854</v>
      </c>
      <c r="B855">
        <v>527</v>
      </c>
      <c r="C855">
        <v>3</v>
      </c>
      <c r="D855" s="4">
        <v>1</v>
      </c>
      <c r="E855">
        <f>_xlfn.XLOOKUP(C855,products!A:A,products!D:D)</f>
        <v>911</v>
      </c>
      <c r="F855">
        <f t="shared" si="26"/>
        <v>911</v>
      </c>
      <c r="G855">
        <f>D855*(E855-_xlfn.XLOOKUP(C855,products!A:A,products!E:E))</f>
        <v>368.95000000000005</v>
      </c>
      <c r="H855" s="6" t="str">
        <f>_xlfn.XLOOKUP(C855,products!A:A,products!C:C)</f>
        <v>Electronics</v>
      </c>
      <c r="I855" s="6" t="str">
        <f>_xlfn.XLOOKUP(C855,products!A:A,products!B:B)</f>
        <v>Headphones</v>
      </c>
      <c r="J855" s="6">
        <f>_xlfn.XLOOKUP(B855,orders!A:A,orders!C:C)</f>
        <v>45841</v>
      </c>
      <c r="K855" s="6" t="str">
        <f t="shared" si="27"/>
        <v>Jul-2025</v>
      </c>
      <c r="L855" s="6">
        <f>_xlfn.XLOOKUP(B855,orders!A:A,orders!B:B)</f>
        <v>263</v>
      </c>
      <c r="M855" s="6" t="str">
        <f>_xlfn.XLOOKUP("C"&amp;TEXT(L855,"000"),customers!A:A,customers!B:B,"Not Found")</f>
        <v>Neha Q.</v>
      </c>
    </row>
    <row r="856" spans="1:13">
      <c r="A856">
        <v>855</v>
      </c>
      <c r="B856">
        <v>528</v>
      </c>
      <c r="C856">
        <v>47</v>
      </c>
      <c r="D856" s="4">
        <v>1</v>
      </c>
      <c r="E856">
        <f>_xlfn.XLOOKUP(C856,products!A:A,products!D:D)</f>
        <v>6939</v>
      </c>
      <c r="F856">
        <f t="shared" si="26"/>
        <v>6939</v>
      </c>
      <c r="G856">
        <f>D856*(E856-_xlfn.XLOOKUP(C856,products!A:A,products!E:E))</f>
        <v>2393.9499999999998</v>
      </c>
      <c r="H856" s="6" t="str">
        <f>_xlfn.XLOOKUP(C856,products!A:A,products!C:C)</f>
        <v>Toys</v>
      </c>
      <c r="I856" s="6" t="str">
        <f>_xlfn.XLOOKUP(C856,products!A:A,products!B:B)</f>
        <v>Puzzle</v>
      </c>
      <c r="J856" s="6">
        <f>_xlfn.XLOOKUP(B856,orders!A:A,orders!C:C)</f>
        <v>45844</v>
      </c>
      <c r="K856" s="6" t="str">
        <f t="shared" si="27"/>
        <v>Jul-2025</v>
      </c>
      <c r="L856" s="6">
        <f>_xlfn.XLOOKUP(B856,orders!A:A,orders!B:B)</f>
        <v>300</v>
      </c>
      <c r="M856" s="6" t="str">
        <f>_xlfn.XLOOKUP("C"&amp;TEXT(L856,"000"),customers!A:A,customers!B:B,"Not Found")</f>
        <v>Lakshmi V.</v>
      </c>
    </row>
    <row r="857" spans="1:13">
      <c r="A857">
        <v>856</v>
      </c>
      <c r="B857">
        <v>528</v>
      </c>
      <c r="C857">
        <v>10</v>
      </c>
      <c r="D857" s="4">
        <v>2</v>
      </c>
      <c r="E857">
        <f>_xlfn.XLOOKUP(C857,products!A:A,products!D:D)</f>
        <v>1870</v>
      </c>
      <c r="F857">
        <f t="shared" si="26"/>
        <v>3740</v>
      </c>
      <c r="G857">
        <f>D857*(E857-_xlfn.XLOOKUP(C857,products!A:A,products!E:E))</f>
        <v>1683</v>
      </c>
      <c r="H857" s="6" t="str">
        <f>_xlfn.XLOOKUP(C857,products!A:A,products!C:C)</f>
        <v>Electronics</v>
      </c>
      <c r="I857" s="6" t="str">
        <f>_xlfn.XLOOKUP(C857,products!A:A,products!B:B)</f>
        <v>Earbuds</v>
      </c>
      <c r="J857" s="6">
        <f>_xlfn.XLOOKUP(B857,orders!A:A,orders!C:C)</f>
        <v>45844</v>
      </c>
      <c r="K857" s="6" t="str">
        <f t="shared" si="27"/>
        <v>Jul-2025</v>
      </c>
      <c r="L857" s="6">
        <f>_xlfn.XLOOKUP(B857,orders!A:A,orders!B:B)</f>
        <v>300</v>
      </c>
      <c r="M857" s="6" t="str">
        <f>_xlfn.XLOOKUP("C"&amp;TEXT(L857,"000"),customers!A:A,customers!B:B,"Not Found")</f>
        <v>Lakshmi V.</v>
      </c>
    </row>
    <row r="858" spans="1:13">
      <c r="A858">
        <v>857</v>
      </c>
      <c r="B858">
        <v>529</v>
      </c>
      <c r="C858">
        <v>4</v>
      </c>
      <c r="D858" s="4">
        <v>2</v>
      </c>
      <c r="E858">
        <f>_xlfn.XLOOKUP(C858,products!A:A,products!D:D)</f>
        <v>1048</v>
      </c>
      <c r="F858">
        <f t="shared" si="26"/>
        <v>2096</v>
      </c>
      <c r="G858">
        <f>D858*(E858-_xlfn.XLOOKUP(C858,products!A:A,products!E:E))</f>
        <v>817.44</v>
      </c>
      <c r="H858" s="6" t="str">
        <f>_xlfn.XLOOKUP(C858,products!A:A,products!C:C)</f>
        <v>Electronics</v>
      </c>
      <c r="I858" s="6" t="str">
        <f>_xlfn.XLOOKUP(C858,products!A:A,products!B:B)</f>
        <v>Smart Watch</v>
      </c>
      <c r="J858" s="6">
        <f>_xlfn.XLOOKUP(B858,orders!A:A,orders!C:C)</f>
        <v>45847</v>
      </c>
      <c r="K858" s="6" t="str">
        <f t="shared" si="27"/>
        <v>Jul-2025</v>
      </c>
      <c r="L858" s="6">
        <f>_xlfn.XLOOKUP(B858,orders!A:A,orders!B:B)</f>
        <v>337</v>
      </c>
      <c r="M858" s="6" t="str">
        <f>_xlfn.XLOOKUP("C"&amp;TEXT(L858,"000"),customers!A:A,customers!B:B,"Not Found")</f>
        <v>Manoj Y.</v>
      </c>
    </row>
    <row r="859" spans="1:13">
      <c r="A859">
        <v>858</v>
      </c>
      <c r="B859">
        <v>529</v>
      </c>
      <c r="C859">
        <v>17</v>
      </c>
      <c r="D859" s="4">
        <v>3</v>
      </c>
      <c r="E859">
        <f>_xlfn.XLOOKUP(C859,products!A:A,products!D:D)</f>
        <v>2829</v>
      </c>
      <c r="F859">
        <f t="shared" si="26"/>
        <v>8487</v>
      </c>
      <c r="G859">
        <f>D859*(E859-_xlfn.XLOOKUP(C859,products!A:A,products!E:E))</f>
        <v>2928</v>
      </c>
      <c r="H859" s="6" t="str">
        <f>_xlfn.XLOOKUP(C859,products!A:A,products!C:C)</f>
        <v>Fashion</v>
      </c>
      <c r="I859" s="6" t="str">
        <f>_xlfn.XLOOKUP(C859,products!A:A,products!B:B)</f>
        <v>Dress</v>
      </c>
      <c r="J859" s="6">
        <f>_xlfn.XLOOKUP(B859,orders!A:A,orders!C:C)</f>
        <v>45847</v>
      </c>
      <c r="K859" s="6" t="str">
        <f t="shared" si="27"/>
        <v>Jul-2025</v>
      </c>
      <c r="L859" s="6">
        <f>_xlfn.XLOOKUP(B859,orders!A:A,orders!B:B)</f>
        <v>337</v>
      </c>
      <c r="M859" s="6" t="str">
        <f>_xlfn.XLOOKUP("C"&amp;TEXT(L859,"000"),customers!A:A,customers!B:B,"Not Found")</f>
        <v>Manoj Y.</v>
      </c>
    </row>
    <row r="860" spans="1:13">
      <c r="A860">
        <v>859</v>
      </c>
      <c r="B860">
        <v>530</v>
      </c>
      <c r="C860">
        <v>11</v>
      </c>
      <c r="D860" s="4">
        <v>3</v>
      </c>
      <c r="E860">
        <f>_xlfn.XLOOKUP(C860,products!A:A,products!D:D)</f>
        <v>2007</v>
      </c>
      <c r="F860">
        <f t="shared" si="26"/>
        <v>6021</v>
      </c>
      <c r="G860">
        <f>D860*(E860-_xlfn.XLOOKUP(C860,products!A:A,products!E:E))</f>
        <v>2619.12</v>
      </c>
      <c r="H860" s="6" t="str">
        <f>_xlfn.XLOOKUP(C860,products!A:A,products!C:C)</f>
        <v>Fashion</v>
      </c>
      <c r="I860" s="6" t="str">
        <f>_xlfn.XLOOKUP(C860,products!A:A,products!B:B)</f>
        <v>T-Shirt</v>
      </c>
      <c r="J860" s="6">
        <f>_xlfn.XLOOKUP(B860,orders!A:A,orders!C:C)</f>
        <v>45850</v>
      </c>
      <c r="K860" s="6" t="str">
        <f t="shared" si="27"/>
        <v>Jul-2025</v>
      </c>
      <c r="L860" s="6">
        <f>_xlfn.XLOOKUP(B860,orders!A:A,orders!B:B)</f>
        <v>374</v>
      </c>
      <c r="M860" s="6" t="str">
        <f>_xlfn.XLOOKUP("C"&amp;TEXT(L860,"000"),customers!A:A,customers!B:B,"Not Found")</f>
        <v>Anjali Z.</v>
      </c>
    </row>
    <row r="861" spans="1:13">
      <c r="A861">
        <v>860</v>
      </c>
      <c r="B861">
        <v>530</v>
      </c>
      <c r="C861">
        <v>24</v>
      </c>
      <c r="D861" s="4">
        <v>4</v>
      </c>
      <c r="E861">
        <f>_xlfn.XLOOKUP(C861,products!A:A,products!D:D)</f>
        <v>3788</v>
      </c>
      <c r="F861">
        <f t="shared" si="26"/>
        <v>15152</v>
      </c>
      <c r="G861">
        <f>D861*(E861-_xlfn.XLOOKUP(C861,products!A:A,products!E:E))</f>
        <v>5909.2800000000007</v>
      </c>
      <c r="H861" s="6" t="str">
        <f>_xlfn.XLOOKUP(C861,products!A:A,products!C:C)</f>
        <v>Home Appliances</v>
      </c>
      <c r="I861" s="6" t="str">
        <f>_xlfn.XLOOKUP(C861,products!A:A,products!B:B)</f>
        <v>Iron</v>
      </c>
      <c r="J861" s="6">
        <f>_xlfn.XLOOKUP(B861,orders!A:A,orders!C:C)</f>
        <v>45850</v>
      </c>
      <c r="K861" s="6" t="str">
        <f t="shared" si="27"/>
        <v>Jul-2025</v>
      </c>
      <c r="L861" s="6">
        <f>_xlfn.XLOOKUP(B861,orders!A:A,orders!B:B)</f>
        <v>374</v>
      </c>
      <c r="M861" s="6" t="str">
        <f>_xlfn.XLOOKUP("C"&amp;TEXT(L861,"000"),customers!A:A,customers!B:B,"Not Found")</f>
        <v>Anjali Z.</v>
      </c>
    </row>
    <row r="862" spans="1:13">
      <c r="A862">
        <v>861</v>
      </c>
      <c r="B862">
        <v>531</v>
      </c>
      <c r="C862">
        <v>18</v>
      </c>
      <c r="D862" s="4">
        <v>4</v>
      </c>
      <c r="E862">
        <f>_xlfn.XLOOKUP(C862,products!A:A,products!D:D)</f>
        <v>2966</v>
      </c>
      <c r="F862">
        <f t="shared" si="26"/>
        <v>11864</v>
      </c>
      <c r="G862">
        <f>D862*(E862-_xlfn.XLOOKUP(C862,products!A:A,products!E:E))</f>
        <v>3915.12</v>
      </c>
      <c r="H862" s="6" t="str">
        <f>_xlfn.XLOOKUP(C862,products!A:A,products!C:C)</f>
        <v>Fashion</v>
      </c>
      <c r="I862" s="6" t="str">
        <f>_xlfn.XLOOKUP(C862,products!A:A,products!B:B)</f>
        <v>Backpack</v>
      </c>
      <c r="J862" s="6">
        <f>_xlfn.XLOOKUP(B862,orders!A:A,orders!C:C)</f>
        <v>45853</v>
      </c>
      <c r="K862" s="6" t="str">
        <f t="shared" si="27"/>
        <v>Jul-2025</v>
      </c>
      <c r="L862" s="6">
        <f>_xlfn.XLOOKUP(B862,orders!A:A,orders!B:B)</f>
        <v>411</v>
      </c>
      <c r="M862" s="6" t="str">
        <f>_xlfn.XLOOKUP("C"&amp;TEXT(L862,"000"),customers!A:A,customers!B:B,"Not Found")</f>
        <v>Vikram U.</v>
      </c>
    </row>
    <row r="863" spans="1:13">
      <c r="A863">
        <v>862</v>
      </c>
      <c r="B863">
        <v>531</v>
      </c>
      <c r="C863">
        <v>31</v>
      </c>
      <c r="D863" s="4">
        <v>1</v>
      </c>
      <c r="E863">
        <f>_xlfn.XLOOKUP(C863,products!A:A,products!D:D)</f>
        <v>4747</v>
      </c>
      <c r="F863">
        <f t="shared" si="26"/>
        <v>4747</v>
      </c>
      <c r="G863">
        <f>D863*(E863-_xlfn.XLOOKUP(C863,products!A:A,products!E:E))</f>
        <v>2064.94</v>
      </c>
      <c r="H863" s="6" t="str">
        <f>_xlfn.XLOOKUP(C863,products!A:A,products!C:C)</f>
        <v>Books</v>
      </c>
      <c r="I863" s="6" t="str">
        <f>_xlfn.XLOOKUP(C863,products!A:A,products!B:B)</f>
        <v>Book</v>
      </c>
      <c r="J863" s="6">
        <f>_xlfn.XLOOKUP(B863,orders!A:A,orders!C:C)</f>
        <v>45853</v>
      </c>
      <c r="K863" s="6" t="str">
        <f t="shared" si="27"/>
        <v>Jul-2025</v>
      </c>
      <c r="L863" s="6">
        <f>_xlfn.XLOOKUP(B863,orders!A:A,orders!B:B)</f>
        <v>411</v>
      </c>
      <c r="M863" s="6" t="str">
        <f>_xlfn.XLOOKUP("C"&amp;TEXT(L863,"000"),customers!A:A,customers!B:B,"Not Found")</f>
        <v>Vikram U.</v>
      </c>
    </row>
    <row r="864" spans="1:13">
      <c r="A864">
        <v>863</v>
      </c>
      <c r="B864">
        <v>532</v>
      </c>
      <c r="C864">
        <v>25</v>
      </c>
      <c r="D864" s="4">
        <v>1</v>
      </c>
      <c r="E864">
        <f>_xlfn.XLOOKUP(C864,products!A:A,products!D:D)</f>
        <v>3925</v>
      </c>
      <c r="F864">
        <f t="shared" si="26"/>
        <v>3925</v>
      </c>
      <c r="G864">
        <f>D864*(E864-_xlfn.XLOOKUP(C864,products!A:A,products!E:E))</f>
        <v>1471.88</v>
      </c>
      <c r="H864" s="6" t="str">
        <f>_xlfn.XLOOKUP(C864,products!A:A,products!C:C)</f>
        <v>Home Appliances</v>
      </c>
      <c r="I864" s="6" t="str">
        <f>_xlfn.XLOOKUP(C864,products!A:A,products!B:B)</f>
        <v>Vacuum Cleaner</v>
      </c>
      <c r="J864" s="6">
        <f>_xlfn.XLOOKUP(B864,orders!A:A,orders!C:C)</f>
        <v>45856</v>
      </c>
      <c r="K864" s="6" t="str">
        <f t="shared" si="27"/>
        <v>Jul-2025</v>
      </c>
      <c r="L864" s="6">
        <f>_xlfn.XLOOKUP(B864,orders!A:A,orders!B:B)</f>
        <v>448</v>
      </c>
      <c r="M864" s="6" t="str">
        <f>_xlfn.XLOOKUP("C"&amp;TEXT(L864,"000"),customers!A:A,customers!B:B,"Not Found")</f>
        <v>Amit K.</v>
      </c>
    </row>
    <row r="865" spans="1:13">
      <c r="A865">
        <v>864</v>
      </c>
      <c r="B865">
        <v>532</v>
      </c>
      <c r="C865">
        <v>38</v>
      </c>
      <c r="D865" s="4">
        <v>2</v>
      </c>
      <c r="E865">
        <f>_xlfn.XLOOKUP(C865,products!A:A,products!D:D)</f>
        <v>5706</v>
      </c>
      <c r="F865">
        <f t="shared" si="26"/>
        <v>11412</v>
      </c>
      <c r="G865">
        <f>D865*(E865-_xlfn.XLOOKUP(C865,products!A:A,products!E:E))</f>
        <v>3765.96</v>
      </c>
      <c r="H865" s="6" t="str">
        <f>_xlfn.XLOOKUP(C865,products!A:A,products!C:C)</f>
        <v>Sports</v>
      </c>
      <c r="I865" s="6" t="str">
        <f>_xlfn.XLOOKUP(C865,products!A:A,products!B:B)</f>
        <v>Badminton Racket</v>
      </c>
      <c r="J865" s="6">
        <f>_xlfn.XLOOKUP(B865,orders!A:A,orders!C:C)</f>
        <v>45856</v>
      </c>
      <c r="K865" s="6" t="str">
        <f t="shared" si="27"/>
        <v>Jul-2025</v>
      </c>
      <c r="L865" s="6">
        <f>_xlfn.XLOOKUP(B865,orders!A:A,orders!B:B)</f>
        <v>448</v>
      </c>
      <c r="M865" s="6" t="str">
        <f>_xlfn.XLOOKUP("C"&amp;TEXT(L865,"000"),customers!A:A,customers!B:B,"Not Found")</f>
        <v>Amit K.</v>
      </c>
    </row>
    <row r="866" spans="1:13">
      <c r="A866">
        <v>865</v>
      </c>
      <c r="B866">
        <v>533</v>
      </c>
      <c r="C866">
        <v>32</v>
      </c>
      <c r="D866" s="4">
        <v>2</v>
      </c>
      <c r="E866">
        <f>_xlfn.XLOOKUP(C866,products!A:A,products!D:D)</f>
        <v>4884</v>
      </c>
      <c r="F866">
        <f t="shared" si="26"/>
        <v>9768</v>
      </c>
      <c r="G866">
        <f>D866*(E866-_xlfn.XLOOKUP(C866,products!A:A,products!E:E))</f>
        <v>4102.5600000000004</v>
      </c>
      <c r="H866" s="6" t="str">
        <f>_xlfn.XLOOKUP(C866,products!A:A,products!C:C)</f>
        <v>Books</v>
      </c>
      <c r="I866" s="6" t="str">
        <f>_xlfn.XLOOKUP(C866,products!A:A,products!B:B)</f>
        <v>Notebook</v>
      </c>
      <c r="J866" s="6">
        <f>_xlfn.XLOOKUP(B866,orders!A:A,orders!C:C)</f>
        <v>45859</v>
      </c>
      <c r="K866" s="6" t="str">
        <f t="shared" si="27"/>
        <v>Jul-2025</v>
      </c>
      <c r="L866" s="6">
        <f>_xlfn.XLOOKUP(B866,orders!A:A,orders!B:B)</f>
        <v>485</v>
      </c>
      <c r="M866" s="6" t="str">
        <f>_xlfn.XLOOKUP("C"&amp;TEXT(L866,"000"),customers!A:A,customers!B:B,"Not Found")</f>
        <v>Lakshmi Q.</v>
      </c>
    </row>
    <row r="867" spans="1:13">
      <c r="A867">
        <v>866</v>
      </c>
      <c r="B867">
        <v>533</v>
      </c>
      <c r="C867">
        <v>45</v>
      </c>
      <c r="D867" s="4">
        <v>3</v>
      </c>
      <c r="E867">
        <f>_xlfn.XLOOKUP(C867,products!A:A,products!D:D)</f>
        <v>6665</v>
      </c>
      <c r="F867">
        <f t="shared" si="26"/>
        <v>19995</v>
      </c>
      <c r="G867">
        <f>D867*(E867-_xlfn.XLOOKUP(C867,products!A:A,products!E:E))</f>
        <v>7498.14</v>
      </c>
      <c r="H867" s="6" t="str">
        <f>_xlfn.XLOOKUP(C867,products!A:A,products!C:C)</f>
        <v>Beauty</v>
      </c>
      <c r="I867" s="6" t="str">
        <f>_xlfn.XLOOKUP(C867,products!A:A,products!B:B)</f>
        <v>Sunscreen</v>
      </c>
      <c r="J867" s="6">
        <f>_xlfn.XLOOKUP(B867,orders!A:A,orders!C:C)</f>
        <v>45859</v>
      </c>
      <c r="K867" s="6" t="str">
        <f t="shared" si="27"/>
        <v>Jul-2025</v>
      </c>
      <c r="L867" s="6">
        <f>_xlfn.XLOOKUP(B867,orders!A:A,orders!B:B)</f>
        <v>485</v>
      </c>
      <c r="M867" s="6" t="str">
        <f>_xlfn.XLOOKUP("C"&amp;TEXT(L867,"000"),customers!A:A,customers!B:B,"Not Found")</f>
        <v>Lakshmi Q.</v>
      </c>
    </row>
    <row r="868" spans="1:13">
      <c r="A868">
        <v>867</v>
      </c>
      <c r="B868">
        <v>534</v>
      </c>
      <c r="C868">
        <v>39</v>
      </c>
      <c r="D868" s="4">
        <v>3</v>
      </c>
      <c r="E868">
        <f>_xlfn.XLOOKUP(C868,products!A:A,products!D:D)</f>
        <v>5843</v>
      </c>
      <c r="F868">
        <f t="shared" si="26"/>
        <v>17529</v>
      </c>
      <c r="G868">
        <f>D868*(E868-_xlfn.XLOOKUP(C868,products!A:A,products!E:E))</f>
        <v>5521.62</v>
      </c>
      <c r="H868" s="6" t="str">
        <f>_xlfn.XLOOKUP(C868,products!A:A,products!C:C)</f>
        <v>Sports</v>
      </c>
      <c r="I868" s="6" t="str">
        <f>_xlfn.XLOOKUP(C868,products!A:A,products!B:B)</f>
        <v>Yoga Mat</v>
      </c>
      <c r="J868" s="6">
        <f>_xlfn.XLOOKUP(B868,orders!A:A,orders!C:C)</f>
        <v>45862</v>
      </c>
      <c r="K868" s="6" t="str">
        <f t="shared" si="27"/>
        <v>Jul-2025</v>
      </c>
      <c r="L868" s="6">
        <f>_xlfn.XLOOKUP(B868,orders!A:A,orders!B:B)</f>
        <v>22</v>
      </c>
      <c r="M868" s="6" t="str">
        <f>_xlfn.XLOOKUP("C"&amp;TEXT(L868,"000"),customers!A:A,customers!B:B,"Not Found")</f>
        <v>Kavya S.</v>
      </c>
    </row>
    <row r="869" spans="1:13">
      <c r="A869">
        <v>868</v>
      </c>
      <c r="B869">
        <v>534</v>
      </c>
      <c r="C869">
        <v>2</v>
      </c>
      <c r="D869" s="4">
        <v>4</v>
      </c>
      <c r="E869">
        <f>_xlfn.XLOOKUP(C869,products!A:A,products!D:D)</f>
        <v>774</v>
      </c>
      <c r="F869">
        <f t="shared" si="26"/>
        <v>3096</v>
      </c>
      <c r="G869">
        <f>D869*(E869-_xlfn.XLOOKUP(C869,products!A:A,products!E:E))</f>
        <v>1300.32</v>
      </c>
      <c r="H869" s="6" t="str">
        <f>_xlfn.XLOOKUP(C869,products!A:A,products!C:C)</f>
        <v>Electronics</v>
      </c>
      <c r="I869" s="6" t="str">
        <f>_xlfn.XLOOKUP(C869,products!A:A,products!B:B)</f>
        <v>Mobile</v>
      </c>
      <c r="J869" s="6">
        <f>_xlfn.XLOOKUP(B869,orders!A:A,orders!C:C)</f>
        <v>45862</v>
      </c>
      <c r="K869" s="6" t="str">
        <f t="shared" si="27"/>
        <v>Jul-2025</v>
      </c>
      <c r="L869" s="6">
        <f>_xlfn.XLOOKUP(B869,orders!A:A,orders!B:B)</f>
        <v>22</v>
      </c>
      <c r="M869" s="6" t="str">
        <f>_xlfn.XLOOKUP("C"&amp;TEXT(L869,"000"),customers!A:A,customers!B:B,"Not Found")</f>
        <v>Kavya S.</v>
      </c>
    </row>
    <row r="870" spans="1:13">
      <c r="A870">
        <v>869</v>
      </c>
      <c r="B870">
        <v>535</v>
      </c>
      <c r="C870">
        <v>46</v>
      </c>
      <c r="D870" s="4">
        <v>4</v>
      </c>
      <c r="E870">
        <f>_xlfn.XLOOKUP(C870,products!A:A,products!D:D)</f>
        <v>6802</v>
      </c>
      <c r="F870">
        <f t="shared" si="26"/>
        <v>27208</v>
      </c>
      <c r="G870">
        <f>D870*(E870-_xlfn.XLOOKUP(C870,products!A:A,products!E:E))</f>
        <v>9794.880000000001</v>
      </c>
      <c r="H870" s="6" t="str">
        <f>_xlfn.XLOOKUP(C870,products!A:A,products!C:C)</f>
        <v>Toys</v>
      </c>
      <c r="I870" s="6" t="str">
        <f>_xlfn.XLOOKUP(C870,products!A:A,products!B:B)</f>
        <v>Toys Car</v>
      </c>
      <c r="J870" s="6">
        <f>_xlfn.XLOOKUP(B870,orders!A:A,orders!C:C)</f>
        <v>45865</v>
      </c>
      <c r="K870" s="6" t="str">
        <f t="shared" si="27"/>
        <v>Jul-2025</v>
      </c>
      <c r="L870" s="6">
        <f>_xlfn.XLOOKUP(B870,orders!A:A,orders!B:B)</f>
        <v>59</v>
      </c>
      <c r="M870" s="6" t="str">
        <f>_xlfn.XLOOKUP("C"&amp;TEXT(L870,"000"),customers!A:A,customers!B:B,"Not Found")</f>
        <v>Manoj F.</v>
      </c>
    </row>
    <row r="871" spans="1:13">
      <c r="A871">
        <v>870</v>
      </c>
      <c r="B871">
        <v>535</v>
      </c>
      <c r="C871">
        <v>9</v>
      </c>
      <c r="D871" s="4">
        <v>1</v>
      </c>
      <c r="E871">
        <f>_xlfn.XLOOKUP(C871,products!A:A,products!D:D)</f>
        <v>1733</v>
      </c>
      <c r="F871">
        <f t="shared" si="26"/>
        <v>1733</v>
      </c>
      <c r="G871">
        <f>D871*(E871-_xlfn.XLOOKUP(C871,products!A:A,products!E:E))</f>
        <v>545.8900000000001</v>
      </c>
      <c r="H871" s="6" t="str">
        <f>_xlfn.XLOOKUP(C871,products!A:A,products!C:C)</f>
        <v>Electronics</v>
      </c>
      <c r="I871" s="6" t="str">
        <f>_xlfn.XLOOKUP(C871,products!A:A,products!B:B)</f>
        <v>Power Bank</v>
      </c>
      <c r="J871" s="6">
        <f>_xlfn.XLOOKUP(B871,orders!A:A,orders!C:C)</f>
        <v>45865</v>
      </c>
      <c r="K871" s="6" t="str">
        <f t="shared" si="27"/>
        <v>Jul-2025</v>
      </c>
      <c r="L871" s="6">
        <f>_xlfn.XLOOKUP(B871,orders!A:A,orders!B:B)</f>
        <v>59</v>
      </c>
      <c r="M871" s="6" t="str">
        <f>_xlfn.XLOOKUP("C"&amp;TEXT(L871,"000"),customers!A:A,customers!B:B,"Not Found")</f>
        <v>Manoj F.</v>
      </c>
    </row>
    <row r="872" spans="1:13">
      <c r="A872">
        <v>871</v>
      </c>
      <c r="B872">
        <v>536</v>
      </c>
      <c r="C872">
        <v>3</v>
      </c>
      <c r="D872" s="4">
        <v>1</v>
      </c>
      <c r="E872">
        <f>_xlfn.XLOOKUP(C872,products!A:A,products!D:D)</f>
        <v>911</v>
      </c>
      <c r="F872">
        <f t="shared" si="26"/>
        <v>911</v>
      </c>
      <c r="G872">
        <f>D872*(E872-_xlfn.XLOOKUP(C872,products!A:A,products!E:E))</f>
        <v>368.95000000000005</v>
      </c>
      <c r="H872" s="6" t="str">
        <f>_xlfn.XLOOKUP(C872,products!A:A,products!C:C)</f>
        <v>Electronics</v>
      </c>
      <c r="I872" s="6" t="str">
        <f>_xlfn.XLOOKUP(C872,products!A:A,products!B:B)</f>
        <v>Headphones</v>
      </c>
      <c r="J872" s="6">
        <f>_xlfn.XLOOKUP(B872,orders!A:A,orders!C:C)</f>
        <v>45868</v>
      </c>
      <c r="K872" s="6" t="str">
        <f t="shared" si="27"/>
        <v>Jul-2025</v>
      </c>
      <c r="L872" s="6">
        <f>_xlfn.XLOOKUP(B872,orders!A:A,orders!B:B)</f>
        <v>96</v>
      </c>
      <c r="M872" s="6" t="str">
        <f>_xlfn.XLOOKUP("C"&amp;TEXT(L872,"000"),customers!A:A,customers!B:B,"Not Found")</f>
        <v>Suresh V.</v>
      </c>
    </row>
    <row r="873" spans="1:13">
      <c r="A873">
        <v>872</v>
      </c>
      <c r="B873">
        <v>536</v>
      </c>
      <c r="C873">
        <v>16</v>
      </c>
      <c r="D873" s="4">
        <v>2</v>
      </c>
      <c r="E873">
        <f>_xlfn.XLOOKUP(C873,products!A:A,products!D:D)</f>
        <v>2692</v>
      </c>
      <c r="F873">
        <f t="shared" si="26"/>
        <v>5384</v>
      </c>
      <c r="G873">
        <f>D873*(E873-_xlfn.XLOOKUP(C873,products!A:A,products!E:E))</f>
        <v>1938.2399999999998</v>
      </c>
      <c r="H873" s="6" t="str">
        <f>_xlfn.XLOOKUP(C873,products!A:A,products!C:C)</f>
        <v>Fashion</v>
      </c>
      <c r="I873" s="6" t="str">
        <f>_xlfn.XLOOKUP(C873,products!A:A,products!B:B)</f>
        <v>Saree</v>
      </c>
      <c r="J873" s="6">
        <f>_xlfn.XLOOKUP(B873,orders!A:A,orders!C:C)</f>
        <v>45868</v>
      </c>
      <c r="K873" s="6" t="str">
        <f t="shared" si="27"/>
        <v>Jul-2025</v>
      </c>
      <c r="L873" s="6">
        <f>_xlfn.XLOOKUP(B873,orders!A:A,orders!B:B)</f>
        <v>96</v>
      </c>
      <c r="M873" s="6" t="str">
        <f>_xlfn.XLOOKUP("C"&amp;TEXT(L873,"000"),customers!A:A,customers!B:B,"Not Found")</f>
        <v>Suresh V.</v>
      </c>
    </row>
    <row r="874" spans="1:13">
      <c r="A874">
        <v>873</v>
      </c>
      <c r="B874">
        <v>537</v>
      </c>
      <c r="C874">
        <v>10</v>
      </c>
      <c r="D874" s="4">
        <v>2</v>
      </c>
      <c r="E874">
        <f>_xlfn.XLOOKUP(C874,products!A:A,products!D:D)</f>
        <v>1870</v>
      </c>
      <c r="F874">
        <f t="shared" si="26"/>
        <v>3740</v>
      </c>
      <c r="G874">
        <f>D874*(E874-_xlfn.XLOOKUP(C874,products!A:A,products!E:E))</f>
        <v>1683</v>
      </c>
      <c r="H874" s="6" t="str">
        <f>_xlfn.XLOOKUP(C874,products!A:A,products!C:C)</f>
        <v>Electronics</v>
      </c>
      <c r="I874" s="6" t="str">
        <f>_xlfn.XLOOKUP(C874,products!A:A,products!B:B)</f>
        <v>Earbuds</v>
      </c>
      <c r="J874" s="6">
        <f>_xlfn.XLOOKUP(B874,orders!A:A,orders!C:C)</f>
        <v>45871</v>
      </c>
      <c r="K874" s="6" t="str">
        <f t="shared" si="27"/>
        <v>Aug-2025</v>
      </c>
      <c r="L874" s="6">
        <f>_xlfn.XLOOKUP(B874,orders!A:A,orders!B:B)</f>
        <v>133</v>
      </c>
      <c r="M874" s="6" t="str">
        <f>_xlfn.XLOOKUP("C"&amp;TEXT(L874,"000"),customers!A:A,customers!B:B,"Not Found")</f>
        <v>Arjun H.</v>
      </c>
    </row>
    <row r="875" spans="1:13">
      <c r="A875">
        <v>874</v>
      </c>
      <c r="B875">
        <v>537</v>
      </c>
      <c r="C875">
        <v>23</v>
      </c>
      <c r="D875" s="4">
        <v>3</v>
      </c>
      <c r="E875">
        <f>_xlfn.XLOOKUP(C875,products!A:A,products!D:D)</f>
        <v>3651</v>
      </c>
      <c r="F875">
        <f t="shared" si="26"/>
        <v>10953</v>
      </c>
      <c r="G875">
        <f>D875*(E875-_xlfn.XLOOKUP(C875,products!A:A,products!E:E))</f>
        <v>4435.9500000000007</v>
      </c>
      <c r="H875" s="6" t="str">
        <f>_xlfn.XLOOKUP(C875,products!A:A,products!C:C)</f>
        <v>Home Appliances</v>
      </c>
      <c r="I875" s="6" t="str">
        <f>_xlfn.XLOOKUP(C875,products!A:A,products!B:B)</f>
        <v>Fan</v>
      </c>
      <c r="J875" s="6">
        <f>_xlfn.XLOOKUP(B875,orders!A:A,orders!C:C)</f>
        <v>45871</v>
      </c>
      <c r="K875" s="6" t="str">
        <f t="shared" si="27"/>
        <v>Aug-2025</v>
      </c>
      <c r="L875" s="6">
        <f>_xlfn.XLOOKUP(B875,orders!A:A,orders!B:B)</f>
        <v>133</v>
      </c>
      <c r="M875" s="6" t="str">
        <f>_xlfn.XLOOKUP("C"&amp;TEXT(L875,"000"),customers!A:A,customers!B:B,"Not Found")</f>
        <v>Arjun H.</v>
      </c>
    </row>
    <row r="876" spans="1:13">
      <c r="A876">
        <v>875</v>
      </c>
      <c r="B876">
        <v>538</v>
      </c>
      <c r="C876">
        <v>17</v>
      </c>
      <c r="D876" s="4">
        <v>3</v>
      </c>
      <c r="E876">
        <f>_xlfn.XLOOKUP(C876,products!A:A,products!D:D)</f>
        <v>2829</v>
      </c>
      <c r="F876">
        <f t="shared" si="26"/>
        <v>8487</v>
      </c>
      <c r="G876">
        <f>D876*(E876-_xlfn.XLOOKUP(C876,products!A:A,products!E:E))</f>
        <v>2928</v>
      </c>
      <c r="H876" s="6" t="str">
        <f>_xlfn.XLOOKUP(C876,products!A:A,products!C:C)</f>
        <v>Fashion</v>
      </c>
      <c r="I876" s="6" t="str">
        <f>_xlfn.XLOOKUP(C876,products!A:A,products!B:B)</f>
        <v>Dress</v>
      </c>
      <c r="J876" s="6">
        <f>_xlfn.XLOOKUP(B876,orders!A:A,orders!C:C)</f>
        <v>45874</v>
      </c>
      <c r="K876" s="6" t="str">
        <f t="shared" si="27"/>
        <v>Aug-2025</v>
      </c>
      <c r="L876" s="6">
        <f>_xlfn.XLOOKUP(B876,orders!A:A,orders!B:B)</f>
        <v>170</v>
      </c>
      <c r="M876" s="6" t="str">
        <f>_xlfn.XLOOKUP("C"&amp;TEXT(L876,"000"),customers!A:A,customers!B:B,"Not Found")</f>
        <v>Meena Z.</v>
      </c>
    </row>
    <row r="877" spans="1:13">
      <c r="A877">
        <v>876</v>
      </c>
      <c r="B877">
        <v>538</v>
      </c>
      <c r="C877">
        <v>30</v>
      </c>
      <c r="D877" s="4">
        <v>4</v>
      </c>
      <c r="E877">
        <f>_xlfn.XLOOKUP(C877,products!A:A,products!D:D)</f>
        <v>4610</v>
      </c>
      <c r="F877">
        <f t="shared" si="26"/>
        <v>18440</v>
      </c>
      <c r="G877">
        <f>D877*(E877-_xlfn.XLOOKUP(C877,products!A:A,products!E:E))</f>
        <v>8298</v>
      </c>
      <c r="H877" s="6" t="str">
        <f>_xlfn.XLOOKUP(C877,products!A:A,products!C:C)</f>
        <v>Furniture</v>
      </c>
      <c r="I877" s="6" t="str">
        <f>_xlfn.XLOOKUP(C877,products!A:A,products!B:B)</f>
        <v>Table</v>
      </c>
      <c r="J877" s="6">
        <f>_xlfn.XLOOKUP(B877,orders!A:A,orders!C:C)</f>
        <v>45874</v>
      </c>
      <c r="K877" s="6" t="str">
        <f t="shared" si="27"/>
        <v>Aug-2025</v>
      </c>
      <c r="L877" s="6">
        <f>_xlfn.XLOOKUP(B877,orders!A:A,orders!B:B)</f>
        <v>170</v>
      </c>
      <c r="M877" s="6" t="str">
        <f>_xlfn.XLOOKUP("C"&amp;TEXT(L877,"000"),customers!A:A,customers!B:B,"Not Found")</f>
        <v>Meena Z.</v>
      </c>
    </row>
    <row r="878" spans="1:13">
      <c r="A878">
        <v>877</v>
      </c>
      <c r="B878">
        <v>539</v>
      </c>
      <c r="C878">
        <v>24</v>
      </c>
      <c r="D878" s="4">
        <v>4</v>
      </c>
      <c r="E878">
        <f>_xlfn.XLOOKUP(C878,products!A:A,products!D:D)</f>
        <v>3788</v>
      </c>
      <c r="F878">
        <f t="shared" si="26"/>
        <v>15152</v>
      </c>
      <c r="G878">
        <f>D878*(E878-_xlfn.XLOOKUP(C878,products!A:A,products!E:E))</f>
        <v>5909.2800000000007</v>
      </c>
      <c r="H878" s="6" t="str">
        <f>_xlfn.XLOOKUP(C878,products!A:A,products!C:C)</f>
        <v>Home Appliances</v>
      </c>
      <c r="I878" s="6" t="str">
        <f>_xlfn.XLOOKUP(C878,products!A:A,products!B:B)</f>
        <v>Iron</v>
      </c>
      <c r="J878" s="6">
        <f>_xlfn.XLOOKUP(B878,orders!A:A,orders!C:C)</f>
        <v>45877</v>
      </c>
      <c r="K878" s="6" t="str">
        <f t="shared" si="27"/>
        <v>Aug-2025</v>
      </c>
      <c r="L878" s="6">
        <f>_xlfn.XLOOKUP(B878,orders!A:A,orders!B:B)</f>
        <v>207</v>
      </c>
      <c r="M878" s="6" t="str">
        <f>_xlfn.XLOOKUP("C"&amp;TEXT(L878,"000"),customers!A:A,customers!B:B,"Not Found")</f>
        <v>Lakshmi M.</v>
      </c>
    </row>
    <row r="879" spans="1:13">
      <c r="A879">
        <v>878</v>
      </c>
      <c r="B879">
        <v>539</v>
      </c>
      <c r="C879">
        <v>37</v>
      </c>
      <c r="D879" s="4">
        <v>1</v>
      </c>
      <c r="E879">
        <f>_xlfn.XLOOKUP(C879,products!A:A,products!D:D)</f>
        <v>5569</v>
      </c>
      <c r="F879">
        <f t="shared" si="26"/>
        <v>5569</v>
      </c>
      <c r="G879">
        <f>D879*(E879-_xlfn.XLOOKUP(C879,products!A:A,products!E:E))</f>
        <v>1921.3000000000002</v>
      </c>
      <c r="H879" s="6" t="str">
        <f>_xlfn.XLOOKUP(C879,products!A:A,products!C:C)</f>
        <v>Sports</v>
      </c>
      <c r="I879" s="6" t="str">
        <f>_xlfn.XLOOKUP(C879,products!A:A,products!B:B)</f>
        <v>Football</v>
      </c>
      <c r="J879" s="6">
        <f>_xlfn.XLOOKUP(B879,orders!A:A,orders!C:C)</f>
        <v>45877</v>
      </c>
      <c r="K879" s="6" t="str">
        <f t="shared" si="27"/>
        <v>Aug-2025</v>
      </c>
      <c r="L879" s="6">
        <f>_xlfn.XLOOKUP(B879,orders!A:A,orders!B:B)</f>
        <v>207</v>
      </c>
      <c r="M879" s="6" t="str">
        <f>_xlfn.XLOOKUP("C"&amp;TEXT(L879,"000"),customers!A:A,customers!B:B,"Not Found")</f>
        <v>Lakshmi M.</v>
      </c>
    </row>
    <row r="880" spans="1:13">
      <c r="A880">
        <v>879</v>
      </c>
      <c r="B880">
        <v>540</v>
      </c>
      <c r="C880">
        <v>31</v>
      </c>
      <c r="D880" s="4">
        <v>1</v>
      </c>
      <c r="E880">
        <f>_xlfn.XLOOKUP(C880,products!A:A,products!D:D)</f>
        <v>4747</v>
      </c>
      <c r="F880">
        <f t="shared" si="26"/>
        <v>4747</v>
      </c>
      <c r="G880">
        <f>D880*(E880-_xlfn.XLOOKUP(C880,products!A:A,products!E:E))</f>
        <v>2064.94</v>
      </c>
      <c r="H880" s="6" t="str">
        <f>_xlfn.XLOOKUP(C880,products!A:A,products!C:C)</f>
        <v>Books</v>
      </c>
      <c r="I880" s="6" t="str">
        <f>_xlfn.XLOOKUP(C880,products!A:A,products!B:B)</f>
        <v>Book</v>
      </c>
      <c r="J880" s="6">
        <f>_xlfn.XLOOKUP(B880,orders!A:A,orders!C:C)</f>
        <v>45880</v>
      </c>
      <c r="K880" s="6" t="str">
        <f t="shared" si="27"/>
        <v>Aug-2025</v>
      </c>
      <c r="L880" s="6">
        <f>_xlfn.XLOOKUP(B880,orders!A:A,orders!B:B)</f>
        <v>244</v>
      </c>
      <c r="M880" s="6" t="str">
        <f>_xlfn.XLOOKUP("C"&amp;TEXT(L880,"000"),customers!A:A,customers!B:B,"Not Found")</f>
        <v>Pooja U.</v>
      </c>
    </row>
    <row r="881" spans="1:13">
      <c r="A881">
        <v>880</v>
      </c>
      <c r="B881">
        <v>540</v>
      </c>
      <c r="C881">
        <v>44</v>
      </c>
      <c r="D881" s="4">
        <v>2</v>
      </c>
      <c r="E881">
        <f>_xlfn.XLOOKUP(C881,products!A:A,products!D:D)</f>
        <v>6528</v>
      </c>
      <c r="F881">
        <f t="shared" si="26"/>
        <v>13056</v>
      </c>
      <c r="G881">
        <f>D881*(E881-_xlfn.XLOOKUP(C881,products!A:A,products!E:E))</f>
        <v>5091.84</v>
      </c>
      <c r="H881" s="6" t="str">
        <f>_xlfn.XLOOKUP(C881,products!A:A,products!C:C)</f>
        <v>Beauty</v>
      </c>
      <c r="I881" s="6" t="str">
        <f>_xlfn.XLOOKUP(C881,products!A:A,products!B:B)</f>
        <v>Moisturizer</v>
      </c>
      <c r="J881" s="6">
        <f>_xlfn.XLOOKUP(B881,orders!A:A,orders!C:C)</f>
        <v>45880</v>
      </c>
      <c r="K881" s="6" t="str">
        <f t="shared" si="27"/>
        <v>Aug-2025</v>
      </c>
      <c r="L881" s="6">
        <f>_xlfn.XLOOKUP(B881,orders!A:A,orders!B:B)</f>
        <v>244</v>
      </c>
      <c r="M881" s="6" t="str">
        <f>_xlfn.XLOOKUP("C"&amp;TEXT(L881,"000"),customers!A:A,customers!B:B,"Not Found")</f>
        <v>Pooja U.</v>
      </c>
    </row>
    <row r="882" spans="1:13">
      <c r="A882">
        <v>881</v>
      </c>
      <c r="B882">
        <v>541</v>
      </c>
      <c r="C882">
        <v>38</v>
      </c>
      <c r="D882" s="4">
        <v>2</v>
      </c>
      <c r="E882">
        <f>_xlfn.XLOOKUP(C882,products!A:A,products!D:D)</f>
        <v>5706</v>
      </c>
      <c r="F882">
        <f t="shared" si="26"/>
        <v>11412</v>
      </c>
      <c r="G882">
        <f>D882*(E882-_xlfn.XLOOKUP(C882,products!A:A,products!E:E))</f>
        <v>3765.96</v>
      </c>
      <c r="H882" s="6" t="str">
        <f>_xlfn.XLOOKUP(C882,products!A:A,products!C:C)</f>
        <v>Sports</v>
      </c>
      <c r="I882" s="6" t="str">
        <f>_xlfn.XLOOKUP(C882,products!A:A,products!B:B)</f>
        <v>Badminton Racket</v>
      </c>
      <c r="J882" s="6">
        <f>_xlfn.XLOOKUP(B882,orders!A:A,orders!C:C)</f>
        <v>45883</v>
      </c>
      <c r="K882" s="6" t="str">
        <f t="shared" si="27"/>
        <v>Aug-2025</v>
      </c>
      <c r="L882" s="6">
        <f>_xlfn.XLOOKUP(B882,orders!A:A,orders!B:B)</f>
        <v>281</v>
      </c>
      <c r="M882" s="6" t="str">
        <f>_xlfn.XLOOKUP("C"&amp;TEXT(L882,"000"),customers!A:A,customers!B:B,"Not Found")</f>
        <v>Pooja D.</v>
      </c>
    </row>
    <row r="883" spans="1:13">
      <c r="A883">
        <v>882</v>
      </c>
      <c r="B883">
        <v>541</v>
      </c>
      <c r="C883">
        <v>1</v>
      </c>
      <c r="D883" s="4">
        <v>3</v>
      </c>
      <c r="E883">
        <f>_xlfn.XLOOKUP(C883,products!A:A,products!D:D)</f>
        <v>637</v>
      </c>
      <c r="F883">
        <f t="shared" si="26"/>
        <v>1911</v>
      </c>
      <c r="G883">
        <f>D883*(E883-_xlfn.XLOOKUP(C883,products!A:A,products!E:E))</f>
        <v>831.27</v>
      </c>
      <c r="H883" s="6" t="str">
        <f>_xlfn.XLOOKUP(C883,products!A:A,products!C:C)</f>
        <v>Electronics</v>
      </c>
      <c r="I883" s="6" t="str">
        <f>_xlfn.XLOOKUP(C883,products!A:A,products!B:B)</f>
        <v>Laptop</v>
      </c>
      <c r="J883" s="6">
        <f>_xlfn.XLOOKUP(B883,orders!A:A,orders!C:C)</f>
        <v>45883</v>
      </c>
      <c r="K883" s="6" t="str">
        <f t="shared" si="27"/>
        <v>Aug-2025</v>
      </c>
      <c r="L883" s="6">
        <f>_xlfn.XLOOKUP(B883,orders!A:A,orders!B:B)</f>
        <v>281</v>
      </c>
      <c r="M883" s="6" t="str">
        <f>_xlfn.XLOOKUP("C"&amp;TEXT(L883,"000"),customers!A:A,customers!B:B,"Not Found")</f>
        <v>Pooja D.</v>
      </c>
    </row>
    <row r="884" spans="1:13">
      <c r="A884">
        <v>883</v>
      </c>
      <c r="B884">
        <v>542</v>
      </c>
      <c r="C884">
        <v>45</v>
      </c>
      <c r="D884" s="4">
        <v>3</v>
      </c>
      <c r="E884">
        <f>_xlfn.XLOOKUP(C884,products!A:A,products!D:D)</f>
        <v>6665</v>
      </c>
      <c r="F884">
        <f t="shared" si="26"/>
        <v>19995</v>
      </c>
      <c r="G884">
        <f>D884*(E884-_xlfn.XLOOKUP(C884,products!A:A,products!E:E))</f>
        <v>7498.14</v>
      </c>
      <c r="H884" s="6" t="str">
        <f>_xlfn.XLOOKUP(C884,products!A:A,products!C:C)</f>
        <v>Beauty</v>
      </c>
      <c r="I884" s="6" t="str">
        <f>_xlfn.XLOOKUP(C884,products!A:A,products!B:B)</f>
        <v>Sunscreen</v>
      </c>
      <c r="J884" s="6">
        <f>_xlfn.XLOOKUP(B884,orders!A:A,orders!C:C)</f>
        <v>45886</v>
      </c>
      <c r="K884" s="6" t="str">
        <f t="shared" si="27"/>
        <v>Aug-2025</v>
      </c>
      <c r="L884" s="6">
        <f>_xlfn.XLOOKUP(B884,orders!A:A,orders!B:B)</f>
        <v>318</v>
      </c>
      <c r="M884" s="6" t="str">
        <f>_xlfn.XLOOKUP("C"&amp;TEXT(L884,"000"),customers!A:A,customers!B:B,"Not Found")</f>
        <v>Meena T.</v>
      </c>
    </row>
    <row r="885" spans="1:13">
      <c r="A885">
        <v>884</v>
      </c>
      <c r="B885">
        <v>542</v>
      </c>
      <c r="C885">
        <v>8</v>
      </c>
      <c r="D885" s="4">
        <v>4</v>
      </c>
      <c r="E885">
        <f>_xlfn.XLOOKUP(C885,products!A:A,products!D:D)</f>
        <v>1596</v>
      </c>
      <c r="F885">
        <f t="shared" si="26"/>
        <v>6384</v>
      </c>
      <c r="G885">
        <f>D885*(E885-_xlfn.XLOOKUP(C885,products!A:A,products!E:E))</f>
        <v>2106.7200000000003</v>
      </c>
      <c r="H885" s="6" t="str">
        <f>_xlfn.XLOOKUP(C885,products!A:A,products!C:C)</f>
        <v>Electronics</v>
      </c>
      <c r="I885" s="6" t="str">
        <f>_xlfn.XLOOKUP(C885,products!A:A,products!B:B)</f>
        <v>Tablet</v>
      </c>
      <c r="J885" s="6">
        <f>_xlfn.XLOOKUP(B885,orders!A:A,orders!C:C)</f>
        <v>45886</v>
      </c>
      <c r="K885" s="6" t="str">
        <f t="shared" si="27"/>
        <v>Aug-2025</v>
      </c>
      <c r="L885" s="6">
        <f>_xlfn.XLOOKUP(B885,orders!A:A,orders!B:B)</f>
        <v>318</v>
      </c>
      <c r="M885" s="6" t="str">
        <f>_xlfn.XLOOKUP("C"&amp;TEXT(L885,"000"),customers!A:A,customers!B:B,"Not Found")</f>
        <v>Meena T.</v>
      </c>
    </row>
    <row r="886" spans="1:13">
      <c r="A886">
        <v>885</v>
      </c>
      <c r="B886">
        <v>543</v>
      </c>
      <c r="C886">
        <v>2</v>
      </c>
      <c r="D886" s="4">
        <v>4</v>
      </c>
      <c r="E886">
        <f>_xlfn.XLOOKUP(C886,products!A:A,products!D:D)</f>
        <v>774</v>
      </c>
      <c r="F886">
        <f t="shared" si="26"/>
        <v>3096</v>
      </c>
      <c r="G886">
        <f>D886*(E886-_xlfn.XLOOKUP(C886,products!A:A,products!E:E))</f>
        <v>1300.32</v>
      </c>
      <c r="H886" s="6" t="str">
        <f>_xlfn.XLOOKUP(C886,products!A:A,products!C:C)</f>
        <v>Electronics</v>
      </c>
      <c r="I886" s="6" t="str">
        <f>_xlfn.XLOOKUP(C886,products!A:A,products!B:B)</f>
        <v>Mobile</v>
      </c>
      <c r="J886" s="6">
        <f>_xlfn.XLOOKUP(B886,orders!A:A,orders!C:C)</f>
        <v>45889</v>
      </c>
      <c r="K886" s="6" t="str">
        <f t="shared" si="27"/>
        <v>Aug-2025</v>
      </c>
      <c r="L886" s="6">
        <f>_xlfn.XLOOKUP(B886,orders!A:A,orders!B:B)</f>
        <v>355</v>
      </c>
      <c r="M886" s="6" t="str">
        <f>_xlfn.XLOOKUP("C"&amp;TEXT(L886,"000"),customers!A:A,customers!B:B,"Not Found")</f>
        <v>Rahul I.</v>
      </c>
    </row>
    <row r="887" spans="1:13">
      <c r="A887">
        <v>886</v>
      </c>
      <c r="B887">
        <v>543</v>
      </c>
      <c r="C887">
        <v>15</v>
      </c>
      <c r="D887" s="4">
        <v>1</v>
      </c>
      <c r="E887">
        <f>_xlfn.XLOOKUP(C887,products!A:A,products!D:D)</f>
        <v>2555</v>
      </c>
      <c r="F887">
        <f t="shared" si="26"/>
        <v>2555</v>
      </c>
      <c r="G887">
        <f>D887*(E887-_xlfn.XLOOKUP(C887,products!A:A,products!E:E))</f>
        <v>958.11999999999989</v>
      </c>
      <c r="H887" s="6" t="str">
        <f>_xlfn.XLOOKUP(C887,products!A:A,products!C:C)</f>
        <v>Fashion</v>
      </c>
      <c r="I887" s="6" t="str">
        <f>_xlfn.XLOOKUP(C887,products!A:A,products!B:B)</f>
        <v>Shoes</v>
      </c>
      <c r="J887" s="6">
        <f>_xlfn.XLOOKUP(B887,orders!A:A,orders!C:C)</f>
        <v>45889</v>
      </c>
      <c r="K887" s="6" t="str">
        <f t="shared" si="27"/>
        <v>Aug-2025</v>
      </c>
      <c r="L887" s="6">
        <f>_xlfn.XLOOKUP(B887,orders!A:A,orders!B:B)</f>
        <v>355</v>
      </c>
      <c r="M887" s="6" t="str">
        <f>_xlfn.XLOOKUP("C"&amp;TEXT(L887,"000"),customers!A:A,customers!B:B,"Not Found")</f>
        <v>Rahul I.</v>
      </c>
    </row>
    <row r="888" spans="1:13">
      <c r="A888">
        <v>887</v>
      </c>
      <c r="B888">
        <v>544</v>
      </c>
      <c r="C888">
        <v>9</v>
      </c>
      <c r="D888" s="4">
        <v>1</v>
      </c>
      <c r="E888">
        <f>_xlfn.XLOOKUP(C888,products!A:A,products!D:D)</f>
        <v>1733</v>
      </c>
      <c r="F888">
        <f t="shared" si="26"/>
        <v>1733</v>
      </c>
      <c r="G888">
        <f>D888*(E888-_xlfn.XLOOKUP(C888,products!A:A,products!E:E))</f>
        <v>545.8900000000001</v>
      </c>
      <c r="H888" s="6" t="str">
        <f>_xlfn.XLOOKUP(C888,products!A:A,products!C:C)</f>
        <v>Electronics</v>
      </c>
      <c r="I888" s="6" t="str">
        <f>_xlfn.XLOOKUP(C888,products!A:A,products!B:B)</f>
        <v>Power Bank</v>
      </c>
      <c r="J888" s="6">
        <f>_xlfn.XLOOKUP(B888,orders!A:A,orders!C:C)</f>
        <v>45892</v>
      </c>
      <c r="K888" s="6" t="str">
        <f t="shared" si="27"/>
        <v>Aug-2025</v>
      </c>
      <c r="L888" s="6">
        <f>_xlfn.XLOOKUP(B888,orders!A:A,orders!B:B)</f>
        <v>392</v>
      </c>
      <c r="M888" s="6" t="str">
        <f>_xlfn.XLOOKUP("C"&amp;TEXT(L888,"000"),customers!A:A,customers!B:B,"Not Found")</f>
        <v>Arjun C.</v>
      </c>
    </row>
    <row r="889" spans="1:13">
      <c r="A889">
        <v>888</v>
      </c>
      <c r="B889">
        <v>544</v>
      </c>
      <c r="C889">
        <v>22</v>
      </c>
      <c r="D889" s="4">
        <v>2</v>
      </c>
      <c r="E889">
        <f>_xlfn.XLOOKUP(C889,products!A:A,products!D:D)</f>
        <v>3514</v>
      </c>
      <c r="F889">
        <f t="shared" si="26"/>
        <v>7028</v>
      </c>
      <c r="G889">
        <f>D889*(E889-_xlfn.XLOOKUP(C889,products!A:A,products!E:E))</f>
        <v>2951.76</v>
      </c>
      <c r="H889" s="6" t="str">
        <f>_xlfn.XLOOKUP(C889,products!A:A,products!C:C)</f>
        <v>Home Appliances</v>
      </c>
      <c r="I889" s="6" t="str">
        <f>_xlfn.XLOOKUP(C889,products!A:A,products!B:B)</f>
        <v>Microwave</v>
      </c>
      <c r="J889" s="6">
        <f>_xlfn.XLOOKUP(B889,orders!A:A,orders!C:C)</f>
        <v>45892</v>
      </c>
      <c r="K889" s="6" t="str">
        <f t="shared" si="27"/>
        <v>Aug-2025</v>
      </c>
      <c r="L889" s="6">
        <f>_xlfn.XLOOKUP(B889,orders!A:A,orders!B:B)</f>
        <v>392</v>
      </c>
      <c r="M889" s="6" t="str">
        <f>_xlfn.XLOOKUP("C"&amp;TEXT(L889,"000"),customers!A:A,customers!B:B,"Not Found")</f>
        <v>Arjun C.</v>
      </c>
    </row>
    <row r="890" spans="1:13">
      <c r="A890">
        <v>889</v>
      </c>
      <c r="B890">
        <v>545</v>
      </c>
      <c r="C890">
        <v>16</v>
      </c>
      <c r="D890" s="4">
        <v>2</v>
      </c>
      <c r="E890">
        <f>_xlfn.XLOOKUP(C890,products!A:A,products!D:D)</f>
        <v>2692</v>
      </c>
      <c r="F890">
        <f t="shared" si="26"/>
        <v>5384</v>
      </c>
      <c r="G890">
        <f>D890*(E890-_xlfn.XLOOKUP(C890,products!A:A,products!E:E))</f>
        <v>1938.2399999999998</v>
      </c>
      <c r="H890" s="6" t="str">
        <f>_xlfn.XLOOKUP(C890,products!A:A,products!C:C)</f>
        <v>Fashion</v>
      </c>
      <c r="I890" s="6" t="str">
        <f>_xlfn.XLOOKUP(C890,products!A:A,products!B:B)</f>
        <v>Saree</v>
      </c>
      <c r="J890" s="6">
        <f>_xlfn.XLOOKUP(B890,orders!A:A,orders!C:C)</f>
        <v>45895</v>
      </c>
      <c r="K890" s="6" t="str">
        <f t="shared" si="27"/>
        <v>Aug-2025</v>
      </c>
      <c r="L890" s="6">
        <f>_xlfn.XLOOKUP(B890,orders!A:A,orders!B:B)</f>
        <v>429</v>
      </c>
      <c r="M890" s="6" t="str">
        <f>_xlfn.XLOOKUP("C"&amp;TEXT(L890,"000"),customers!A:A,customers!B:B,"Not Found")</f>
        <v>Lakshmi J.</v>
      </c>
    </row>
    <row r="891" spans="1:13">
      <c r="A891">
        <v>890</v>
      </c>
      <c r="B891">
        <v>545</v>
      </c>
      <c r="C891">
        <v>29</v>
      </c>
      <c r="D891" s="4">
        <v>3</v>
      </c>
      <c r="E891">
        <f>_xlfn.XLOOKUP(C891,products!A:A,products!D:D)</f>
        <v>4473</v>
      </c>
      <c r="F891">
        <f t="shared" si="26"/>
        <v>13419</v>
      </c>
      <c r="G891">
        <f>D891*(E891-_xlfn.XLOOKUP(C891,products!A:A,products!E:E))</f>
        <v>4226.9699999999993</v>
      </c>
      <c r="H891" s="6" t="str">
        <f>_xlfn.XLOOKUP(C891,products!A:A,products!C:C)</f>
        <v>Furniture</v>
      </c>
      <c r="I891" s="6" t="str">
        <f>_xlfn.XLOOKUP(C891,products!A:A,products!B:B)</f>
        <v>Chair</v>
      </c>
      <c r="J891" s="6">
        <f>_xlfn.XLOOKUP(B891,orders!A:A,orders!C:C)</f>
        <v>45895</v>
      </c>
      <c r="K891" s="6" t="str">
        <f t="shared" si="27"/>
        <v>Aug-2025</v>
      </c>
      <c r="L891" s="6">
        <f>_xlfn.XLOOKUP(B891,orders!A:A,orders!B:B)</f>
        <v>429</v>
      </c>
      <c r="M891" s="6" t="str">
        <f>_xlfn.XLOOKUP("C"&amp;TEXT(L891,"000"),customers!A:A,customers!B:B,"Not Found")</f>
        <v>Lakshmi J.</v>
      </c>
    </row>
    <row r="892" spans="1:13">
      <c r="A892">
        <v>891</v>
      </c>
      <c r="B892">
        <v>546</v>
      </c>
      <c r="C892">
        <v>23</v>
      </c>
      <c r="D892" s="4">
        <v>3</v>
      </c>
      <c r="E892">
        <f>_xlfn.XLOOKUP(C892,products!A:A,products!D:D)</f>
        <v>3651</v>
      </c>
      <c r="F892">
        <f t="shared" si="26"/>
        <v>10953</v>
      </c>
      <c r="G892">
        <f>D892*(E892-_xlfn.XLOOKUP(C892,products!A:A,products!E:E))</f>
        <v>4435.9500000000007</v>
      </c>
      <c r="H892" s="6" t="str">
        <f>_xlfn.XLOOKUP(C892,products!A:A,products!C:C)</f>
        <v>Home Appliances</v>
      </c>
      <c r="I892" s="6" t="str">
        <f>_xlfn.XLOOKUP(C892,products!A:A,products!B:B)</f>
        <v>Fan</v>
      </c>
      <c r="J892" s="6">
        <f>_xlfn.XLOOKUP(B892,orders!A:A,orders!C:C)</f>
        <v>45898</v>
      </c>
      <c r="K892" s="6" t="str">
        <f t="shared" si="27"/>
        <v>Aug-2025</v>
      </c>
      <c r="L892" s="6">
        <f>_xlfn.XLOOKUP(B892,orders!A:A,orders!B:B)</f>
        <v>466</v>
      </c>
      <c r="M892" s="6" t="str">
        <f>_xlfn.XLOOKUP("C"&amp;TEXT(L892,"000"),customers!A:A,customers!B:B,"Not Found")</f>
        <v>Amit Z.</v>
      </c>
    </row>
    <row r="893" spans="1:13">
      <c r="A893">
        <v>892</v>
      </c>
      <c r="B893">
        <v>546</v>
      </c>
      <c r="C893">
        <v>36</v>
      </c>
      <c r="D893" s="4">
        <v>4</v>
      </c>
      <c r="E893">
        <f>_xlfn.XLOOKUP(C893,products!A:A,products!D:D)</f>
        <v>5432</v>
      </c>
      <c r="F893">
        <f t="shared" si="26"/>
        <v>21728</v>
      </c>
      <c r="G893">
        <f>D893*(E893-_xlfn.XLOOKUP(C893,products!A:A,products!E:E))</f>
        <v>7822.08</v>
      </c>
      <c r="H893" s="6" t="str">
        <f>_xlfn.XLOOKUP(C893,products!A:A,products!C:C)</f>
        <v>Sports</v>
      </c>
      <c r="I893" s="6" t="str">
        <f>_xlfn.XLOOKUP(C893,products!A:A,products!B:B)</f>
        <v>Cricket Bat</v>
      </c>
      <c r="J893" s="6">
        <f>_xlfn.XLOOKUP(B893,orders!A:A,orders!C:C)</f>
        <v>45898</v>
      </c>
      <c r="K893" s="6" t="str">
        <f t="shared" si="27"/>
        <v>Aug-2025</v>
      </c>
      <c r="L893" s="6">
        <f>_xlfn.XLOOKUP(B893,orders!A:A,orders!B:B)</f>
        <v>466</v>
      </c>
      <c r="M893" s="6" t="str">
        <f>_xlfn.XLOOKUP("C"&amp;TEXT(L893,"000"),customers!A:A,customers!B:B,"Not Found")</f>
        <v>Amit Z.</v>
      </c>
    </row>
    <row r="894" spans="1:13">
      <c r="A894">
        <v>893</v>
      </c>
      <c r="B894">
        <v>547</v>
      </c>
      <c r="C894">
        <v>30</v>
      </c>
      <c r="D894" s="4">
        <v>4</v>
      </c>
      <c r="E894">
        <f>_xlfn.XLOOKUP(C894,products!A:A,products!D:D)</f>
        <v>4610</v>
      </c>
      <c r="F894">
        <f t="shared" si="26"/>
        <v>18440</v>
      </c>
      <c r="G894">
        <f>D894*(E894-_xlfn.XLOOKUP(C894,products!A:A,products!E:E))</f>
        <v>8298</v>
      </c>
      <c r="H894" s="6" t="str">
        <f>_xlfn.XLOOKUP(C894,products!A:A,products!C:C)</f>
        <v>Furniture</v>
      </c>
      <c r="I894" s="6" t="str">
        <f>_xlfn.XLOOKUP(C894,products!A:A,products!B:B)</f>
        <v>Table</v>
      </c>
      <c r="J894" s="6">
        <f>_xlfn.XLOOKUP(B894,orders!A:A,orders!C:C)</f>
        <v>45901</v>
      </c>
      <c r="K894" s="6" t="str">
        <f t="shared" si="27"/>
        <v>Sep-2025</v>
      </c>
      <c r="L894" s="6">
        <f>_xlfn.XLOOKUP(B894,orders!A:A,orders!B:B)</f>
        <v>3</v>
      </c>
      <c r="M894" s="6" t="str">
        <f>_xlfn.XLOOKUP("C"&amp;TEXT(L894,"000"),customers!A:A,customers!B:B,"Not Found")</f>
        <v>Kavya B.</v>
      </c>
    </row>
    <row r="895" spans="1:13">
      <c r="A895">
        <v>894</v>
      </c>
      <c r="B895">
        <v>547</v>
      </c>
      <c r="C895">
        <v>43</v>
      </c>
      <c r="D895" s="4">
        <v>1</v>
      </c>
      <c r="E895">
        <f>_xlfn.XLOOKUP(C895,products!A:A,products!D:D)</f>
        <v>6391</v>
      </c>
      <c r="F895">
        <f t="shared" si="26"/>
        <v>6391</v>
      </c>
      <c r="G895">
        <f>D895*(E895-_xlfn.XLOOKUP(C895,products!A:A,products!E:E))</f>
        <v>2588.35</v>
      </c>
      <c r="H895" s="6" t="str">
        <f>_xlfn.XLOOKUP(C895,products!A:A,products!C:C)</f>
        <v>Beauty</v>
      </c>
      <c r="I895" s="6" t="str">
        <f>_xlfn.XLOOKUP(C895,products!A:A,products!B:B)</f>
        <v>Perfume</v>
      </c>
      <c r="J895" s="6">
        <f>_xlfn.XLOOKUP(B895,orders!A:A,orders!C:C)</f>
        <v>45901</v>
      </c>
      <c r="K895" s="6" t="str">
        <f t="shared" si="27"/>
        <v>Sep-2025</v>
      </c>
      <c r="L895" s="6">
        <f>_xlfn.XLOOKUP(B895,orders!A:A,orders!B:B)</f>
        <v>3</v>
      </c>
      <c r="M895" s="6" t="str">
        <f>_xlfn.XLOOKUP("C"&amp;TEXT(L895,"000"),customers!A:A,customers!B:B,"Not Found")</f>
        <v>Kavya B.</v>
      </c>
    </row>
    <row r="896" spans="1:13">
      <c r="A896">
        <v>895</v>
      </c>
      <c r="B896">
        <v>548</v>
      </c>
      <c r="C896">
        <v>37</v>
      </c>
      <c r="D896" s="4">
        <v>1</v>
      </c>
      <c r="E896">
        <f>_xlfn.XLOOKUP(C896,products!A:A,products!D:D)</f>
        <v>5569</v>
      </c>
      <c r="F896">
        <f t="shared" si="26"/>
        <v>5569</v>
      </c>
      <c r="G896">
        <f>D896*(E896-_xlfn.XLOOKUP(C896,products!A:A,products!E:E))</f>
        <v>1921.3000000000002</v>
      </c>
      <c r="H896" s="6" t="str">
        <f>_xlfn.XLOOKUP(C896,products!A:A,products!C:C)</f>
        <v>Sports</v>
      </c>
      <c r="I896" s="6" t="str">
        <f>_xlfn.XLOOKUP(C896,products!A:A,products!B:B)</f>
        <v>Football</v>
      </c>
      <c r="J896" s="6">
        <f>_xlfn.XLOOKUP(B896,orders!A:A,orders!C:C)</f>
        <v>45904</v>
      </c>
      <c r="K896" s="6" t="str">
        <f t="shared" si="27"/>
        <v>Sep-2025</v>
      </c>
      <c r="L896" s="6">
        <f>_xlfn.XLOOKUP(B896,orders!A:A,orders!B:B)</f>
        <v>40</v>
      </c>
      <c r="M896" s="6" t="str">
        <f>_xlfn.XLOOKUP("C"&amp;TEXT(L896,"000"),customers!A:A,customers!B:B,"Not Found")</f>
        <v>Nikhil R.</v>
      </c>
    </row>
    <row r="897" spans="1:13">
      <c r="A897">
        <v>896</v>
      </c>
      <c r="B897">
        <v>548</v>
      </c>
      <c r="C897">
        <v>50</v>
      </c>
      <c r="D897" s="4">
        <v>2</v>
      </c>
      <c r="E897">
        <f>_xlfn.XLOOKUP(C897,products!A:A,products!D:D)</f>
        <v>7350</v>
      </c>
      <c r="F897">
        <f t="shared" si="26"/>
        <v>14700</v>
      </c>
      <c r="G897">
        <f>D897*(E897-_xlfn.XLOOKUP(C897,products!A:A,products!E:E))</f>
        <v>6615</v>
      </c>
      <c r="H897" s="6" t="str">
        <f>_xlfn.XLOOKUP(C897,products!A:A,products!C:C)</f>
        <v>Toys</v>
      </c>
      <c r="I897" s="6" t="str">
        <f>_xlfn.XLOOKUP(C897,products!A:A,products!B:B)</f>
        <v>Building Blocks</v>
      </c>
      <c r="J897" s="6">
        <f>_xlfn.XLOOKUP(B897,orders!A:A,orders!C:C)</f>
        <v>45904</v>
      </c>
      <c r="K897" s="6" t="str">
        <f t="shared" si="27"/>
        <v>Sep-2025</v>
      </c>
      <c r="L897" s="6">
        <f>_xlfn.XLOOKUP(B897,orders!A:A,orders!B:B)</f>
        <v>40</v>
      </c>
      <c r="M897" s="6" t="str">
        <f>_xlfn.XLOOKUP("C"&amp;TEXT(L897,"000"),customers!A:A,customers!B:B,"Not Found")</f>
        <v>Nikhil R.</v>
      </c>
    </row>
    <row r="898" spans="1:13">
      <c r="A898">
        <v>897</v>
      </c>
      <c r="B898">
        <v>549</v>
      </c>
      <c r="C898">
        <v>44</v>
      </c>
      <c r="D898" s="4">
        <v>2</v>
      </c>
      <c r="E898">
        <f>_xlfn.XLOOKUP(C898,products!A:A,products!D:D)</f>
        <v>6528</v>
      </c>
      <c r="F898">
        <f t="shared" ref="F898:F961" si="28">D898*E898</f>
        <v>13056</v>
      </c>
      <c r="G898">
        <f>D898*(E898-_xlfn.XLOOKUP(C898,products!A:A,products!E:E))</f>
        <v>5091.84</v>
      </c>
      <c r="H898" s="6" t="str">
        <f>_xlfn.XLOOKUP(C898,products!A:A,products!C:C)</f>
        <v>Beauty</v>
      </c>
      <c r="I898" s="6" t="str">
        <f>_xlfn.XLOOKUP(C898,products!A:A,products!B:B)</f>
        <v>Moisturizer</v>
      </c>
      <c r="J898" s="6">
        <f>_xlfn.XLOOKUP(B898,orders!A:A,orders!C:C)</f>
        <v>45907</v>
      </c>
      <c r="K898" s="6" t="str">
        <f t="shared" ref="K898:K961" si="29">TEXT(J898,"mmm-yyyy")</f>
        <v>Sep-2025</v>
      </c>
      <c r="L898" s="6">
        <f>_xlfn.XLOOKUP(B898,orders!A:A,orders!B:B)</f>
        <v>77</v>
      </c>
      <c r="M898" s="6" t="str">
        <f>_xlfn.XLOOKUP("C"&amp;TEXT(L898,"000"),customers!A:A,customers!B:B,"Not Found")</f>
        <v>Kiran W.</v>
      </c>
    </row>
    <row r="899" spans="1:13">
      <c r="A899">
        <v>898</v>
      </c>
      <c r="B899">
        <v>549</v>
      </c>
      <c r="C899">
        <v>7</v>
      </c>
      <c r="D899" s="4">
        <v>3</v>
      </c>
      <c r="E899">
        <f>_xlfn.XLOOKUP(C899,products!A:A,products!D:D)</f>
        <v>1459</v>
      </c>
      <c r="F899">
        <f t="shared" si="28"/>
        <v>4377</v>
      </c>
      <c r="G899">
        <f>D899*(E899-_xlfn.XLOOKUP(C899,products!A:A,products!E:E))</f>
        <v>1510.0500000000002</v>
      </c>
      <c r="H899" s="6" t="str">
        <f>_xlfn.XLOOKUP(C899,products!A:A,products!C:C)</f>
        <v>Electronics</v>
      </c>
      <c r="I899" s="6" t="str">
        <f>_xlfn.XLOOKUP(C899,products!A:A,products!B:B)</f>
        <v>Monitor</v>
      </c>
      <c r="J899" s="6">
        <f>_xlfn.XLOOKUP(B899,orders!A:A,orders!C:C)</f>
        <v>45907</v>
      </c>
      <c r="K899" s="6" t="str">
        <f t="shared" si="29"/>
        <v>Sep-2025</v>
      </c>
      <c r="L899" s="6">
        <f>_xlfn.XLOOKUP(B899,orders!A:A,orders!B:B)</f>
        <v>77</v>
      </c>
      <c r="M899" s="6" t="str">
        <f>_xlfn.XLOOKUP("C"&amp;TEXT(L899,"000"),customers!A:A,customers!B:B,"Not Found")</f>
        <v>Kiran W.</v>
      </c>
    </row>
    <row r="900" spans="1:13">
      <c r="A900">
        <v>899</v>
      </c>
      <c r="B900">
        <v>550</v>
      </c>
      <c r="C900">
        <v>1</v>
      </c>
      <c r="D900" s="4">
        <v>3</v>
      </c>
      <c r="E900">
        <f>_xlfn.XLOOKUP(C900,products!A:A,products!D:D)</f>
        <v>637</v>
      </c>
      <c r="F900">
        <f t="shared" si="28"/>
        <v>1911</v>
      </c>
      <c r="G900">
        <f>D900*(E900-_xlfn.XLOOKUP(C900,products!A:A,products!E:E))</f>
        <v>831.27</v>
      </c>
      <c r="H900" s="6" t="str">
        <f>_xlfn.XLOOKUP(C900,products!A:A,products!C:C)</f>
        <v>Electronics</v>
      </c>
      <c r="I900" s="6" t="str">
        <f>_xlfn.XLOOKUP(C900,products!A:A,products!B:B)</f>
        <v>Laptop</v>
      </c>
      <c r="J900" s="6">
        <f>_xlfn.XLOOKUP(B900,orders!A:A,orders!C:C)</f>
        <v>45910</v>
      </c>
      <c r="K900" s="6" t="str">
        <f t="shared" si="29"/>
        <v>Sep-2025</v>
      </c>
      <c r="L900" s="6">
        <f>_xlfn.XLOOKUP(B900,orders!A:A,orders!B:B)</f>
        <v>114</v>
      </c>
      <c r="M900" s="6" t="str">
        <f>_xlfn.XLOOKUP("C"&amp;TEXT(L900,"000"),customers!A:A,customers!B:B,"Not Found")</f>
        <v>Pooja U.</v>
      </c>
    </row>
    <row r="901" spans="1:13">
      <c r="A901">
        <v>900</v>
      </c>
      <c r="B901">
        <v>550</v>
      </c>
      <c r="C901">
        <v>14</v>
      </c>
      <c r="D901" s="4">
        <v>4</v>
      </c>
      <c r="E901">
        <f>_xlfn.XLOOKUP(C901,products!A:A,products!D:D)</f>
        <v>2418</v>
      </c>
      <c r="F901">
        <f t="shared" si="28"/>
        <v>9672</v>
      </c>
      <c r="G901">
        <f>D901*(E901-_xlfn.XLOOKUP(C901,products!A:A,products!E:E))</f>
        <v>3772.08</v>
      </c>
      <c r="H901" s="6" t="str">
        <f>_xlfn.XLOOKUP(C901,products!A:A,products!C:C)</f>
        <v>Fashion</v>
      </c>
      <c r="I901" s="6" t="str">
        <f>_xlfn.XLOOKUP(C901,products!A:A,products!B:B)</f>
        <v>Jacket</v>
      </c>
      <c r="J901" s="6">
        <f>_xlfn.XLOOKUP(B901,orders!A:A,orders!C:C)</f>
        <v>45910</v>
      </c>
      <c r="K901" s="6" t="str">
        <f t="shared" si="29"/>
        <v>Sep-2025</v>
      </c>
      <c r="L901" s="6">
        <f>_xlfn.XLOOKUP(B901,orders!A:A,orders!B:B)</f>
        <v>114</v>
      </c>
      <c r="M901" s="6" t="str">
        <f>_xlfn.XLOOKUP("C"&amp;TEXT(L901,"000"),customers!A:A,customers!B:B,"Not Found")</f>
        <v>Pooja U.</v>
      </c>
    </row>
    <row r="902" spans="1:13">
      <c r="A902">
        <v>901</v>
      </c>
      <c r="B902">
        <v>551</v>
      </c>
      <c r="C902">
        <v>8</v>
      </c>
      <c r="D902" s="4">
        <v>4</v>
      </c>
      <c r="E902">
        <f>_xlfn.XLOOKUP(C902,products!A:A,products!D:D)</f>
        <v>1596</v>
      </c>
      <c r="F902">
        <f t="shared" si="28"/>
        <v>6384</v>
      </c>
      <c r="G902">
        <f>D902*(E902-_xlfn.XLOOKUP(C902,products!A:A,products!E:E))</f>
        <v>2106.7200000000003</v>
      </c>
      <c r="H902" s="6" t="str">
        <f>_xlfn.XLOOKUP(C902,products!A:A,products!C:C)</f>
        <v>Electronics</v>
      </c>
      <c r="I902" s="6" t="str">
        <f>_xlfn.XLOOKUP(C902,products!A:A,products!B:B)</f>
        <v>Tablet</v>
      </c>
      <c r="J902" s="6">
        <f>_xlfn.XLOOKUP(B902,orders!A:A,orders!C:C)</f>
        <v>45913</v>
      </c>
      <c r="K902" s="6" t="str">
        <f t="shared" si="29"/>
        <v>Sep-2025</v>
      </c>
      <c r="L902" s="6">
        <f>_xlfn.XLOOKUP(B902,orders!A:A,orders!B:B)</f>
        <v>151</v>
      </c>
      <c r="M902" s="6" t="str">
        <f>_xlfn.XLOOKUP("C"&amp;TEXT(L902,"000"),customers!A:A,customers!B:B,"Not Found")</f>
        <v>Ravi C.</v>
      </c>
    </row>
    <row r="903" spans="1:13">
      <c r="A903">
        <v>902</v>
      </c>
      <c r="B903">
        <v>551</v>
      </c>
      <c r="C903">
        <v>21</v>
      </c>
      <c r="D903" s="4">
        <v>1</v>
      </c>
      <c r="E903">
        <f>_xlfn.XLOOKUP(C903,products!A:A,products!D:D)</f>
        <v>3377</v>
      </c>
      <c r="F903">
        <f t="shared" si="28"/>
        <v>3377</v>
      </c>
      <c r="G903">
        <f>D903*(E903-_xlfn.XLOOKUP(C903,products!A:A,products!E:E))</f>
        <v>1468.99</v>
      </c>
      <c r="H903" s="6" t="str">
        <f>_xlfn.XLOOKUP(C903,products!A:A,products!C:C)</f>
        <v>Home Appliances</v>
      </c>
      <c r="I903" s="6" t="str">
        <f>_xlfn.XLOOKUP(C903,products!A:A,products!B:B)</f>
        <v>Mixer</v>
      </c>
      <c r="J903" s="6">
        <f>_xlfn.XLOOKUP(B903,orders!A:A,orders!C:C)</f>
        <v>45913</v>
      </c>
      <c r="K903" s="6" t="str">
        <f t="shared" si="29"/>
        <v>Sep-2025</v>
      </c>
      <c r="L903" s="6">
        <f>_xlfn.XLOOKUP(B903,orders!A:A,orders!B:B)</f>
        <v>151</v>
      </c>
      <c r="M903" s="6" t="str">
        <f>_xlfn.XLOOKUP("C"&amp;TEXT(L903,"000"),customers!A:A,customers!B:B,"Not Found")</f>
        <v>Ravi C.</v>
      </c>
    </row>
    <row r="904" spans="1:13">
      <c r="A904">
        <v>903</v>
      </c>
      <c r="B904">
        <v>552</v>
      </c>
      <c r="C904">
        <v>15</v>
      </c>
      <c r="D904" s="4">
        <v>1</v>
      </c>
      <c r="E904">
        <f>_xlfn.XLOOKUP(C904,products!A:A,products!D:D)</f>
        <v>2555</v>
      </c>
      <c r="F904">
        <f t="shared" si="28"/>
        <v>2555</v>
      </c>
      <c r="G904">
        <f>D904*(E904-_xlfn.XLOOKUP(C904,products!A:A,products!E:E))</f>
        <v>958.11999999999989</v>
      </c>
      <c r="H904" s="6" t="str">
        <f>_xlfn.XLOOKUP(C904,products!A:A,products!C:C)</f>
        <v>Fashion</v>
      </c>
      <c r="I904" s="6" t="str">
        <f>_xlfn.XLOOKUP(C904,products!A:A,products!B:B)</f>
        <v>Shoes</v>
      </c>
      <c r="J904" s="6">
        <f>_xlfn.XLOOKUP(B904,orders!A:A,orders!C:C)</f>
        <v>45916</v>
      </c>
      <c r="K904" s="6" t="str">
        <f t="shared" si="29"/>
        <v>Sep-2025</v>
      </c>
      <c r="L904" s="6">
        <f>_xlfn.XLOOKUP(B904,orders!A:A,orders!B:B)</f>
        <v>188</v>
      </c>
      <c r="M904" s="6" t="str">
        <f>_xlfn.XLOOKUP("C"&amp;TEXT(L904,"000"),customers!A:A,customers!B:B,"Not Found")</f>
        <v>Sneha S.</v>
      </c>
    </row>
    <row r="905" spans="1:13">
      <c r="A905">
        <v>904</v>
      </c>
      <c r="B905">
        <v>552</v>
      </c>
      <c r="C905">
        <v>28</v>
      </c>
      <c r="D905" s="4">
        <v>2</v>
      </c>
      <c r="E905">
        <f>_xlfn.XLOOKUP(C905,products!A:A,products!D:D)</f>
        <v>4336</v>
      </c>
      <c r="F905">
        <f t="shared" si="28"/>
        <v>8672</v>
      </c>
      <c r="G905">
        <f>D905*(E905-_xlfn.XLOOKUP(C905,products!A:A,products!E:E))</f>
        <v>2861.76</v>
      </c>
      <c r="H905" s="6" t="str">
        <f>_xlfn.XLOOKUP(C905,products!A:A,products!C:C)</f>
        <v>Home &amp; Kitchen</v>
      </c>
      <c r="I905" s="6" t="str">
        <f>_xlfn.XLOOKUP(C905,products!A:A,products!B:B)</f>
        <v>Bottle</v>
      </c>
      <c r="J905" s="6">
        <f>_xlfn.XLOOKUP(B905,orders!A:A,orders!C:C)</f>
        <v>45916</v>
      </c>
      <c r="K905" s="6" t="str">
        <f t="shared" si="29"/>
        <v>Sep-2025</v>
      </c>
      <c r="L905" s="6">
        <f>_xlfn.XLOOKUP(B905,orders!A:A,orders!B:B)</f>
        <v>188</v>
      </c>
      <c r="M905" s="6" t="str">
        <f>_xlfn.XLOOKUP("C"&amp;TEXT(L905,"000"),customers!A:A,customers!B:B,"Not Found")</f>
        <v>Sneha S.</v>
      </c>
    </row>
    <row r="906" spans="1:13">
      <c r="A906">
        <v>905</v>
      </c>
      <c r="B906">
        <v>553</v>
      </c>
      <c r="C906">
        <v>22</v>
      </c>
      <c r="D906" s="4">
        <v>2</v>
      </c>
      <c r="E906">
        <f>_xlfn.XLOOKUP(C906,products!A:A,products!D:D)</f>
        <v>3514</v>
      </c>
      <c r="F906">
        <f t="shared" si="28"/>
        <v>7028</v>
      </c>
      <c r="G906">
        <f>D906*(E906-_xlfn.XLOOKUP(C906,products!A:A,products!E:E))</f>
        <v>2951.76</v>
      </c>
      <c r="H906" s="6" t="str">
        <f>_xlfn.XLOOKUP(C906,products!A:A,products!C:C)</f>
        <v>Home Appliances</v>
      </c>
      <c r="I906" s="6" t="str">
        <f>_xlfn.XLOOKUP(C906,products!A:A,products!B:B)</f>
        <v>Microwave</v>
      </c>
      <c r="J906" s="6">
        <f>_xlfn.XLOOKUP(B906,orders!A:A,orders!C:C)</f>
        <v>45919</v>
      </c>
      <c r="K906" s="6" t="str">
        <f t="shared" si="29"/>
        <v>Sep-2025</v>
      </c>
      <c r="L906" s="6">
        <f>_xlfn.XLOOKUP(B906,orders!A:A,orders!B:B)</f>
        <v>225</v>
      </c>
      <c r="M906" s="6" t="str">
        <f>_xlfn.XLOOKUP("C"&amp;TEXT(L906,"000"),customers!A:A,customers!B:B,"Not Found")</f>
        <v>Divya V.</v>
      </c>
    </row>
    <row r="907" spans="1:13">
      <c r="A907">
        <v>906</v>
      </c>
      <c r="B907">
        <v>553</v>
      </c>
      <c r="C907">
        <v>35</v>
      </c>
      <c r="D907" s="4">
        <v>3</v>
      </c>
      <c r="E907">
        <f>_xlfn.XLOOKUP(C907,products!A:A,products!D:D)</f>
        <v>5295</v>
      </c>
      <c r="F907">
        <f t="shared" si="28"/>
        <v>15885</v>
      </c>
      <c r="G907">
        <f>D907*(E907-_xlfn.XLOOKUP(C907,products!A:A,products!E:E))</f>
        <v>5956.86</v>
      </c>
      <c r="H907" s="6" t="str">
        <f>_xlfn.XLOOKUP(C907,products!A:A,products!C:C)</f>
        <v>Books</v>
      </c>
      <c r="I907" s="6" t="str">
        <f>_xlfn.XLOOKUP(C907,products!A:A,products!B:B)</f>
        <v>Novel</v>
      </c>
      <c r="J907" s="6">
        <f>_xlfn.XLOOKUP(B907,orders!A:A,orders!C:C)</f>
        <v>45919</v>
      </c>
      <c r="K907" s="6" t="str">
        <f t="shared" si="29"/>
        <v>Sep-2025</v>
      </c>
      <c r="L907" s="6">
        <f>_xlfn.XLOOKUP(B907,orders!A:A,orders!B:B)</f>
        <v>225</v>
      </c>
      <c r="M907" s="6" t="str">
        <f>_xlfn.XLOOKUP("C"&amp;TEXT(L907,"000"),customers!A:A,customers!B:B,"Not Found")</f>
        <v>Divya V.</v>
      </c>
    </row>
    <row r="908" spans="1:13">
      <c r="A908">
        <v>907</v>
      </c>
      <c r="B908">
        <v>554</v>
      </c>
      <c r="C908">
        <v>29</v>
      </c>
      <c r="D908" s="4">
        <v>3</v>
      </c>
      <c r="E908">
        <f>_xlfn.XLOOKUP(C908,products!A:A,products!D:D)</f>
        <v>4473</v>
      </c>
      <c r="F908">
        <f t="shared" si="28"/>
        <v>13419</v>
      </c>
      <c r="G908">
        <f>D908*(E908-_xlfn.XLOOKUP(C908,products!A:A,products!E:E))</f>
        <v>4226.9699999999993</v>
      </c>
      <c r="H908" s="6" t="str">
        <f>_xlfn.XLOOKUP(C908,products!A:A,products!C:C)</f>
        <v>Furniture</v>
      </c>
      <c r="I908" s="6" t="str">
        <f>_xlfn.XLOOKUP(C908,products!A:A,products!B:B)</f>
        <v>Chair</v>
      </c>
      <c r="J908" s="6">
        <f>_xlfn.XLOOKUP(B908,orders!A:A,orders!C:C)</f>
        <v>45922</v>
      </c>
      <c r="K908" s="6" t="str">
        <f t="shared" si="29"/>
        <v>Sep-2025</v>
      </c>
      <c r="L908" s="6">
        <f>_xlfn.XLOOKUP(B908,orders!A:A,orders!B:B)</f>
        <v>262</v>
      </c>
      <c r="M908" s="6" t="str">
        <f>_xlfn.XLOOKUP("C"&amp;TEXT(L908,"000"),customers!A:A,customers!B:B,"Not Found")</f>
        <v>Manoj D.</v>
      </c>
    </row>
    <row r="909" spans="1:13">
      <c r="A909">
        <v>908</v>
      </c>
      <c r="B909">
        <v>554</v>
      </c>
      <c r="C909">
        <v>42</v>
      </c>
      <c r="D909" s="4">
        <v>4</v>
      </c>
      <c r="E909">
        <f>_xlfn.XLOOKUP(C909,products!A:A,products!D:D)</f>
        <v>6254</v>
      </c>
      <c r="F909">
        <f t="shared" si="28"/>
        <v>25016</v>
      </c>
      <c r="G909">
        <f>D909*(E909-_xlfn.XLOOKUP(C909,products!A:A,products!E:E))</f>
        <v>10506.72</v>
      </c>
      <c r="H909" s="6" t="str">
        <f>_xlfn.XLOOKUP(C909,products!A:A,products!C:C)</f>
        <v>Beauty</v>
      </c>
      <c r="I909" s="6" t="str">
        <f>_xlfn.XLOOKUP(C909,products!A:A,products!B:B)</f>
        <v>Shampoo</v>
      </c>
      <c r="J909" s="6">
        <f>_xlfn.XLOOKUP(B909,orders!A:A,orders!C:C)</f>
        <v>45922</v>
      </c>
      <c r="K909" s="6" t="str">
        <f t="shared" si="29"/>
        <v>Sep-2025</v>
      </c>
      <c r="L909" s="6">
        <f>_xlfn.XLOOKUP(B909,orders!A:A,orders!B:B)</f>
        <v>262</v>
      </c>
      <c r="M909" s="6" t="str">
        <f>_xlfn.XLOOKUP("C"&amp;TEXT(L909,"000"),customers!A:A,customers!B:B,"Not Found")</f>
        <v>Manoj D.</v>
      </c>
    </row>
    <row r="910" spans="1:13">
      <c r="A910">
        <v>909</v>
      </c>
      <c r="B910">
        <v>555</v>
      </c>
      <c r="C910">
        <v>36</v>
      </c>
      <c r="D910" s="4">
        <v>4</v>
      </c>
      <c r="E910">
        <f>_xlfn.XLOOKUP(C910,products!A:A,products!D:D)</f>
        <v>5432</v>
      </c>
      <c r="F910">
        <f t="shared" si="28"/>
        <v>21728</v>
      </c>
      <c r="G910">
        <f>D910*(E910-_xlfn.XLOOKUP(C910,products!A:A,products!E:E))</f>
        <v>7822.08</v>
      </c>
      <c r="H910" s="6" t="str">
        <f>_xlfn.XLOOKUP(C910,products!A:A,products!C:C)</f>
        <v>Sports</v>
      </c>
      <c r="I910" s="6" t="str">
        <f>_xlfn.XLOOKUP(C910,products!A:A,products!B:B)</f>
        <v>Cricket Bat</v>
      </c>
      <c r="J910" s="6">
        <f>_xlfn.XLOOKUP(B910,orders!A:A,orders!C:C)</f>
        <v>45925</v>
      </c>
      <c r="K910" s="6" t="str">
        <f t="shared" si="29"/>
        <v>Sep-2025</v>
      </c>
      <c r="L910" s="6">
        <f>_xlfn.XLOOKUP(B910,orders!A:A,orders!B:B)</f>
        <v>299</v>
      </c>
      <c r="M910" s="6" t="str">
        <f>_xlfn.XLOOKUP("C"&amp;TEXT(L910,"000"),customers!A:A,customers!B:B,"Not Found")</f>
        <v>Arjun M.</v>
      </c>
    </row>
    <row r="911" spans="1:13">
      <c r="A911">
        <v>910</v>
      </c>
      <c r="B911">
        <v>555</v>
      </c>
      <c r="C911">
        <v>49</v>
      </c>
      <c r="D911" s="4">
        <v>1</v>
      </c>
      <c r="E911">
        <f>_xlfn.XLOOKUP(C911,products!A:A,products!D:D)</f>
        <v>7213</v>
      </c>
      <c r="F911">
        <f t="shared" si="28"/>
        <v>7213</v>
      </c>
      <c r="G911">
        <f>D911*(E911-_xlfn.XLOOKUP(C911,products!A:A,products!E:E))</f>
        <v>2272.09</v>
      </c>
      <c r="H911" s="6" t="str">
        <f>_xlfn.XLOOKUP(C911,products!A:A,products!C:C)</f>
        <v>Toys</v>
      </c>
      <c r="I911" s="6" t="str">
        <f>_xlfn.XLOOKUP(C911,products!A:A,products!B:B)</f>
        <v>Remote Car</v>
      </c>
      <c r="J911" s="6">
        <f>_xlfn.XLOOKUP(B911,orders!A:A,orders!C:C)</f>
        <v>45925</v>
      </c>
      <c r="K911" s="6" t="str">
        <f t="shared" si="29"/>
        <v>Sep-2025</v>
      </c>
      <c r="L911" s="6">
        <f>_xlfn.XLOOKUP(B911,orders!A:A,orders!B:B)</f>
        <v>299</v>
      </c>
      <c r="M911" s="6" t="str">
        <f>_xlfn.XLOOKUP("C"&amp;TEXT(L911,"000"),customers!A:A,customers!B:B,"Not Found")</f>
        <v>Arjun M.</v>
      </c>
    </row>
    <row r="912" spans="1:13">
      <c r="A912">
        <v>911</v>
      </c>
      <c r="B912">
        <v>556</v>
      </c>
      <c r="C912">
        <v>43</v>
      </c>
      <c r="D912" s="4">
        <v>1</v>
      </c>
      <c r="E912">
        <f>_xlfn.XLOOKUP(C912,products!A:A,products!D:D)</f>
        <v>6391</v>
      </c>
      <c r="F912">
        <f t="shared" si="28"/>
        <v>6391</v>
      </c>
      <c r="G912">
        <f>D912*(E912-_xlfn.XLOOKUP(C912,products!A:A,products!E:E))</f>
        <v>2588.35</v>
      </c>
      <c r="H912" s="6" t="str">
        <f>_xlfn.XLOOKUP(C912,products!A:A,products!C:C)</f>
        <v>Beauty</v>
      </c>
      <c r="I912" s="6" t="str">
        <f>_xlfn.XLOOKUP(C912,products!A:A,products!B:B)</f>
        <v>Perfume</v>
      </c>
      <c r="J912" s="6">
        <f>_xlfn.XLOOKUP(B912,orders!A:A,orders!C:C)</f>
        <v>45928</v>
      </c>
      <c r="K912" s="6" t="str">
        <f t="shared" si="29"/>
        <v>Sep-2025</v>
      </c>
      <c r="L912" s="6">
        <f>_xlfn.XLOOKUP(B912,orders!A:A,orders!B:B)</f>
        <v>336</v>
      </c>
      <c r="M912" s="6" t="str">
        <f>_xlfn.XLOOKUP("C"&amp;TEXT(L912,"000"),customers!A:A,customers!B:B,"Not Found")</f>
        <v>Arjun E.</v>
      </c>
    </row>
    <row r="913" spans="1:13">
      <c r="A913">
        <v>912</v>
      </c>
      <c r="B913">
        <v>556</v>
      </c>
      <c r="C913">
        <v>6</v>
      </c>
      <c r="D913" s="4">
        <v>2</v>
      </c>
      <c r="E913">
        <f>_xlfn.XLOOKUP(C913,products!A:A,products!D:D)</f>
        <v>1322</v>
      </c>
      <c r="F913">
        <f t="shared" si="28"/>
        <v>2644</v>
      </c>
      <c r="G913">
        <f>D913*(E913-_xlfn.XLOOKUP(C913,products!A:A,products!E:E))</f>
        <v>951.83999999999992</v>
      </c>
      <c r="H913" s="6" t="str">
        <f>_xlfn.XLOOKUP(C913,products!A:A,products!C:C)</f>
        <v>Electronics</v>
      </c>
      <c r="I913" s="6" t="str">
        <f>_xlfn.XLOOKUP(C913,products!A:A,products!B:B)</f>
        <v>Mouse</v>
      </c>
      <c r="J913" s="6">
        <f>_xlfn.XLOOKUP(B913,orders!A:A,orders!C:C)</f>
        <v>45928</v>
      </c>
      <c r="K913" s="6" t="str">
        <f t="shared" si="29"/>
        <v>Sep-2025</v>
      </c>
      <c r="L913" s="6">
        <f>_xlfn.XLOOKUP(B913,orders!A:A,orders!B:B)</f>
        <v>336</v>
      </c>
      <c r="M913" s="6" t="str">
        <f>_xlfn.XLOOKUP("C"&amp;TEXT(L913,"000"),customers!A:A,customers!B:B,"Not Found")</f>
        <v>Arjun E.</v>
      </c>
    </row>
    <row r="914" spans="1:13">
      <c r="A914">
        <v>913</v>
      </c>
      <c r="B914">
        <v>557</v>
      </c>
      <c r="C914">
        <v>50</v>
      </c>
      <c r="D914" s="4">
        <v>2</v>
      </c>
      <c r="E914">
        <f>_xlfn.XLOOKUP(C914,products!A:A,products!D:D)</f>
        <v>7350</v>
      </c>
      <c r="F914">
        <f t="shared" si="28"/>
        <v>14700</v>
      </c>
      <c r="G914">
        <f>D914*(E914-_xlfn.XLOOKUP(C914,products!A:A,products!E:E))</f>
        <v>6615</v>
      </c>
      <c r="H914" s="6" t="str">
        <f>_xlfn.XLOOKUP(C914,products!A:A,products!C:C)</f>
        <v>Toys</v>
      </c>
      <c r="I914" s="6" t="str">
        <f>_xlfn.XLOOKUP(C914,products!A:A,products!B:B)</f>
        <v>Building Blocks</v>
      </c>
      <c r="J914" s="6">
        <f>_xlfn.XLOOKUP(B914,orders!A:A,orders!C:C)</f>
        <v>45931</v>
      </c>
      <c r="K914" s="6" t="str">
        <f t="shared" si="29"/>
        <v>Oct-2025</v>
      </c>
      <c r="L914" s="6">
        <f>_xlfn.XLOOKUP(B914,orders!A:A,orders!B:B)</f>
        <v>373</v>
      </c>
      <c r="M914" s="6" t="str">
        <f>_xlfn.XLOOKUP("C"&amp;TEXT(L914,"000"),customers!A:A,customers!B:B,"Not Found")</f>
        <v>Neha Y.</v>
      </c>
    </row>
    <row r="915" spans="1:13">
      <c r="A915">
        <v>914</v>
      </c>
      <c r="B915">
        <v>557</v>
      </c>
      <c r="C915">
        <v>13</v>
      </c>
      <c r="D915" s="4">
        <v>3</v>
      </c>
      <c r="E915">
        <f>_xlfn.XLOOKUP(C915,products!A:A,products!D:D)</f>
        <v>2281</v>
      </c>
      <c r="F915">
        <f t="shared" si="28"/>
        <v>6843</v>
      </c>
      <c r="G915">
        <f>D915*(E915-_xlfn.XLOOKUP(C915,products!A:A,products!E:E))</f>
        <v>2771.3999999999996</v>
      </c>
      <c r="H915" s="6" t="str">
        <f>_xlfn.XLOOKUP(C915,products!A:A,products!C:C)</f>
        <v>Fashion</v>
      </c>
      <c r="I915" s="6" t="str">
        <f>_xlfn.XLOOKUP(C915,products!A:A,products!B:B)</f>
        <v>Shirt</v>
      </c>
      <c r="J915" s="6">
        <f>_xlfn.XLOOKUP(B915,orders!A:A,orders!C:C)</f>
        <v>45931</v>
      </c>
      <c r="K915" s="6" t="str">
        <f t="shared" si="29"/>
        <v>Oct-2025</v>
      </c>
      <c r="L915" s="6">
        <f>_xlfn.XLOOKUP(B915,orders!A:A,orders!B:B)</f>
        <v>373</v>
      </c>
      <c r="M915" s="6" t="str">
        <f>_xlfn.XLOOKUP("C"&amp;TEXT(L915,"000"),customers!A:A,customers!B:B,"Not Found")</f>
        <v>Neha Y.</v>
      </c>
    </row>
    <row r="916" spans="1:13">
      <c r="A916">
        <v>915</v>
      </c>
      <c r="B916">
        <v>558</v>
      </c>
      <c r="C916">
        <v>7</v>
      </c>
      <c r="D916" s="4">
        <v>3</v>
      </c>
      <c r="E916">
        <f>_xlfn.XLOOKUP(C916,products!A:A,products!D:D)</f>
        <v>1459</v>
      </c>
      <c r="F916">
        <f t="shared" si="28"/>
        <v>4377</v>
      </c>
      <c r="G916">
        <f>D916*(E916-_xlfn.XLOOKUP(C916,products!A:A,products!E:E))</f>
        <v>1510.0500000000002</v>
      </c>
      <c r="H916" s="6" t="str">
        <f>_xlfn.XLOOKUP(C916,products!A:A,products!C:C)</f>
        <v>Electronics</v>
      </c>
      <c r="I916" s="6" t="str">
        <f>_xlfn.XLOOKUP(C916,products!A:A,products!B:B)</f>
        <v>Monitor</v>
      </c>
      <c r="J916" s="6">
        <f>_xlfn.XLOOKUP(B916,orders!A:A,orders!C:C)</f>
        <v>45934</v>
      </c>
      <c r="K916" s="6" t="str">
        <f t="shared" si="29"/>
        <v>Oct-2025</v>
      </c>
      <c r="L916" s="6">
        <f>_xlfn.XLOOKUP(B916,orders!A:A,orders!B:B)</f>
        <v>410</v>
      </c>
      <c r="M916" s="6" t="str">
        <f>_xlfn.XLOOKUP("C"&amp;TEXT(L916,"000"),customers!A:A,customers!B:B,"Not Found")</f>
        <v>Priya A.</v>
      </c>
    </row>
    <row r="917" spans="1:13">
      <c r="A917">
        <v>916</v>
      </c>
      <c r="B917">
        <v>558</v>
      </c>
      <c r="C917">
        <v>20</v>
      </c>
      <c r="D917" s="4">
        <v>4</v>
      </c>
      <c r="E917">
        <f>_xlfn.XLOOKUP(C917,products!A:A,products!D:D)</f>
        <v>3240</v>
      </c>
      <c r="F917">
        <f t="shared" si="28"/>
        <v>12960</v>
      </c>
      <c r="G917">
        <f>D917*(E917-_xlfn.XLOOKUP(C917,products!A:A,products!E:E))</f>
        <v>5832</v>
      </c>
      <c r="H917" s="6" t="str">
        <f>_xlfn.XLOOKUP(C917,products!A:A,products!C:C)</f>
        <v>Fashion</v>
      </c>
      <c r="I917" s="6" t="str">
        <f>_xlfn.XLOOKUP(C917,products!A:A,products!B:B)</f>
        <v>Belt</v>
      </c>
      <c r="J917" s="6">
        <f>_xlfn.XLOOKUP(B917,orders!A:A,orders!C:C)</f>
        <v>45934</v>
      </c>
      <c r="K917" s="6" t="str">
        <f t="shared" si="29"/>
        <v>Oct-2025</v>
      </c>
      <c r="L917" s="6">
        <f>_xlfn.XLOOKUP(B917,orders!A:A,orders!B:B)</f>
        <v>410</v>
      </c>
      <c r="M917" s="6" t="str">
        <f>_xlfn.XLOOKUP("C"&amp;TEXT(L917,"000"),customers!A:A,customers!B:B,"Not Found")</f>
        <v>Priya A.</v>
      </c>
    </row>
    <row r="918" spans="1:13">
      <c r="A918">
        <v>917</v>
      </c>
      <c r="B918">
        <v>559</v>
      </c>
      <c r="C918">
        <v>14</v>
      </c>
      <c r="D918" s="4">
        <v>4</v>
      </c>
      <c r="E918">
        <f>_xlfn.XLOOKUP(C918,products!A:A,products!D:D)</f>
        <v>2418</v>
      </c>
      <c r="F918">
        <f t="shared" si="28"/>
        <v>9672</v>
      </c>
      <c r="G918">
        <f>D918*(E918-_xlfn.XLOOKUP(C918,products!A:A,products!E:E))</f>
        <v>3772.08</v>
      </c>
      <c r="H918" s="6" t="str">
        <f>_xlfn.XLOOKUP(C918,products!A:A,products!C:C)</f>
        <v>Fashion</v>
      </c>
      <c r="I918" s="6" t="str">
        <f>_xlfn.XLOOKUP(C918,products!A:A,products!B:B)</f>
        <v>Jacket</v>
      </c>
      <c r="J918" s="6">
        <f>_xlfn.XLOOKUP(B918,orders!A:A,orders!C:C)</f>
        <v>45937</v>
      </c>
      <c r="K918" s="6" t="str">
        <f t="shared" si="29"/>
        <v>Oct-2025</v>
      </c>
      <c r="L918" s="6">
        <f>_xlfn.XLOOKUP(B918,orders!A:A,orders!B:B)</f>
        <v>447</v>
      </c>
      <c r="M918" s="6" t="str">
        <f>_xlfn.XLOOKUP("C"&amp;TEXT(L918,"000"),customers!A:A,customers!B:B,"Not Found")</f>
        <v>Ravi R.</v>
      </c>
    </row>
    <row r="919" spans="1:13">
      <c r="A919">
        <v>918</v>
      </c>
      <c r="B919">
        <v>559</v>
      </c>
      <c r="C919">
        <v>27</v>
      </c>
      <c r="D919" s="4">
        <v>1</v>
      </c>
      <c r="E919">
        <f>_xlfn.XLOOKUP(C919,products!A:A,products!D:D)</f>
        <v>4199</v>
      </c>
      <c r="F919">
        <f t="shared" si="28"/>
        <v>4199</v>
      </c>
      <c r="G919">
        <f>D919*(E919-_xlfn.XLOOKUP(C919,products!A:A,products!E:E))</f>
        <v>1448.65</v>
      </c>
      <c r="H919" s="6" t="str">
        <f>_xlfn.XLOOKUP(C919,products!A:A,products!C:C)</f>
        <v>Home &amp; Kitchen</v>
      </c>
      <c r="I919" s="6" t="str">
        <f>_xlfn.XLOOKUP(C919,products!A:A,products!B:B)</f>
        <v>Cookware Set</v>
      </c>
      <c r="J919" s="6">
        <f>_xlfn.XLOOKUP(B919,orders!A:A,orders!C:C)</f>
        <v>45937</v>
      </c>
      <c r="K919" s="6" t="str">
        <f t="shared" si="29"/>
        <v>Oct-2025</v>
      </c>
      <c r="L919" s="6">
        <f>_xlfn.XLOOKUP(B919,orders!A:A,orders!B:B)</f>
        <v>447</v>
      </c>
      <c r="M919" s="6" t="str">
        <f>_xlfn.XLOOKUP("C"&amp;TEXT(L919,"000"),customers!A:A,customers!B:B,"Not Found")</f>
        <v>Ravi R.</v>
      </c>
    </row>
    <row r="920" spans="1:13">
      <c r="A920">
        <v>919</v>
      </c>
      <c r="B920">
        <v>560</v>
      </c>
      <c r="C920">
        <v>21</v>
      </c>
      <c r="D920" s="4">
        <v>1</v>
      </c>
      <c r="E920">
        <f>_xlfn.XLOOKUP(C920,products!A:A,products!D:D)</f>
        <v>3377</v>
      </c>
      <c r="F920">
        <f t="shared" si="28"/>
        <v>3377</v>
      </c>
      <c r="G920">
        <f>D920*(E920-_xlfn.XLOOKUP(C920,products!A:A,products!E:E))</f>
        <v>1468.99</v>
      </c>
      <c r="H920" s="6" t="str">
        <f>_xlfn.XLOOKUP(C920,products!A:A,products!C:C)</f>
        <v>Home Appliances</v>
      </c>
      <c r="I920" s="6" t="str">
        <f>_xlfn.XLOOKUP(C920,products!A:A,products!B:B)</f>
        <v>Mixer</v>
      </c>
      <c r="J920" s="6">
        <f>_xlfn.XLOOKUP(B920,orders!A:A,orders!C:C)</f>
        <v>45940</v>
      </c>
      <c r="K920" s="6" t="str">
        <f t="shared" si="29"/>
        <v>Oct-2025</v>
      </c>
      <c r="L920" s="6">
        <f>_xlfn.XLOOKUP(B920,orders!A:A,orders!B:B)</f>
        <v>484</v>
      </c>
      <c r="M920" s="6" t="str">
        <f>_xlfn.XLOOKUP("C"&amp;TEXT(L920,"000"),customers!A:A,customers!B:B,"Not Found")</f>
        <v>Neha C.</v>
      </c>
    </row>
    <row r="921" spans="1:13">
      <c r="A921">
        <v>920</v>
      </c>
      <c r="B921">
        <v>560</v>
      </c>
      <c r="C921">
        <v>34</v>
      </c>
      <c r="D921" s="4">
        <v>2</v>
      </c>
      <c r="E921">
        <f>_xlfn.XLOOKUP(C921,products!A:A,products!D:D)</f>
        <v>5158</v>
      </c>
      <c r="F921">
        <f t="shared" si="28"/>
        <v>10316</v>
      </c>
      <c r="G921">
        <f>D921*(E921-_xlfn.XLOOKUP(C921,products!A:A,products!E:E))</f>
        <v>4023.24</v>
      </c>
      <c r="H921" s="6" t="str">
        <f>_xlfn.XLOOKUP(C921,products!A:A,products!C:C)</f>
        <v>Books</v>
      </c>
      <c r="I921" s="6" t="str">
        <f>_xlfn.XLOOKUP(C921,products!A:A,products!B:B)</f>
        <v>Cookbook</v>
      </c>
      <c r="J921" s="6">
        <f>_xlfn.XLOOKUP(B921,orders!A:A,orders!C:C)</f>
        <v>45940</v>
      </c>
      <c r="K921" s="6" t="str">
        <f t="shared" si="29"/>
        <v>Oct-2025</v>
      </c>
      <c r="L921" s="6">
        <f>_xlfn.XLOOKUP(B921,orders!A:A,orders!B:B)</f>
        <v>484</v>
      </c>
      <c r="M921" s="6" t="str">
        <f>_xlfn.XLOOKUP("C"&amp;TEXT(L921,"000"),customers!A:A,customers!B:B,"Not Found")</f>
        <v>Neha C.</v>
      </c>
    </row>
    <row r="922" spans="1:13">
      <c r="A922">
        <v>921</v>
      </c>
      <c r="B922">
        <v>561</v>
      </c>
      <c r="C922">
        <v>28</v>
      </c>
      <c r="D922" s="4">
        <v>2</v>
      </c>
      <c r="E922">
        <f>_xlfn.XLOOKUP(C922,products!A:A,products!D:D)</f>
        <v>4336</v>
      </c>
      <c r="F922">
        <f t="shared" si="28"/>
        <v>8672</v>
      </c>
      <c r="G922">
        <f>D922*(E922-_xlfn.XLOOKUP(C922,products!A:A,products!E:E))</f>
        <v>2861.76</v>
      </c>
      <c r="H922" s="6" t="str">
        <f>_xlfn.XLOOKUP(C922,products!A:A,products!C:C)</f>
        <v>Home &amp; Kitchen</v>
      </c>
      <c r="I922" s="6" t="str">
        <f>_xlfn.XLOOKUP(C922,products!A:A,products!B:B)</f>
        <v>Bottle</v>
      </c>
      <c r="J922" s="6">
        <f>_xlfn.XLOOKUP(B922,orders!A:A,orders!C:C)</f>
        <v>45943</v>
      </c>
      <c r="K922" s="6" t="str">
        <f t="shared" si="29"/>
        <v>Oct-2025</v>
      </c>
      <c r="L922" s="6">
        <f>_xlfn.XLOOKUP(B922,orders!A:A,orders!B:B)</f>
        <v>21</v>
      </c>
      <c r="M922" s="6" t="str">
        <f>_xlfn.XLOOKUP("C"&amp;TEXT(L922,"000"),customers!A:A,customers!B:B,"Not Found")</f>
        <v>Vikram E.</v>
      </c>
    </row>
    <row r="923" spans="1:13">
      <c r="A923">
        <v>922</v>
      </c>
      <c r="B923">
        <v>561</v>
      </c>
      <c r="C923">
        <v>41</v>
      </c>
      <c r="D923" s="4">
        <v>3</v>
      </c>
      <c r="E923">
        <f>_xlfn.XLOOKUP(C923,products!A:A,products!D:D)</f>
        <v>6117</v>
      </c>
      <c r="F923">
        <f t="shared" si="28"/>
        <v>18351</v>
      </c>
      <c r="G923">
        <f>D923*(E923-_xlfn.XLOOKUP(C923,products!A:A,products!E:E))</f>
        <v>7982.67</v>
      </c>
      <c r="H923" s="6" t="str">
        <f>_xlfn.XLOOKUP(C923,products!A:A,products!C:C)</f>
        <v>Beauty</v>
      </c>
      <c r="I923" s="6" t="str">
        <f>_xlfn.XLOOKUP(C923,products!A:A,products!B:B)</f>
        <v>Face Wash</v>
      </c>
      <c r="J923" s="6">
        <f>_xlfn.XLOOKUP(B923,orders!A:A,orders!C:C)</f>
        <v>45943</v>
      </c>
      <c r="K923" s="6" t="str">
        <f t="shared" si="29"/>
        <v>Oct-2025</v>
      </c>
      <c r="L923" s="6">
        <f>_xlfn.XLOOKUP(B923,orders!A:A,orders!B:B)</f>
        <v>21</v>
      </c>
      <c r="M923" s="6" t="str">
        <f>_xlfn.XLOOKUP("C"&amp;TEXT(L923,"000"),customers!A:A,customers!B:B,"Not Found")</f>
        <v>Vikram E.</v>
      </c>
    </row>
    <row r="924" spans="1:13">
      <c r="A924">
        <v>923</v>
      </c>
      <c r="B924">
        <v>562</v>
      </c>
      <c r="C924">
        <v>35</v>
      </c>
      <c r="D924" s="4">
        <v>3</v>
      </c>
      <c r="E924">
        <f>_xlfn.XLOOKUP(C924,products!A:A,products!D:D)</f>
        <v>5295</v>
      </c>
      <c r="F924">
        <f t="shared" si="28"/>
        <v>15885</v>
      </c>
      <c r="G924">
        <f>D924*(E924-_xlfn.XLOOKUP(C924,products!A:A,products!E:E))</f>
        <v>5956.86</v>
      </c>
      <c r="H924" s="6" t="str">
        <f>_xlfn.XLOOKUP(C924,products!A:A,products!C:C)</f>
        <v>Books</v>
      </c>
      <c r="I924" s="6" t="str">
        <f>_xlfn.XLOOKUP(C924,products!A:A,products!B:B)</f>
        <v>Novel</v>
      </c>
      <c r="J924" s="6">
        <f>_xlfn.XLOOKUP(B924,orders!A:A,orders!C:C)</f>
        <v>45946</v>
      </c>
      <c r="K924" s="6" t="str">
        <f t="shared" si="29"/>
        <v>Oct-2025</v>
      </c>
      <c r="L924" s="6">
        <f>_xlfn.XLOOKUP(B924,orders!A:A,orders!B:B)</f>
        <v>58</v>
      </c>
      <c r="M924" s="6" t="str">
        <f>_xlfn.XLOOKUP("C"&amp;TEXT(L924,"000"),customers!A:A,customers!B:B,"Not Found")</f>
        <v>Priya B.</v>
      </c>
    </row>
    <row r="925" spans="1:13">
      <c r="A925">
        <v>924</v>
      </c>
      <c r="B925">
        <v>562</v>
      </c>
      <c r="C925">
        <v>48</v>
      </c>
      <c r="D925" s="4">
        <v>4</v>
      </c>
      <c r="E925">
        <f>_xlfn.XLOOKUP(C925,products!A:A,products!D:D)</f>
        <v>7076</v>
      </c>
      <c r="F925">
        <f t="shared" si="28"/>
        <v>28304</v>
      </c>
      <c r="G925">
        <f>D925*(E925-_xlfn.XLOOKUP(C925,products!A:A,products!E:E))</f>
        <v>9340.32</v>
      </c>
      <c r="H925" s="6" t="str">
        <f>_xlfn.XLOOKUP(C925,products!A:A,products!C:C)</f>
        <v>Toys</v>
      </c>
      <c r="I925" s="6" t="str">
        <f>_xlfn.XLOOKUP(C925,products!A:A,products!B:B)</f>
        <v>Board Game</v>
      </c>
      <c r="J925" s="6">
        <f>_xlfn.XLOOKUP(B925,orders!A:A,orders!C:C)</f>
        <v>45946</v>
      </c>
      <c r="K925" s="6" t="str">
        <f t="shared" si="29"/>
        <v>Oct-2025</v>
      </c>
      <c r="L925" s="6">
        <f>_xlfn.XLOOKUP(B925,orders!A:A,orders!B:B)</f>
        <v>58</v>
      </c>
      <c r="M925" s="6" t="str">
        <f>_xlfn.XLOOKUP("C"&amp;TEXT(L925,"000"),customers!A:A,customers!B:B,"Not Found")</f>
        <v>Priya B.</v>
      </c>
    </row>
    <row r="926" spans="1:13">
      <c r="A926">
        <v>925</v>
      </c>
      <c r="B926">
        <v>563</v>
      </c>
      <c r="C926">
        <v>42</v>
      </c>
      <c r="D926" s="4">
        <v>4</v>
      </c>
      <c r="E926">
        <f>_xlfn.XLOOKUP(C926,products!A:A,products!D:D)</f>
        <v>6254</v>
      </c>
      <c r="F926">
        <f t="shared" si="28"/>
        <v>25016</v>
      </c>
      <c r="G926">
        <f>D926*(E926-_xlfn.XLOOKUP(C926,products!A:A,products!E:E))</f>
        <v>10506.72</v>
      </c>
      <c r="H926" s="6" t="str">
        <f>_xlfn.XLOOKUP(C926,products!A:A,products!C:C)</f>
        <v>Beauty</v>
      </c>
      <c r="I926" s="6" t="str">
        <f>_xlfn.XLOOKUP(C926,products!A:A,products!B:B)</f>
        <v>Shampoo</v>
      </c>
      <c r="J926" s="6">
        <f>_xlfn.XLOOKUP(B926,orders!A:A,orders!C:C)</f>
        <v>45949</v>
      </c>
      <c r="K926" s="6" t="str">
        <f t="shared" si="29"/>
        <v>Oct-2025</v>
      </c>
      <c r="L926" s="6">
        <f>_xlfn.XLOOKUP(B926,orders!A:A,orders!B:B)</f>
        <v>95</v>
      </c>
      <c r="M926" s="6" t="str">
        <f>_xlfn.XLOOKUP("C"&amp;TEXT(L926,"000"),customers!A:A,customers!B:B,"Not Found")</f>
        <v>Kavya C.</v>
      </c>
    </row>
    <row r="927" spans="1:13">
      <c r="A927">
        <v>926</v>
      </c>
      <c r="B927">
        <v>563</v>
      </c>
      <c r="C927">
        <v>5</v>
      </c>
      <c r="D927" s="4">
        <v>1</v>
      </c>
      <c r="E927">
        <f>_xlfn.XLOOKUP(C927,products!A:A,products!D:D)</f>
        <v>1185</v>
      </c>
      <c r="F927">
        <f t="shared" si="28"/>
        <v>1185</v>
      </c>
      <c r="G927">
        <f>D927*(E927-_xlfn.XLOOKUP(C927,products!A:A,products!E:E))</f>
        <v>444.38</v>
      </c>
      <c r="H927" s="6" t="str">
        <f>_xlfn.XLOOKUP(C927,products!A:A,products!C:C)</f>
        <v>Electronics</v>
      </c>
      <c r="I927" s="6" t="str">
        <f>_xlfn.XLOOKUP(C927,products!A:A,products!B:B)</f>
        <v>Keyboard</v>
      </c>
      <c r="J927" s="6">
        <f>_xlfn.XLOOKUP(B927,orders!A:A,orders!C:C)</f>
        <v>45949</v>
      </c>
      <c r="K927" s="6" t="str">
        <f t="shared" si="29"/>
        <v>Oct-2025</v>
      </c>
      <c r="L927" s="6">
        <f>_xlfn.XLOOKUP(B927,orders!A:A,orders!B:B)</f>
        <v>95</v>
      </c>
      <c r="M927" s="6" t="str">
        <f>_xlfn.XLOOKUP("C"&amp;TEXT(L927,"000"),customers!A:A,customers!B:B,"Not Found")</f>
        <v>Kavya C.</v>
      </c>
    </row>
    <row r="928" spans="1:13">
      <c r="A928">
        <v>927</v>
      </c>
      <c r="B928">
        <v>564</v>
      </c>
      <c r="C928">
        <v>49</v>
      </c>
      <c r="D928" s="4">
        <v>1</v>
      </c>
      <c r="E928">
        <f>_xlfn.XLOOKUP(C928,products!A:A,products!D:D)</f>
        <v>7213</v>
      </c>
      <c r="F928">
        <f t="shared" si="28"/>
        <v>7213</v>
      </c>
      <c r="G928">
        <f>D928*(E928-_xlfn.XLOOKUP(C928,products!A:A,products!E:E))</f>
        <v>2272.09</v>
      </c>
      <c r="H928" s="6" t="str">
        <f>_xlfn.XLOOKUP(C928,products!A:A,products!C:C)</f>
        <v>Toys</v>
      </c>
      <c r="I928" s="6" t="str">
        <f>_xlfn.XLOOKUP(C928,products!A:A,products!B:B)</f>
        <v>Remote Car</v>
      </c>
      <c r="J928" s="6">
        <f>_xlfn.XLOOKUP(B928,orders!A:A,orders!C:C)</f>
        <v>45952</v>
      </c>
      <c r="K928" s="6" t="str">
        <f t="shared" si="29"/>
        <v>Oct-2025</v>
      </c>
      <c r="L928" s="6">
        <f>_xlfn.XLOOKUP(B928,orders!A:A,orders!B:B)</f>
        <v>132</v>
      </c>
      <c r="M928" s="6" t="str">
        <f>_xlfn.XLOOKUP("C"&amp;TEXT(L928,"000"),customers!A:A,customers!B:B,"Not Found")</f>
        <v>Rahul H.</v>
      </c>
    </row>
    <row r="929" spans="1:13">
      <c r="A929">
        <v>928</v>
      </c>
      <c r="B929">
        <v>564</v>
      </c>
      <c r="C929">
        <v>12</v>
      </c>
      <c r="D929" s="4">
        <v>2</v>
      </c>
      <c r="E929">
        <f>_xlfn.XLOOKUP(C929,products!A:A,products!D:D)</f>
        <v>2144</v>
      </c>
      <c r="F929">
        <f t="shared" si="28"/>
        <v>4288</v>
      </c>
      <c r="G929">
        <f>D929*(E929-_xlfn.XLOOKUP(C929,products!A:A,products!E:E))</f>
        <v>1800.96</v>
      </c>
      <c r="H929" s="6" t="str">
        <f>_xlfn.XLOOKUP(C929,products!A:A,products!C:C)</f>
        <v>Fashion</v>
      </c>
      <c r="I929" s="6" t="str">
        <f>_xlfn.XLOOKUP(C929,products!A:A,products!B:B)</f>
        <v>Jeans</v>
      </c>
      <c r="J929" s="6">
        <f>_xlfn.XLOOKUP(B929,orders!A:A,orders!C:C)</f>
        <v>45952</v>
      </c>
      <c r="K929" s="6" t="str">
        <f t="shared" si="29"/>
        <v>Oct-2025</v>
      </c>
      <c r="L929" s="6">
        <f>_xlfn.XLOOKUP(B929,orders!A:A,orders!B:B)</f>
        <v>132</v>
      </c>
      <c r="M929" s="6" t="str">
        <f>_xlfn.XLOOKUP("C"&amp;TEXT(L929,"000"),customers!A:A,customers!B:B,"Not Found")</f>
        <v>Rahul H.</v>
      </c>
    </row>
    <row r="930" spans="1:13">
      <c r="A930">
        <v>929</v>
      </c>
      <c r="B930">
        <v>565</v>
      </c>
      <c r="C930">
        <v>6</v>
      </c>
      <c r="D930" s="4">
        <v>2</v>
      </c>
      <c r="E930">
        <f>_xlfn.XLOOKUP(C930,products!A:A,products!D:D)</f>
        <v>1322</v>
      </c>
      <c r="F930">
        <f t="shared" si="28"/>
        <v>2644</v>
      </c>
      <c r="G930">
        <f>D930*(E930-_xlfn.XLOOKUP(C930,products!A:A,products!E:E))</f>
        <v>951.83999999999992</v>
      </c>
      <c r="H930" s="6" t="str">
        <f>_xlfn.XLOOKUP(C930,products!A:A,products!C:C)</f>
        <v>Electronics</v>
      </c>
      <c r="I930" s="6" t="str">
        <f>_xlfn.XLOOKUP(C930,products!A:A,products!B:B)</f>
        <v>Mouse</v>
      </c>
      <c r="J930" s="6">
        <f>_xlfn.XLOOKUP(B930,orders!A:A,orders!C:C)</f>
        <v>45955</v>
      </c>
      <c r="K930" s="6" t="str">
        <f t="shared" si="29"/>
        <v>Oct-2025</v>
      </c>
      <c r="L930" s="6">
        <f>_xlfn.XLOOKUP(B930,orders!A:A,orders!B:B)</f>
        <v>169</v>
      </c>
      <c r="M930" s="6" t="str">
        <f>_xlfn.XLOOKUP("C"&amp;TEXT(L930,"000"),customers!A:A,customers!B:B,"Not Found")</f>
        <v>Pooja D.</v>
      </c>
    </row>
    <row r="931" spans="1:13">
      <c r="A931">
        <v>930</v>
      </c>
      <c r="B931">
        <v>565</v>
      </c>
      <c r="C931">
        <v>19</v>
      </c>
      <c r="D931" s="4">
        <v>3</v>
      </c>
      <c r="E931">
        <f>_xlfn.XLOOKUP(C931,products!A:A,products!D:D)</f>
        <v>3103</v>
      </c>
      <c r="F931">
        <f t="shared" si="28"/>
        <v>9309</v>
      </c>
      <c r="G931">
        <f>D931*(E931-_xlfn.XLOOKUP(C931,products!A:A,products!E:E))</f>
        <v>2932.32</v>
      </c>
      <c r="H931" s="6" t="str">
        <f>_xlfn.XLOOKUP(C931,products!A:A,products!C:C)</f>
        <v>Fashion</v>
      </c>
      <c r="I931" s="6" t="str">
        <f>_xlfn.XLOOKUP(C931,products!A:A,products!B:B)</f>
        <v>Wallet</v>
      </c>
      <c r="J931" s="6">
        <f>_xlfn.XLOOKUP(B931,orders!A:A,orders!C:C)</f>
        <v>45955</v>
      </c>
      <c r="K931" s="6" t="str">
        <f t="shared" si="29"/>
        <v>Oct-2025</v>
      </c>
      <c r="L931" s="6">
        <f>_xlfn.XLOOKUP(B931,orders!A:A,orders!B:B)</f>
        <v>169</v>
      </c>
      <c r="M931" s="6" t="str">
        <f>_xlfn.XLOOKUP("C"&amp;TEXT(L931,"000"),customers!A:A,customers!B:B,"Not Found")</f>
        <v>Pooja D.</v>
      </c>
    </row>
    <row r="932" spans="1:13">
      <c r="A932">
        <v>931</v>
      </c>
      <c r="B932">
        <v>566</v>
      </c>
      <c r="C932">
        <v>13</v>
      </c>
      <c r="D932" s="4">
        <v>3</v>
      </c>
      <c r="E932">
        <f>_xlfn.XLOOKUP(C932,products!A:A,products!D:D)</f>
        <v>2281</v>
      </c>
      <c r="F932">
        <f t="shared" si="28"/>
        <v>6843</v>
      </c>
      <c r="G932">
        <f>D932*(E932-_xlfn.XLOOKUP(C932,products!A:A,products!E:E))</f>
        <v>2771.3999999999996</v>
      </c>
      <c r="H932" s="6" t="str">
        <f>_xlfn.XLOOKUP(C932,products!A:A,products!C:C)</f>
        <v>Fashion</v>
      </c>
      <c r="I932" s="6" t="str">
        <f>_xlfn.XLOOKUP(C932,products!A:A,products!B:B)</f>
        <v>Shirt</v>
      </c>
      <c r="J932" s="6">
        <f>_xlfn.XLOOKUP(B932,orders!A:A,orders!C:C)</f>
        <v>45958</v>
      </c>
      <c r="K932" s="6" t="str">
        <f t="shared" si="29"/>
        <v>Oct-2025</v>
      </c>
      <c r="L932" s="6">
        <f>_xlfn.XLOOKUP(B932,orders!A:A,orders!B:B)</f>
        <v>206</v>
      </c>
      <c r="M932" s="6" t="str">
        <f>_xlfn.XLOOKUP("C"&amp;TEXT(L932,"000"),customers!A:A,customers!B:B,"Not Found")</f>
        <v>Lakshmi P.</v>
      </c>
    </row>
    <row r="933" spans="1:13">
      <c r="A933">
        <v>932</v>
      </c>
      <c r="B933">
        <v>566</v>
      </c>
      <c r="C933">
        <v>26</v>
      </c>
      <c r="D933" s="4">
        <v>4</v>
      </c>
      <c r="E933">
        <f>_xlfn.XLOOKUP(C933,products!A:A,products!D:D)</f>
        <v>4062</v>
      </c>
      <c r="F933">
        <f t="shared" si="28"/>
        <v>16248</v>
      </c>
      <c r="G933">
        <f>D933*(E933-_xlfn.XLOOKUP(C933,products!A:A,products!E:E))</f>
        <v>5849.2800000000007</v>
      </c>
      <c r="H933" s="6" t="str">
        <f>_xlfn.XLOOKUP(C933,products!A:A,products!C:C)</f>
        <v>Home &amp; Kitchen</v>
      </c>
      <c r="I933" s="6" t="str">
        <f>_xlfn.XLOOKUP(C933,products!A:A,products!B:B)</f>
        <v>Bedsheet</v>
      </c>
      <c r="J933" s="6">
        <f>_xlfn.XLOOKUP(B933,orders!A:A,orders!C:C)</f>
        <v>45958</v>
      </c>
      <c r="K933" s="6" t="str">
        <f t="shared" si="29"/>
        <v>Oct-2025</v>
      </c>
      <c r="L933" s="6">
        <f>_xlfn.XLOOKUP(B933,orders!A:A,orders!B:B)</f>
        <v>206</v>
      </c>
      <c r="M933" s="6" t="str">
        <f>_xlfn.XLOOKUP("C"&amp;TEXT(L933,"000"),customers!A:A,customers!B:B,"Not Found")</f>
        <v>Lakshmi P.</v>
      </c>
    </row>
    <row r="934" spans="1:13">
      <c r="A934">
        <v>933</v>
      </c>
      <c r="B934">
        <v>567</v>
      </c>
      <c r="C934">
        <v>20</v>
      </c>
      <c r="D934" s="4">
        <v>4</v>
      </c>
      <c r="E934">
        <f>_xlfn.XLOOKUP(C934,products!A:A,products!D:D)</f>
        <v>3240</v>
      </c>
      <c r="F934">
        <f t="shared" si="28"/>
        <v>12960</v>
      </c>
      <c r="G934">
        <f>D934*(E934-_xlfn.XLOOKUP(C934,products!A:A,products!E:E))</f>
        <v>5832</v>
      </c>
      <c r="H934" s="6" t="str">
        <f>_xlfn.XLOOKUP(C934,products!A:A,products!C:C)</f>
        <v>Fashion</v>
      </c>
      <c r="I934" s="6" t="str">
        <f>_xlfn.XLOOKUP(C934,products!A:A,products!B:B)</f>
        <v>Belt</v>
      </c>
      <c r="J934" s="6">
        <f>_xlfn.XLOOKUP(B934,orders!A:A,orders!C:C)</f>
        <v>45961</v>
      </c>
      <c r="K934" s="6" t="str">
        <f t="shared" si="29"/>
        <v>Oct-2025</v>
      </c>
      <c r="L934" s="6">
        <f>_xlfn.XLOOKUP(B934,orders!A:A,orders!B:B)</f>
        <v>243</v>
      </c>
      <c r="M934" s="6" t="str">
        <f>_xlfn.XLOOKUP("C"&amp;TEXT(L934,"000"),customers!A:A,customers!B:B,"Not Found")</f>
        <v>Pooja P.</v>
      </c>
    </row>
    <row r="935" spans="1:13">
      <c r="A935">
        <v>934</v>
      </c>
      <c r="B935">
        <v>567</v>
      </c>
      <c r="C935">
        <v>33</v>
      </c>
      <c r="D935" s="4">
        <v>1</v>
      </c>
      <c r="E935">
        <f>_xlfn.XLOOKUP(C935,products!A:A,products!D:D)</f>
        <v>5021</v>
      </c>
      <c r="F935">
        <f t="shared" si="28"/>
        <v>5021</v>
      </c>
      <c r="G935">
        <f>D935*(E935-_xlfn.XLOOKUP(C935,products!A:A,products!E:E))</f>
        <v>2033.5</v>
      </c>
      <c r="H935" s="6" t="str">
        <f>_xlfn.XLOOKUP(C935,products!A:A,products!C:C)</f>
        <v>Books</v>
      </c>
      <c r="I935" s="6" t="str">
        <f>_xlfn.XLOOKUP(C935,products!A:A,products!B:B)</f>
        <v>Pen Set</v>
      </c>
      <c r="J935" s="6">
        <f>_xlfn.XLOOKUP(B935,orders!A:A,orders!C:C)</f>
        <v>45961</v>
      </c>
      <c r="K935" s="6" t="str">
        <f t="shared" si="29"/>
        <v>Oct-2025</v>
      </c>
      <c r="L935" s="6">
        <f>_xlfn.XLOOKUP(B935,orders!A:A,orders!B:B)</f>
        <v>243</v>
      </c>
      <c r="M935" s="6" t="str">
        <f>_xlfn.XLOOKUP("C"&amp;TEXT(L935,"000"),customers!A:A,customers!B:B,"Not Found")</f>
        <v>Pooja P.</v>
      </c>
    </row>
    <row r="936" spans="1:13">
      <c r="A936">
        <v>935</v>
      </c>
      <c r="B936">
        <v>568</v>
      </c>
      <c r="C936">
        <v>27</v>
      </c>
      <c r="D936" s="4">
        <v>1</v>
      </c>
      <c r="E936">
        <f>_xlfn.XLOOKUP(C936,products!A:A,products!D:D)</f>
        <v>4199</v>
      </c>
      <c r="F936">
        <f t="shared" si="28"/>
        <v>4199</v>
      </c>
      <c r="G936">
        <f>D936*(E936-_xlfn.XLOOKUP(C936,products!A:A,products!E:E))</f>
        <v>1448.65</v>
      </c>
      <c r="H936" s="6" t="str">
        <f>_xlfn.XLOOKUP(C936,products!A:A,products!C:C)</f>
        <v>Home &amp; Kitchen</v>
      </c>
      <c r="I936" s="6" t="str">
        <f>_xlfn.XLOOKUP(C936,products!A:A,products!B:B)</f>
        <v>Cookware Set</v>
      </c>
      <c r="J936" s="6">
        <f>_xlfn.XLOOKUP(B936,orders!A:A,orders!C:C)</f>
        <v>45964</v>
      </c>
      <c r="K936" s="6" t="str">
        <f t="shared" si="29"/>
        <v>Nov-2025</v>
      </c>
      <c r="L936" s="6">
        <f>_xlfn.XLOOKUP(B936,orders!A:A,orders!B:B)</f>
        <v>280</v>
      </c>
      <c r="M936" s="6" t="str">
        <f>_xlfn.XLOOKUP("C"&amp;TEXT(L936,"000"),customers!A:A,customers!B:B,"Not Found")</f>
        <v>Nikhil Q.</v>
      </c>
    </row>
    <row r="937" spans="1:13">
      <c r="A937">
        <v>936</v>
      </c>
      <c r="B937">
        <v>568</v>
      </c>
      <c r="C937">
        <v>40</v>
      </c>
      <c r="D937" s="4">
        <v>2</v>
      </c>
      <c r="E937">
        <f>_xlfn.XLOOKUP(C937,products!A:A,products!D:D)</f>
        <v>5980</v>
      </c>
      <c r="F937">
        <f t="shared" si="28"/>
        <v>11960</v>
      </c>
      <c r="G937">
        <f>D937*(E937-_xlfn.XLOOKUP(C937,products!A:A,products!E:E))</f>
        <v>5382</v>
      </c>
      <c r="H937" s="6" t="str">
        <f>_xlfn.XLOOKUP(C937,products!A:A,products!C:C)</f>
        <v>Sports</v>
      </c>
      <c r="I937" s="6" t="str">
        <f>_xlfn.XLOOKUP(C937,products!A:A,products!B:B)</f>
        <v>Dumbbells</v>
      </c>
      <c r="J937" s="6">
        <f>_xlfn.XLOOKUP(B937,orders!A:A,orders!C:C)</f>
        <v>45964</v>
      </c>
      <c r="K937" s="6" t="str">
        <f t="shared" si="29"/>
        <v>Nov-2025</v>
      </c>
      <c r="L937" s="6">
        <f>_xlfn.XLOOKUP(B937,orders!A:A,orders!B:B)</f>
        <v>280</v>
      </c>
      <c r="M937" s="6" t="str">
        <f>_xlfn.XLOOKUP("C"&amp;TEXT(L937,"000"),customers!A:A,customers!B:B,"Not Found")</f>
        <v>Nikhil Q.</v>
      </c>
    </row>
    <row r="938" spans="1:13">
      <c r="A938">
        <v>937</v>
      </c>
      <c r="B938">
        <v>569</v>
      </c>
      <c r="C938">
        <v>34</v>
      </c>
      <c r="D938" s="4">
        <v>2</v>
      </c>
      <c r="E938">
        <f>_xlfn.XLOOKUP(C938,products!A:A,products!D:D)</f>
        <v>5158</v>
      </c>
      <c r="F938">
        <f t="shared" si="28"/>
        <v>10316</v>
      </c>
      <c r="G938">
        <f>D938*(E938-_xlfn.XLOOKUP(C938,products!A:A,products!E:E))</f>
        <v>4023.24</v>
      </c>
      <c r="H938" s="6" t="str">
        <f>_xlfn.XLOOKUP(C938,products!A:A,products!C:C)</f>
        <v>Books</v>
      </c>
      <c r="I938" s="6" t="str">
        <f>_xlfn.XLOOKUP(C938,products!A:A,products!B:B)</f>
        <v>Cookbook</v>
      </c>
      <c r="J938" s="6">
        <f>_xlfn.XLOOKUP(B938,orders!A:A,orders!C:C)</f>
        <v>45967</v>
      </c>
      <c r="K938" s="6" t="str">
        <f t="shared" si="29"/>
        <v>Nov-2025</v>
      </c>
      <c r="L938" s="6">
        <f>_xlfn.XLOOKUP(B938,orders!A:A,orders!B:B)</f>
        <v>317</v>
      </c>
      <c r="M938" s="6" t="str">
        <f>_xlfn.XLOOKUP("C"&amp;TEXT(L938,"000"),customers!A:A,customers!B:B,"Not Found")</f>
        <v>Priya L.</v>
      </c>
    </row>
    <row r="939" spans="1:13">
      <c r="A939">
        <v>938</v>
      </c>
      <c r="B939">
        <v>569</v>
      </c>
      <c r="C939">
        <v>47</v>
      </c>
      <c r="D939" s="4">
        <v>3</v>
      </c>
      <c r="E939">
        <f>_xlfn.XLOOKUP(C939,products!A:A,products!D:D)</f>
        <v>6939</v>
      </c>
      <c r="F939">
        <f t="shared" si="28"/>
        <v>20817</v>
      </c>
      <c r="G939">
        <f>D939*(E939-_xlfn.XLOOKUP(C939,products!A:A,products!E:E))</f>
        <v>7181.8499999999995</v>
      </c>
      <c r="H939" s="6" t="str">
        <f>_xlfn.XLOOKUP(C939,products!A:A,products!C:C)</f>
        <v>Toys</v>
      </c>
      <c r="I939" s="6" t="str">
        <f>_xlfn.XLOOKUP(C939,products!A:A,products!B:B)</f>
        <v>Puzzle</v>
      </c>
      <c r="J939" s="6">
        <f>_xlfn.XLOOKUP(B939,orders!A:A,orders!C:C)</f>
        <v>45967</v>
      </c>
      <c r="K939" s="6" t="str">
        <f t="shared" si="29"/>
        <v>Nov-2025</v>
      </c>
      <c r="L939" s="6">
        <f>_xlfn.XLOOKUP(B939,orders!A:A,orders!B:B)</f>
        <v>317</v>
      </c>
      <c r="M939" s="6" t="str">
        <f>_xlfn.XLOOKUP("C"&amp;TEXT(L939,"000"),customers!A:A,customers!B:B,"Not Found")</f>
        <v>Priya L.</v>
      </c>
    </row>
    <row r="940" spans="1:13">
      <c r="A940">
        <v>939</v>
      </c>
      <c r="B940">
        <v>570</v>
      </c>
      <c r="C940">
        <v>41</v>
      </c>
      <c r="D940" s="4">
        <v>3</v>
      </c>
      <c r="E940">
        <f>_xlfn.XLOOKUP(C940,products!A:A,products!D:D)</f>
        <v>6117</v>
      </c>
      <c r="F940">
        <f t="shared" si="28"/>
        <v>18351</v>
      </c>
      <c r="G940">
        <f>D940*(E940-_xlfn.XLOOKUP(C940,products!A:A,products!E:E))</f>
        <v>7982.67</v>
      </c>
      <c r="H940" s="6" t="str">
        <f>_xlfn.XLOOKUP(C940,products!A:A,products!C:C)</f>
        <v>Beauty</v>
      </c>
      <c r="I940" s="6" t="str">
        <f>_xlfn.XLOOKUP(C940,products!A:A,products!B:B)</f>
        <v>Face Wash</v>
      </c>
      <c r="J940" s="6">
        <f>_xlfn.XLOOKUP(B940,orders!A:A,orders!C:C)</f>
        <v>45970</v>
      </c>
      <c r="K940" s="6" t="str">
        <f t="shared" si="29"/>
        <v>Nov-2025</v>
      </c>
      <c r="L940" s="6">
        <f>_xlfn.XLOOKUP(B940,orders!A:A,orders!B:B)</f>
        <v>354</v>
      </c>
      <c r="M940" s="6" t="str">
        <f>_xlfn.XLOOKUP("C"&amp;TEXT(L940,"000"),customers!A:A,customers!B:B,"Not Found")</f>
        <v>Swathi O.</v>
      </c>
    </row>
    <row r="941" spans="1:13">
      <c r="A941">
        <v>940</v>
      </c>
      <c r="B941">
        <v>570</v>
      </c>
      <c r="C941">
        <v>4</v>
      </c>
      <c r="D941" s="4">
        <v>4</v>
      </c>
      <c r="E941">
        <f>_xlfn.XLOOKUP(C941,products!A:A,products!D:D)</f>
        <v>1048</v>
      </c>
      <c r="F941">
        <f t="shared" si="28"/>
        <v>4192</v>
      </c>
      <c r="G941">
        <f>D941*(E941-_xlfn.XLOOKUP(C941,products!A:A,products!E:E))</f>
        <v>1634.88</v>
      </c>
      <c r="H941" s="6" t="str">
        <f>_xlfn.XLOOKUP(C941,products!A:A,products!C:C)</f>
        <v>Electronics</v>
      </c>
      <c r="I941" s="6" t="str">
        <f>_xlfn.XLOOKUP(C941,products!A:A,products!B:B)</f>
        <v>Smart Watch</v>
      </c>
      <c r="J941" s="6">
        <f>_xlfn.XLOOKUP(B941,orders!A:A,orders!C:C)</f>
        <v>45970</v>
      </c>
      <c r="K941" s="6" t="str">
        <f t="shared" si="29"/>
        <v>Nov-2025</v>
      </c>
      <c r="L941" s="6">
        <f>_xlfn.XLOOKUP(B941,orders!A:A,orders!B:B)</f>
        <v>354</v>
      </c>
      <c r="M941" s="6" t="str">
        <f>_xlfn.XLOOKUP("C"&amp;TEXT(L941,"000"),customers!A:A,customers!B:B,"Not Found")</f>
        <v>Swathi O.</v>
      </c>
    </row>
    <row r="942" spans="1:13">
      <c r="A942">
        <v>941</v>
      </c>
      <c r="B942">
        <v>571</v>
      </c>
      <c r="C942">
        <v>48</v>
      </c>
      <c r="D942" s="4">
        <v>4</v>
      </c>
      <c r="E942">
        <f>_xlfn.XLOOKUP(C942,products!A:A,products!D:D)</f>
        <v>7076</v>
      </c>
      <c r="F942">
        <f t="shared" si="28"/>
        <v>28304</v>
      </c>
      <c r="G942">
        <f>D942*(E942-_xlfn.XLOOKUP(C942,products!A:A,products!E:E))</f>
        <v>9340.32</v>
      </c>
      <c r="H942" s="6" t="str">
        <f>_xlfn.XLOOKUP(C942,products!A:A,products!C:C)</f>
        <v>Toys</v>
      </c>
      <c r="I942" s="6" t="str">
        <f>_xlfn.XLOOKUP(C942,products!A:A,products!B:B)</f>
        <v>Board Game</v>
      </c>
      <c r="J942" s="6">
        <f>_xlfn.XLOOKUP(B942,orders!A:A,orders!C:C)</f>
        <v>45973</v>
      </c>
      <c r="K942" s="6" t="str">
        <f t="shared" si="29"/>
        <v>Nov-2025</v>
      </c>
      <c r="L942" s="6">
        <f>_xlfn.XLOOKUP(B942,orders!A:A,orders!B:B)</f>
        <v>391</v>
      </c>
      <c r="M942" s="6" t="str">
        <f>_xlfn.XLOOKUP("C"&amp;TEXT(L942,"000"),customers!A:A,customers!B:B,"Not Found")</f>
        <v>Divya W.</v>
      </c>
    </row>
    <row r="943" spans="1:13">
      <c r="A943">
        <v>942</v>
      </c>
      <c r="B943">
        <v>571</v>
      </c>
      <c r="C943">
        <v>11</v>
      </c>
      <c r="D943" s="4">
        <v>1</v>
      </c>
      <c r="E943">
        <f>_xlfn.XLOOKUP(C943,products!A:A,products!D:D)</f>
        <v>2007</v>
      </c>
      <c r="F943">
        <f t="shared" si="28"/>
        <v>2007</v>
      </c>
      <c r="G943">
        <f>D943*(E943-_xlfn.XLOOKUP(C943,products!A:A,products!E:E))</f>
        <v>873.04</v>
      </c>
      <c r="H943" s="6" t="str">
        <f>_xlfn.XLOOKUP(C943,products!A:A,products!C:C)</f>
        <v>Fashion</v>
      </c>
      <c r="I943" s="6" t="str">
        <f>_xlfn.XLOOKUP(C943,products!A:A,products!B:B)</f>
        <v>T-Shirt</v>
      </c>
      <c r="J943" s="6">
        <f>_xlfn.XLOOKUP(B943,orders!A:A,orders!C:C)</f>
        <v>45973</v>
      </c>
      <c r="K943" s="6" t="str">
        <f t="shared" si="29"/>
        <v>Nov-2025</v>
      </c>
      <c r="L943" s="6">
        <f>_xlfn.XLOOKUP(B943,orders!A:A,orders!B:B)</f>
        <v>391</v>
      </c>
      <c r="M943" s="6" t="str">
        <f>_xlfn.XLOOKUP("C"&amp;TEXT(L943,"000"),customers!A:A,customers!B:B,"Not Found")</f>
        <v>Divya W.</v>
      </c>
    </row>
    <row r="944" spans="1:13">
      <c r="A944">
        <v>943</v>
      </c>
      <c r="B944">
        <v>572</v>
      </c>
      <c r="C944">
        <v>5</v>
      </c>
      <c r="D944" s="4">
        <v>1</v>
      </c>
      <c r="E944">
        <f>_xlfn.XLOOKUP(C944,products!A:A,products!D:D)</f>
        <v>1185</v>
      </c>
      <c r="F944">
        <f t="shared" si="28"/>
        <v>1185</v>
      </c>
      <c r="G944">
        <f>D944*(E944-_xlfn.XLOOKUP(C944,products!A:A,products!E:E))</f>
        <v>444.38</v>
      </c>
      <c r="H944" s="6" t="str">
        <f>_xlfn.XLOOKUP(C944,products!A:A,products!C:C)</f>
        <v>Electronics</v>
      </c>
      <c r="I944" s="6" t="str">
        <f>_xlfn.XLOOKUP(C944,products!A:A,products!B:B)</f>
        <v>Keyboard</v>
      </c>
      <c r="J944" s="6">
        <f>_xlfn.XLOOKUP(B944,orders!A:A,orders!C:C)</f>
        <v>45976</v>
      </c>
      <c r="K944" s="6" t="str">
        <f t="shared" si="29"/>
        <v>Nov-2025</v>
      </c>
      <c r="L944" s="6">
        <f>_xlfn.XLOOKUP(B944,orders!A:A,orders!B:B)</f>
        <v>428</v>
      </c>
      <c r="M944" s="6" t="str">
        <f>_xlfn.XLOOKUP("C"&amp;TEXT(L944,"000"),customers!A:A,customers!B:B,"Not Found")</f>
        <v>Priya M.</v>
      </c>
    </row>
    <row r="945" spans="1:13">
      <c r="A945">
        <v>944</v>
      </c>
      <c r="B945">
        <v>572</v>
      </c>
      <c r="C945">
        <v>18</v>
      </c>
      <c r="D945" s="4">
        <v>2</v>
      </c>
      <c r="E945">
        <f>_xlfn.XLOOKUP(C945,products!A:A,products!D:D)</f>
        <v>2966</v>
      </c>
      <c r="F945">
        <f t="shared" si="28"/>
        <v>5932</v>
      </c>
      <c r="G945">
        <f>D945*(E945-_xlfn.XLOOKUP(C945,products!A:A,products!E:E))</f>
        <v>1957.56</v>
      </c>
      <c r="H945" s="6" t="str">
        <f>_xlfn.XLOOKUP(C945,products!A:A,products!C:C)</f>
        <v>Fashion</v>
      </c>
      <c r="I945" s="6" t="str">
        <f>_xlfn.XLOOKUP(C945,products!A:A,products!B:B)</f>
        <v>Backpack</v>
      </c>
      <c r="J945" s="6">
        <f>_xlfn.XLOOKUP(B945,orders!A:A,orders!C:C)</f>
        <v>45976</v>
      </c>
      <c r="K945" s="6" t="str">
        <f t="shared" si="29"/>
        <v>Nov-2025</v>
      </c>
      <c r="L945" s="6">
        <f>_xlfn.XLOOKUP(B945,orders!A:A,orders!B:B)</f>
        <v>428</v>
      </c>
      <c r="M945" s="6" t="str">
        <f>_xlfn.XLOOKUP("C"&amp;TEXT(L945,"000"),customers!A:A,customers!B:B,"Not Found")</f>
        <v>Priya M.</v>
      </c>
    </row>
    <row r="946" spans="1:13">
      <c r="A946">
        <v>945</v>
      </c>
      <c r="B946">
        <v>573</v>
      </c>
      <c r="C946">
        <v>12</v>
      </c>
      <c r="D946" s="4">
        <v>2</v>
      </c>
      <c r="E946">
        <f>_xlfn.XLOOKUP(C946,products!A:A,products!D:D)</f>
        <v>2144</v>
      </c>
      <c r="F946">
        <f t="shared" si="28"/>
        <v>4288</v>
      </c>
      <c r="G946">
        <f>D946*(E946-_xlfn.XLOOKUP(C946,products!A:A,products!E:E))</f>
        <v>1800.96</v>
      </c>
      <c r="H946" s="6" t="str">
        <f>_xlfn.XLOOKUP(C946,products!A:A,products!C:C)</f>
        <v>Fashion</v>
      </c>
      <c r="I946" s="6" t="str">
        <f>_xlfn.XLOOKUP(C946,products!A:A,products!B:B)</f>
        <v>Jeans</v>
      </c>
      <c r="J946" s="6">
        <f>_xlfn.XLOOKUP(B946,orders!A:A,orders!C:C)</f>
        <v>45979</v>
      </c>
      <c r="K946" s="6" t="str">
        <f t="shared" si="29"/>
        <v>Nov-2025</v>
      </c>
      <c r="L946" s="6">
        <f>_xlfn.XLOOKUP(B946,orders!A:A,orders!B:B)</f>
        <v>465</v>
      </c>
      <c r="M946" s="6" t="str">
        <f>_xlfn.XLOOKUP("C"&amp;TEXT(L946,"000"),customers!A:A,customers!B:B,"Not Found")</f>
        <v>Priya F.</v>
      </c>
    </row>
    <row r="947" spans="1:13">
      <c r="A947">
        <v>946</v>
      </c>
      <c r="B947">
        <v>573</v>
      </c>
      <c r="C947">
        <v>25</v>
      </c>
      <c r="D947" s="4">
        <v>3</v>
      </c>
      <c r="E947">
        <f>_xlfn.XLOOKUP(C947,products!A:A,products!D:D)</f>
        <v>3925</v>
      </c>
      <c r="F947">
        <f t="shared" si="28"/>
        <v>11775</v>
      </c>
      <c r="G947">
        <f>D947*(E947-_xlfn.XLOOKUP(C947,products!A:A,products!E:E))</f>
        <v>4415.6400000000003</v>
      </c>
      <c r="H947" s="6" t="str">
        <f>_xlfn.XLOOKUP(C947,products!A:A,products!C:C)</f>
        <v>Home Appliances</v>
      </c>
      <c r="I947" s="6" t="str">
        <f>_xlfn.XLOOKUP(C947,products!A:A,products!B:B)</f>
        <v>Vacuum Cleaner</v>
      </c>
      <c r="J947" s="6">
        <f>_xlfn.XLOOKUP(B947,orders!A:A,orders!C:C)</f>
        <v>45979</v>
      </c>
      <c r="K947" s="6" t="str">
        <f t="shared" si="29"/>
        <v>Nov-2025</v>
      </c>
      <c r="L947" s="6">
        <f>_xlfn.XLOOKUP(B947,orders!A:A,orders!B:B)</f>
        <v>465</v>
      </c>
      <c r="M947" s="6" t="str">
        <f>_xlfn.XLOOKUP("C"&amp;TEXT(L947,"000"),customers!A:A,customers!B:B,"Not Found")</f>
        <v>Priya F.</v>
      </c>
    </row>
    <row r="948" spans="1:13">
      <c r="A948">
        <v>947</v>
      </c>
      <c r="B948">
        <v>574</v>
      </c>
      <c r="C948">
        <v>19</v>
      </c>
      <c r="D948" s="4">
        <v>3</v>
      </c>
      <c r="E948">
        <f>_xlfn.XLOOKUP(C948,products!A:A,products!D:D)</f>
        <v>3103</v>
      </c>
      <c r="F948">
        <f t="shared" si="28"/>
        <v>9309</v>
      </c>
      <c r="G948">
        <f>D948*(E948-_xlfn.XLOOKUP(C948,products!A:A,products!E:E))</f>
        <v>2932.32</v>
      </c>
      <c r="H948" s="6" t="str">
        <f>_xlfn.XLOOKUP(C948,products!A:A,products!C:C)</f>
        <v>Fashion</v>
      </c>
      <c r="I948" s="6" t="str">
        <f>_xlfn.XLOOKUP(C948,products!A:A,products!B:B)</f>
        <v>Wallet</v>
      </c>
      <c r="J948" s="6">
        <f>_xlfn.XLOOKUP(B948,orders!A:A,orders!C:C)</f>
        <v>45982</v>
      </c>
      <c r="K948" s="6" t="str">
        <f t="shared" si="29"/>
        <v>Nov-2025</v>
      </c>
      <c r="L948" s="6">
        <f>_xlfn.XLOOKUP(B948,orders!A:A,orders!B:B)</f>
        <v>2</v>
      </c>
      <c r="M948" s="6" t="str">
        <f>_xlfn.XLOOKUP("C"&amp;TEXT(L948,"000"),customers!A:A,customers!B:B,"Not Found")</f>
        <v>Arjun X.</v>
      </c>
    </row>
    <row r="949" spans="1:13">
      <c r="A949">
        <v>948</v>
      </c>
      <c r="B949">
        <v>574</v>
      </c>
      <c r="C949">
        <v>32</v>
      </c>
      <c r="D949" s="4">
        <v>4</v>
      </c>
      <c r="E949">
        <f>_xlfn.XLOOKUP(C949,products!A:A,products!D:D)</f>
        <v>4884</v>
      </c>
      <c r="F949">
        <f t="shared" si="28"/>
        <v>19536</v>
      </c>
      <c r="G949">
        <f>D949*(E949-_xlfn.XLOOKUP(C949,products!A:A,products!E:E))</f>
        <v>8205.1200000000008</v>
      </c>
      <c r="H949" s="6" t="str">
        <f>_xlfn.XLOOKUP(C949,products!A:A,products!C:C)</f>
        <v>Books</v>
      </c>
      <c r="I949" s="6" t="str">
        <f>_xlfn.XLOOKUP(C949,products!A:A,products!B:B)</f>
        <v>Notebook</v>
      </c>
      <c r="J949" s="6">
        <f>_xlfn.XLOOKUP(B949,orders!A:A,orders!C:C)</f>
        <v>45982</v>
      </c>
      <c r="K949" s="6" t="str">
        <f t="shared" si="29"/>
        <v>Nov-2025</v>
      </c>
      <c r="L949" s="6">
        <f>_xlfn.XLOOKUP(B949,orders!A:A,orders!B:B)</f>
        <v>2</v>
      </c>
      <c r="M949" s="6" t="str">
        <f>_xlfn.XLOOKUP("C"&amp;TEXT(L949,"000"),customers!A:A,customers!B:B,"Not Found")</f>
        <v>Arjun X.</v>
      </c>
    </row>
    <row r="950" spans="1:13">
      <c r="A950">
        <v>949</v>
      </c>
      <c r="B950">
        <v>575</v>
      </c>
      <c r="C950">
        <v>26</v>
      </c>
      <c r="D950" s="4">
        <v>4</v>
      </c>
      <c r="E950">
        <f>_xlfn.XLOOKUP(C950,products!A:A,products!D:D)</f>
        <v>4062</v>
      </c>
      <c r="F950">
        <f t="shared" si="28"/>
        <v>16248</v>
      </c>
      <c r="G950">
        <f>D950*(E950-_xlfn.XLOOKUP(C950,products!A:A,products!E:E))</f>
        <v>5849.2800000000007</v>
      </c>
      <c r="H950" s="6" t="str">
        <f>_xlfn.XLOOKUP(C950,products!A:A,products!C:C)</f>
        <v>Home &amp; Kitchen</v>
      </c>
      <c r="I950" s="6" t="str">
        <f>_xlfn.XLOOKUP(C950,products!A:A,products!B:B)</f>
        <v>Bedsheet</v>
      </c>
      <c r="J950" s="6">
        <f>_xlfn.XLOOKUP(B950,orders!A:A,orders!C:C)</f>
        <v>45985</v>
      </c>
      <c r="K950" s="6" t="str">
        <f t="shared" si="29"/>
        <v>Nov-2025</v>
      </c>
      <c r="L950" s="6">
        <f>_xlfn.XLOOKUP(B950,orders!A:A,orders!B:B)</f>
        <v>39</v>
      </c>
      <c r="M950" s="6" t="str">
        <f>_xlfn.XLOOKUP("C"&amp;TEXT(L950,"000"),customers!A:A,customers!B:B,"Not Found")</f>
        <v>Pooja H.</v>
      </c>
    </row>
    <row r="951" spans="1:13">
      <c r="A951">
        <v>950</v>
      </c>
      <c r="B951">
        <v>575</v>
      </c>
      <c r="C951">
        <v>39</v>
      </c>
      <c r="D951" s="4">
        <v>1</v>
      </c>
      <c r="E951">
        <f>_xlfn.XLOOKUP(C951,products!A:A,products!D:D)</f>
        <v>5843</v>
      </c>
      <c r="F951">
        <f t="shared" si="28"/>
        <v>5843</v>
      </c>
      <c r="G951">
        <f>D951*(E951-_xlfn.XLOOKUP(C951,products!A:A,products!E:E))</f>
        <v>1840.54</v>
      </c>
      <c r="H951" s="6" t="str">
        <f>_xlfn.XLOOKUP(C951,products!A:A,products!C:C)</f>
        <v>Sports</v>
      </c>
      <c r="I951" s="6" t="str">
        <f>_xlfn.XLOOKUP(C951,products!A:A,products!B:B)</f>
        <v>Yoga Mat</v>
      </c>
      <c r="J951" s="6">
        <f>_xlfn.XLOOKUP(B951,orders!A:A,orders!C:C)</f>
        <v>45985</v>
      </c>
      <c r="K951" s="6" t="str">
        <f t="shared" si="29"/>
        <v>Nov-2025</v>
      </c>
      <c r="L951" s="6">
        <f>_xlfn.XLOOKUP(B951,orders!A:A,orders!B:B)</f>
        <v>39</v>
      </c>
      <c r="M951" s="6" t="str">
        <f>_xlfn.XLOOKUP("C"&amp;TEXT(L951,"000"),customers!A:A,customers!B:B,"Not Found")</f>
        <v>Pooja H.</v>
      </c>
    </row>
    <row r="952" spans="1:13">
      <c r="A952">
        <v>951</v>
      </c>
      <c r="B952">
        <v>576</v>
      </c>
      <c r="C952">
        <v>33</v>
      </c>
      <c r="D952" s="4">
        <v>1</v>
      </c>
      <c r="E952">
        <f>_xlfn.XLOOKUP(C952,products!A:A,products!D:D)</f>
        <v>5021</v>
      </c>
      <c r="F952">
        <f t="shared" si="28"/>
        <v>5021</v>
      </c>
      <c r="G952">
        <f>D952*(E952-_xlfn.XLOOKUP(C952,products!A:A,products!E:E))</f>
        <v>2033.5</v>
      </c>
      <c r="H952" s="6" t="str">
        <f>_xlfn.XLOOKUP(C952,products!A:A,products!C:C)</f>
        <v>Books</v>
      </c>
      <c r="I952" s="6" t="str">
        <f>_xlfn.XLOOKUP(C952,products!A:A,products!B:B)</f>
        <v>Pen Set</v>
      </c>
      <c r="J952" s="6">
        <f>_xlfn.XLOOKUP(B952,orders!A:A,orders!C:C)</f>
        <v>45988</v>
      </c>
      <c r="K952" s="6" t="str">
        <f t="shared" si="29"/>
        <v>Nov-2025</v>
      </c>
      <c r="L952" s="6">
        <f>_xlfn.XLOOKUP(B952,orders!A:A,orders!B:B)</f>
        <v>76</v>
      </c>
      <c r="M952" s="6" t="str">
        <f>_xlfn.XLOOKUP("C"&amp;TEXT(L952,"000"),customers!A:A,customers!B:B,"Not Found")</f>
        <v>Rohit R.</v>
      </c>
    </row>
    <row r="953" spans="1:13">
      <c r="A953">
        <v>952</v>
      </c>
      <c r="B953">
        <v>576</v>
      </c>
      <c r="C953">
        <v>46</v>
      </c>
      <c r="D953" s="4">
        <v>2</v>
      </c>
      <c r="E953">
        <f>_xlfn.XLOOKUP(C953,products!A:A,products!D:D)</f>
        <v>6802</v>
      </c>
      <c r="F953">
        <f t="shared" si="28"/>
        <v>13604</v>
      </c>
      <c r="G953">
        <f>D953*(E953-_xlfn.XLOOKUP(C953,products!A:A,products!E:E))</f>
        <v>4897.4400000000005</v>
      </c>
      <c r="H953" s="6" t="str">
        <f>_xlfn.XLOOKUP(C953,products!A:A,products!C:C)</f>
        <v>Toys</v>
      </c>
      <c r="I953" s="6" t="str">
        <f>_xlfn.XLOOKUP(C953,products!A:A,products!B:B)</f>
        <v>Toys Car</v>
      </c>
      <c r="J953" s="6">
        <f>_xlfn.XLOOKUP(B953,orders!A:A,orders!C:C)</f>
        <v>45988</v>
      </c>
      <c r="K953" s="6" t="str">
        <f t="shared" si="29"/>
        <v>Nov-2025</v>
      </c>
      <c r="L953" s="6">
        <f>_xlfn.XLOOKUP(B953,orders!A:A,orders!B:B)</f>
        <v>76</v>
      </c>
      <c r="M953" s="6" t="str">
        <f>_xlfn.XLOOKUP("C"&amp;TEXT(L953,"000"),customers!A:A,customers!B:B,"Not Found")</f>
        <v>Rohit R.</v>
      </c>
    </row>
    <row r="954" spans="1:13">
      <c r="A954">
        <v>953</v>
      </c>
      <c r="B954">
        <v>577</v>
      </c>
      <c r="C954">
        <v>40</v>
      </c>
      <c r="D954" s="4">
        <v>2</v>
      </c>
      <c r="E954">
        <f>_xlfn.XLOOKUP(C954,products!A:A,products!D:D)</f>
        <v>5980</v>
      </c>
      <c r="F954">
        <f t="shared" si="28"/>
        <v>11960</v>
      </c>
      <c r="G954">
        <f>D954*(E954-_xlfn.XLOOKUP(C954,products!A:A,products!E:E))</f>
        <v>5382</v>
      </c>
      <c r="H954" s="6" t="str">
        <f>_xlfn.XLOOKUP(C954,products!A:A,products!C:C)</f>
        <v>Sports</v>
      </c>
      <c r="I954" s="6" t="str">
        <f>_xlfn.XLOOKUP(C954,products!A:A,products!B:B)</f>
        <v>Dumbbells</v>
      </c>
      <c r="J954" s="6">
        <f>_xlfn.XLOOKUP(B954,orders!A:A,orders!C:C)</f>
        <v>45991</v>
      </c>
      <c r="K954" s="6" t="str">
        <f t="shared" si="29"/>
        <v>Nov-2025</v>
      </c>
      <c r="L954" s="6">
        <f>_xlfn.XLOOKUP(B954,orders!A:A,orders!B:B)</f>
        <v>113</v>
      </c>
      <c r="M954" s="6" t="str">
        <f>_xlfn.XLOOKUP("C"&amp;TEXT(L954,"000"),customers!A:A,customers!B:B,"Not Found")</f>
        <v>Rohit F.</v>
      </c>
    </row>
    <row r="955" spans="1:13">
      <c r="A955">
        <v>954</v>
      </c>
      <c r="B955">
        <v>577</v>
      </c>
      <c r="C955">
        <v>3</v>
      </c>
      <c r="D955" s="4">
        <v>3</v>
      </c>
      <c r="E955">
        <f>_xlfn.XLOOKUP(C955,products!A:A,products!D:D)</f>
        <v>911</v>
      </c>
      <c r="F955">
        <f t="shared" si="28"/>
        <v>2733</v>
      </c>
      <c r="G955">
        <f>D955*(E955-_xlfn.XLOOKUP(C955,products!A:A,products!E:E))</f>
        <v>1106.8500000000001</v>
      </c>
      <c r="H955" s="6" t="str">
        <f>_xlfn.XLOOKUP(C955,products!A:A,products!C:C)</f>
        <v>Electronics</v>
      </c>
      <c r="I955" s="6" t="str">
        <f>_xlfn.XLOOKUP(C955,products!A:A,products!B:B)</f>
        <v>Headphones</v>
      </c>
      <c r="J955" s="6">
        <f>_xlfn.XLOOKUP(B955,orders!A:A,orders!C:C)</f>
        <v>45991</v>
      </c>
      <c r="K955" s="6" t="str">
        <f t="shared" si="29"/>
        <v>Nov-2025</v>
      </c>
      <c r="L955" s="6">
        <f>_xlfn.XLOOKUP(B955,orders!A:A,orders!B:B)</f>
        <v>113</v>
      </c>
      <c r="M955" s="6" t="str">
        <f>_xlfn.XLOOKUP("C"&amp;TEXT(L955,"000"),customers!A:A,customers!B:B,"Not Found")</f>
        <v>Rohit F.</v>
      </c>
    </row>
    <row r="956" spans="1:13">
      <c r="A956">
        <v>955</v>
      </c>
      <c r="B956">
        <v>578</v>
      </c>
      <c r="C956">
        <v>47</v>
      </c>
      <c r="D956" s="4">
        <v>3</v>
      </c>
      <c r="E956">
        <f>_xlfn.XLOOKUP(C956,products!A:A,products!D:D)</f>
        <v>6939</v>
      </c>
      <c r="F956">
        <f t="shared" si="28"/>
        <v>20817</v>
      </c>
      <c r="G956">
        <f>D956*(E956-_xlfn.XLOOKUP(C956,products!A:A,products!E:E))</f>
        <v>7181.8499999999995</v>
      </c>
      <c r="H956" s="6" t="str">
        <f>_xlfn.XLOOKUP(C956,products!A:A,products!C:C)</f>
        <v>Toys</v>
      </c>
      <c r="I956" s="6" t="str">
        <f>_xlfn.XLOOKUP(C956,products!A:A,products!B:B)</f>
        <v>Puzzle</v>
      </c>
      <c r="J956" s="6">
        <f>_xlfn.XLOOKUP(B956,orders!A:A,orders!C:C)</f>
        <v>45994</v>
      </c>
      <c r="K956" s="6" t="str">
        <f t="shared" si="29"/>
        <v>Dec-2025</v>
      </c>
      <c r="L956" s="6">
        <f>_xlfn.XLOOKUP(B956,orders!A:A,orders!B:B)</f>
        <v>150</v>
      </c>
      <c r="M956" s="6" t="str">
        <f>_xlfn.XLOOKUP("C"&amp;TEXT(L956,"000"),customers!A:A,customers!B:B,"Not Found")</f>
        <v>Meena W.</v>
      </c>
    </row>
    <row r="957" spans="1:13">
      <c r="A957">
        <v>956</v>
      </c>
      <c r="B957">
        <v>578</v>
      </c>
      <c r="C957">
        <v>10</v>
      </c>
      <c r="D957" s="4">
        <v>4</v>
      </c>
      <c r="E957">
        <f>_xlfn.XLOOKUP(C957,products!A:A,products!D:D)</f>
        <v>1870</v>
      </c>
      <c r="F957">
        <f t="shared" si="28"/>
        <v>7480</v>
      </c>
      <c r="G957">
        <f>D957*(E957-_xlfn.XLOOKUP(C957,products!A:A,products!E:E))</f>
        <v>3366</v>
      </c>
      <c r="H957" s="6" t="str">
        <f>_xlfn.XLOOKUP(C957,products!A:A,products!C:C)</f>
        <v>Electronics</v>
      </c>
      <c r="I957" s="6" t="str">
        <f>_xlfn.XLOOKUP(C957,products!A:A,products!B:B)</f>
        <v>Earbuds</v>
      </c>
      <c r="J957" s="6">
        <f>_xlfn.XLOOKUP(B957,orders!A:A,orders!C:C)</f>
        <v>45994</v>
      </c>
      <c r="K957" s="6" t="str">
        <f t="shared" si="29"/>
        <v>Dec-2025</v>
      </c>
      <c r="L957" s="6">
        <f>_xlfn.XLOOKUP(B957,orders!A:A,orders!B:B)</f>
        <v>150</v>
      </c>
      <c r="M957" s="6" t="str">
        <f>_xlfn.XLOOKUP("C"&amp;TEXT(L957,"000"),customers!A:A,customers!B:B,"Not Found")</f>
        <v>Meena W.</v>
      </c>
    </row>
    <row r="958" spans="1:13">
      <c r="A958">
        <v>957</v>
      </c>
      <c r="B958">
        <v>579</v>
      </c>
      <c r="C958">
        <v>4</v>
      </c>
      <c r="D958" s="4">
        <v>4</v>
      </c>
      <c r="E958">
        <f>_xlfn.XLOOKUP(C958,products!A:A,products!D:D)</f>
        <v>1048</v>
      </c>
      <c r="F958">
        <f t="shared" si="28"/>
        <v>4192</v>
      </c>
      <c r="G958">
        <f>D958*(E958-_xlfn.XLOOKUP(C958,products!A:A,products!E:E))</f>
        <v>1634.88</v>
      </c>
      <c r="H958" s="6" t="str">
        <f>_xlfn.XLOOKUP(C958,products!A:A,products!C:C)</f>
        <v>Electronics</v>
      </c>
      <c r="I958" s="6" t="str">
        <f>_xlfn.XLOOKUP(C958,products!A:A,products!B:B)</f>
        <v>Smart Watch</v>
      </c>
      <c r="J958" s="6">
        <f>_xlfn.XLOOKUP(B958,orders!A:A,orders!C:C)</f>
        <v>45997</v>
      </c>
      <c r="K958" s="6" t="str">
        <f t="shared" si="29"/>
        <v>Dec-2025</v>
      </c>
      <c r="L958" s="6">
        <f>_xlfn.XLOOKUP(B958,orders!A:A,orders!B:B)</f>
        <v>187</v>
      </c>
      <c r="M958" s="6" t="str">
        <f>_xlfn.XLOOKUP("C"&amp;TEXT(L958,"000"),customers!A:A,customers!B:B,"Not Found")</f>
        <v>Swathi Q.</v>
      </c>
    </row>
    <row r="959" spans="1:13">
      <c r="A959">
        <v>958</v>
      </c>
      <c r="B959">
        <v>579</v>
      </c>
      <c r="C959">
        <v>17</v>
      </c>
      <c r="D959" s="4">
        <v>1</v>
      </c>
      <c r="E959">
        <f>_xlfn.XLOOKUP(C959,products!A:A,products!D:D)</f>
        <v>2829</v>
      </c>
      <c r="F959">
        <f t="shared" si="28"/>
        <v>2829</v>
      </c>
      <c r="G959">
        <f>D959*(E959-_xlfn.XLOOKUP(C959,products!A:A,products!E:E))</f>
        <v>976</v>
      </c>
      <c r="H959" s="6" t="str">
        <f>_xlfn.XLOOKUP(C959,products!A:A,products!C:C)</f>
        <v>Fashion</v>
      </c>
      <c r="I959" s="6" t="str">
        <f>_xlfn.XLOOKUP(C959,products!A:A,products!B:B)</f>
        <v>Dress</v>
      </c>
      <c r="J959" s="6">
        <f>_xlfn.XLOOKUP(B959,orders!A:A,orders!C:C)</f>
        <v>45997</v>
      </c>
      <c r="K959" s="6" t="str">
        <f t="shared" si="29"/>
        <v>Dec-2025</v>
      </c>
      <c r="L959" s="6">
        <f>_xlfn.XLOOKUP(B959,orders!A:A,orders!B:B)</f>
        <v>187</v>
      </c>
      <c r="M959" s="6" t="str">
        <f>_xlfn.XLOOKUP("C"&amp;TEXT(L959,"000"),customers!A:A,customers!B:B,"Not Found")</f>
        <v>Swathi Q.</v>
      </c>
    </row>
    <row r="960" spans="1:13">
      <c r="A960">
        <v>959</v>
      </c>
      <c r="B960">
        <v>580</v>
      </c>
      <c r="C960">
        <v>11</v>
      </c>
      <c r="D960" s="4">
        <v>1</v>
      </c>
      <c r="E960">
        <f>_xlfn.XLOOKUP(C960,products!A:A,products!D:D)</f>
        <v>2007</v>
      </c>
      <c r="F960">
        <f t="shared" si="28"/>
        <v>2007</v>
      </c>
      <c r="G960">
        <f>D960*(E960-_xlfn.XLOOKUP(C960,products!A:A,products!E:E))</f>
        <v>873.04</v>
      </c>
      <c r="H960" s="6" t="str">
        <f>_xlfn.XLOOKUP(C960,products!A:A,products!C:C)</f>
        <v>Fashion</v>
      </c>
      <c r="I960" s="6" t="str">
        <f>_xlfn.XLOOKUP(C960,products!A:A,products!B:B)</f>
        <v>T-Shirt</v>
      </c>
      <c r="J960" s="6">
        <f>_xlfn.XLOOKUP(B960,orders!A:A,orders!C:C)</f>
        <v>46000</v>
      </c>
      <c r="K960" s="6" t="str">
        <f t="shared" si="29"/>
        <v>Dec-2025</v>
      </c>
      <c r="L960" s="6">
        <f>_xlfn.XLOOKUP(B960,orders!A:A,orders!B:B)</f>
        <v>224</v>
      </c>
      <c r="M960" s="6" t="str">
        <f>_xlfn.XLOOKUP("C"&amp;TEXT(L960,"000"),customers!A:A,customers!B:B,"Not Found")</f>
        <v>Rohit I.</v>
      </c>
    </row>
    <row r="961" spans="1:13">
      <c r="A961">
        <v>960</v>
      </c>
      <c r="B961">
        <v>580</v>
      </c>
      <c r="C961">
        <v>24</v>
      </c>
      <c r="D961" s="4">
        <v>2</v>
      </c>
      <c r="E961">
        <f>_xlfn.XLOOKUP(C961,products!A:A,products!D:D)</f>
        <v>3788</v>
      </c>
      <c r="F961">
        <f t="shared" si="28"/>
        <v>7576</v>
      </c>
      <c r="G961">
        <f>D961*(E961-_xlfn.XLOOKUP(C961,products!A:A,products!E:E))</f>
        <v>2954.6400000000003</v>
      </c>
      <c r="H961" s="6" t="str">
        <f>_xlfn.XLOOKUP(C961,products!A:A,products!C:C)</f>
        <v>Home Appliances</v>
      </c>
      <c r="I961" s="6" t="str">
        <f>_xlfn.XLOOKUP(C961,products!A:A,products!B:B)</f>
        <v>Iron</v>
      </c>
      <c r="J961" s="6">
        <f>_xlfn.XLOOKUP(B961,orders!A:A,orders!C:C)</f>
        <v>46000</v>
      </c>
      <c r="K961" s="6" t="str">
        <f t="shared" si="29"/>
        <v>Dec-2025</v>
      </c>
      <c r="L961" s="6">
        <f>_xlfn.XLOOKUP(B961,orders!A:A,orders!B:B)</f>
        <v>224</v>
      </c>
      <c r="M961" s="6" t="str">
        <f>_xlfn.XLOOKUP("C"&amp;TEXT(L961,"000"),customers!A:A,customers!B:B,"Not Found")</f>
        <v>Rohit I.</v>
      </c>
    </row>
    <row r="962" spans="1:13">
      <c r="A962">
        <v>961</v>
      </c>
      <c r="B962">
        <v>581</v>
      </c>
      <c r="C962">
        <v>18</v>
      </c>
      <c r="D962" s="4">
        <v>2</v>
      </c>
      <c r="E962">
        <f>_xlfn.XLOOKUP(C962,products!A:A,products!D:D)</f>
        <v>2966</v>
      </c>
      <c r="F962">
        <f t="shared" ref="F962:F1025" si="30">D962*E962</f>
        <v>5932</v>
      </c>
      <c r="G962">
        <f>D962*(E962-_xlfn.XLOOKUP(C962,products!A:A,products!E:E))</f>
        <v>1957.56</v>
      </c>
      <c r="H962" s="6" t="str">
        <f>_xlfn.XLOOKUP(C962,products!A:A,products!C:C)</f>
        <v>Fashion</v>
      </c>
      <c r="I962" s="6" t="str">
        <f>_xlfn.XLOOKUP(C962,products!A:A,products!B:B)</f>
        <v>Backpack</v>
      </c>
      <c r="J962" s="6">
        <f>_xlfn.XLOOKUP(B962,orders!A:A,orders!C:C)</f>
        <v>46003</v>
      </c>
      <c r="K962" s="6" t="str">
        <f t="shared" ref="K962:K1025" si="31">TEXT(J962,"mmm-yyyy")</f>
        <v>Dec-2025</v>
      </c>
      <c r="L962" s="6">
        <f>_xlfn.XLOOKUP(B962,orders!A:A,orders!B:B)</f>
        <v>261</v>
      </c>
      <c r="M962" s="6" t="str">
        <f>_xlfn.XLOOKUP("C"&amp;TEXT(L962,"000"),customers!A:A,customers!B:B,"Not Found")</f>
        <v>Sneha I.</v>
      </c>
    </row>
    <row r="963" spans="1:13">
      <c r="A963">
        <v>962</v>
      </c>
      <c r="B963">
        <v>581</v>
      </c>
      <c r="C963">
        <v>31</v>
      </c>
      <c r="D963" s="4">
        <v>3</v>
      </c>
      <c r="E963">
        <f>_xlfn.XLOOKUP(C963,products!A:A,products!D:D)</f>
        <v>4747</v>
      </c>
      <c r="F963">
        <f t="shared" si="30"/>
        <v>14241</v>
      </c>
      <c r="G963">
        <f>D963*(E963-_xlfn.XLOOKUP(C963,products!A:A,products!E:E))</f>
        <v>6194.82</v>
      </c>
      <c r="H963" s="6" t="str">
        <f>_xlfn.XLOOKUP(C963,products!A:A,products!C:C)</f>
        <v>Books</v>
      </c>
      <c r="I963" s="6" t="str">
        <f>_xlfn.XLOOKUP(C963,products!A:A,products!B:B)</f>
        <v>Book</v>
      </c>
      <c r="J963" s="6">
        <f>_xlfn.XLOOKUP(B963,orders!A:A,orders!C:C)</f>
        <v>46003</v>
      </c>
      <c r="K963" s="6" t="str">
        <f t="shared" si="31"/>
        <v>Dec-2025</v>
      </c>
      <c r="L963" s="6">
        <f>_xlfn.XLOOKUP(B963,orders!A:A,orders!B:B)</f>
        <v>261</v>
      </c>
      <c r="M963" s="6" t="str">
        <f>_xlfn.XLOOKUP("C"&amp;TEXT(L963,"000"),customers!A:A,customers!B:B,"Not Found")</f>
        <v>Sneha I.</v>
      </c>
    </row>
    <row r="964" spans="1:13">
      <c r="A964">
        <v>963</v>
      </c>
      <c r="B964">
        <v>582</v>
      </c>
      <c r="C964">
        <v>25</v>
      </c>
      <c r="D964" s="4">
        <v>3</v>
      </c>
      <c r="E964">
        <f>_xlfn.XLOOKUP(C964,products!A:A,products!D:D)</f>
        <v>3925</v>
      </c>
      <c r="F964">
        <f t="shared" si="30"/>
        <v>11775</v>
      </c>
      <c r="G964">
        <f>D964*(E964-_xlfn.XLOOKUP(C964,products!A:A,products!E:E))</f>
        <v>4415.6400000000003</v>
      </c>
      <c r="H964" s="6" t="str">
        <f>_xlfn.XLOOKUP(C964,products!A:A,products!C:C)</f>
        <v>Home Appliances</v>
      </c>
      <c r="I964" s="6" t="str">
        <f>_xlfn.XLOOKUP(C964,products!A:A,products!B:B)</f>
        <v>Vacuum Cleaner</v>
      </c>
      <c r="J964" s="6">
        <f>_xlfn.XLOOKUP(B964,orders!A:A,orders!C:C)</f>
        <v>46006</v>
      </c>
      <c r="K964" s="6" t="str">
        <f t="shared" si="31"/>
        <v>Dec-2025</v>
      </c>
      <c r="L964" s="6">
        <f>_xlfn.XLOOKUP(B964,orders!A:A,orders!B:B)</f>
        <v>298</v>
      </c>
      <c r="M964" s="6" t="str">
        <f>_xlfn.XLOOKUP("C"&amp;TEXT(L964,"000"),customers!A:A,customers!B:B,"Not Found")</f>
        <v>Anjali A.</v>
      </c>
    </row>
    <row r="965" spans="1:13">
      <c r="A965">
        <v>964</v>
      </c>
      <c r="B965">
        <v>582</v>
      </c>
      <c r="C965">
        <v>38</v>
      </c>
      <c r="D965" s="4">
        <v>4</v>
      </c>
      <c r="E965">
        <f>_xlfn.XLOOKUP(C965,products!A:A,products!D:D)</f>
        <v>5706</v>
      </c>
      <c r="F965">
        <f t="shared" si="30"/>
        <v>22824</v>
      </c>
      <c r="G965">
        <f>D965*(E965-_xlfn.XLOOKUP(C965,products!A:A,products!E:E))</f>
        <v>7531.92</v>
      </c>
      <c r="H965" s="6" t="str">
        <f>_xlfn.XLOOKUP(C965,products!A:A,products!C:C)</f>
        <v>Sports</v>
      </c>
      <c r="I965" s="6" t="str">
        <f>_xlfn.XLOOKUP(C965,products!A:A,products!B:B)</f>
        <v>Badminton Racket</v>
      </c>
      <c r="J965" s="6">
        <f>_xlfn.XLOOKUP(B965,orders!A:A,orders!C:C)</f>
        <v>46006</v>
      </c>
      <c r="K965" s="6" t="str">
        <f t="shared" si="31"/>
        <v>Dec-2025</v>
      </c>
      <c r="L965" s="6">
        <f>_xlfn.XLOOKUP(B965,orders!A:A,orders!B:B)</f>
        <v>298</v>
      </c>
      <c r="M965" s="6" t="str">
        <f>_xlfn.XLOOKUP("C"&amp;TEXT(L965,"000"),customers!A:A,customers!B:B,"Not Found")</f>
        <v>Anjali A.</v>
      </c>
    </row>
    <row r="966" spans="1:13">
      <c r="A966">
        <v>965</v>
      </c>
      <c r="B966">
        <v>583</v>
      </c>
      <c r="C966">
        <v>32</v>
      </c>
      <c r="D966" s="4">
        <v>4</v>
      </c>
      <c r="E966">
        <f>_xlfn.XLOOKUP(C966,products!A:A,products!D:D)</f>
        <v>4884</v>
      </c>
      <c r="F966">
        <f t="shared" si="30"/>
        <v>19536</v>
      </c>
      <c r="G966">
        <f>D966*(E966-_xlfn.XLOOKUP(C966,products!A:A,products!E:E))</f>
        <v>8205.1200000000008</v>
      </c>
      <c r="H966" s="6" t="str">
        <f>_xlfn.XLOOKUP(C966,products!A:A,products!C:C)</f>
        <v>Books</v>
      </c>
      <c r="I966" s="6" t="str">
        <f>_xlfn.XLOOKUP(C966,products!A:A,products!B:B)</f>
        <v>Notebook</v>
      </c>
      <c r="J966" s="6">
        <f>_xlfn.XLOOKUP(B966,orders!A:A,orders!C:C)</f>
        <v>46009</v>
      </c>
      <c r="K966" s="6" t="str">
        <f t="shared" si="31"/>
        <v>Dec-2025</v>
      </c>
      <c r="L966" s="6">
        <f>_xlfn.XLOOKUP(B966,orders!A:A,orders!B:B)</f>
        <v>335</v>
      </c>
      <c r="M966" s="6" t="str">
        <f>_xlfn.XLOOKUP("C"&amp;TEXT(L966,"000"),customers!A:A,customers!B:B,"Not Found")</f>
        <v>Ravi K.</v>
      </c>
    </row>
    <row r="967" spans="1:13">
      <c r="A967">
        <v>966</v>
      </c>
      <c r="B967">
        <v>583</v>
      </c>
      <c r="C967">
        <v>45</v>
      </c>
      <c r="D967" s="4">
        <v>1</v>
      </c>
      <c r="E967">
        <f>_xlfn.XLOOKUP(C967,products!A:A,products!D:D)</f>
        <v>6665</v>
      </c>
      <c r="F967">
        <f t="shared" si="30"/>
        <v>6665</v>
      </c>
      <c r="G967">
        <f>D967*(E967-_xlfn.XLOOKUP(C967,products!A:A,products!E:E))</f>
        <v>2499.38</v>
      </c>
      <c r="H967" s="6" t="str">
        <f>_xlfn.XLOOKUP(C967,products!A:A,products!C:C)</f>
        <v>Beauty</v>
      </c>
      <c r="I967" s="6" t="str">
        <f>_xlfn.XLOOKUP(C967,products!A:A,products!B:B)</f>
        <v>Sunscreen</v>
      </c>
      <c r="J967" s="6">
        <f>_xlfn.XLOOKUP(B967,orders!A:A,orders!C:C)</f>
        <v>46009</v>
      </c>
      <c r="K967" s="6" t="str">
        <f t="shared" si="31"/>
        <v>Dec-2025</v>
      </c>
      <c r="L967" s="6">
        <f>_xlfn.XLOOKUP(B967,orders!A:A,orders!B:B)</f>
        <v>335</v>
      </c>
      <c r="M967" s="6" t="str">
        <f>_xlfn.XLOOKUP("C"&amp;TEXT(L967,"000"),customers!A:A,customers!B:B,"Not Found")</f>
        <v>Ravi K.</v>
      </c>
    </row>
    <row r="968" spans="1:13">
      <c r="A968">
        <v>967</v>
      </c>
      <c r="B968">
        <v>584</v>
      </c>
      <c r="C968">
        <v>39</v>
      </c>
      <c r="D968" s="4">
        <v>1</v>
      </c>
      <c r="E968">
        <f>_xlfn.XLOOKUP(C968,products!A:A,products!D:D)</f>
        <v>5843</v>
      </c>
      <c r="F968">
        <f t="shared" si="30"/>
        <v>5843</v>
      </c>
      <c r="G968">
        <f>D968*(E968-_xlfn.XLOOKUP(C968,products!A:A,products!E:E))</f>
        <v>1840.54</v>
      </c>
      <c r="H968" s="6" t="str">
        <f>_xlfn.XLOOKUP(C968,products!A:A,products!C:C)</f>
        <v>Sports</v>
      </c>
      <c r="I968" s="6" t="str">
        <f>_xlfn.XLOOKUP(C968,products!A:A,products!B:B)</f>
        <v>Yoga Mat</v>
      </c>
      <c r="J968" s="6">
        <f>_xlfn.XLOOKUP(B968,orders!A:A,orders!C:C)</f>
        <v>46012</v>
      </c>
      <c r="K968" s="6" t="str">
        <f t="shared" si="31"/>
        <v>Dec-2025</v>
      </c>
      <c r="L968" s="6">
        <f>_xlfn.XLOOKUP(B968,orders!A:A,orders!B:B)</f>
        <v>372</v>
      </c>
      <c r="M968" s="6" t="str">
        <f>_xlfn.XLOOKUP("C"&amp;TEXT(L968,"000"),customers!A:A,customers!B:B,"Not Found")</f>
        <v>Swathi I.</v>
      </c>
    </row>
    <row r="969" spans="1:13">
      <c r="A969">
        <v>968</v>
      </c>
      <c r="B969">
        <v>584</v>
      </c>
      <c r="C969">
        <v>2</v>
      </c>
      <c r="D969" s="4">
        <v>2</v>
      </c>
      <c r="E969">
        <f>_xlfn.XLOOKUP(C969,products!A:A,products!D:D)</f>
        <v>774</v>
      </c>
      <c r="F969">
        <f t="shared" si="30"/>
        <v>1548</v>
      </c>
      <c r="G969">
        <f>D969*(E969-_xlfn.XLOOKUP(C969,products!A:A,products!E:E))</f>
        <v>650.16</v>
      </c>
      <c r="H969" s="6" t="str">
        <f>_xlfn.XLOOKUP(C969,products!A:A,products!C:C)</f>
        <v>Electronics</v>
      </c>
      <c r="I969" s="6" t="str">
        <f>_xlfn.XLOOKUP(C969,products!A:A,products!B:B)</f>
        <v>Mobile</v>
      </c>
      <c r="J969" s="6">
        <f>_xlfn.XLOOKUP(B969,orders!A:A,orders!C:C)</f>
        <v>46012</v>
      </c>
      <c r="K969" s="6" t="str">
        <f t="shared" si="31"/>
        <v>Dec-2025</v>
      </c>
      <c r="L969" s="6">
        <f>_xlfn.XLOOKUP(B969,orders!A:A,orders!B:B)</f>
        <v>372</v>
      </c>
      <c r="M969" s="6" t="str">
        <f>_xlfn.XLOOKUP("C"&amp;TEXT(L969,"000"),customers!A:A,customers!B:B,"Not Found")</f>
        <v>Swathi I.</v>
      </c>
    </row>
    <row r="970" spans="1:13">
      <c r="A970">
        <v>969</v>
      </c>
      <c r="B970">
        <v>585</v>
      </c>
      <c r="C970">
        <v>46</v>
      </c>
      <c r="D970" s="4">
        <v>2</v>
      </c>
      <c r="E970">
        <f>_xlfn.XLOOKUP(C970,products!A:A,products!D:D)</f>
        <v>6802</v>
      </c>
      <c r="F970">
        <f t="shared" si="30"/>
        <v>13604</v>
      </c>
      <c r="G970">
        <f>D970*(E970-_xlfn.XLOOKUP(C970,products!A:A,products!E:E))</f>
        <v>4897.4400000000005</v>
      </c>
      <c r="H970" s="6" t="str">
        <f>_xlfn.XLOOKUP(C970,products!A:A,products!C:C)</f>
        <v>Toys</v>
      </c>
      <c r="I970" s="6" t="str">
        <f>_xlfn.XLOOKUP(C970,products!A:A,products!B:B)</f>
        <v>Toys Car</v>
      </c>
      <c r="J970" s="6">
        <f>_xlfn.XLOOKUP(B970,orders!A:A,orders!C:C)</f>
        <v>46015</v>
      </c>
      <c r="K970" s="6" t="str">
        <f t="shared" si="31"/>
        <v>Dec-2025</v>
      </c>
      <c r="L970" s="6">
        <f>_xlfn.XLOOKUP(B970,orders!A:A,orders!B:B)</f>
        <v>409</v>
      </c>
      <c r="M970" s="6" t="str">
        <f>_xlfn.XLOOKUP("C"&amp;TEXT(L970,"000"),customers!A:A,customers!B:B,"Not Found")</f>
        <v>Meena X.</v>
      </c>
    </row>
    <row r="971" spans="1:13">
      <c r="A971">
        <v>970</v>
      </c>
      <c r="B971">
        <v>585</v>
      </c>
      <c r="C971">
        <v>9</v>
      </c>
      <c r="D971" s="4">
        <v>3</v>
      </c>
      <c r="E971">
        <f>_xlfn.XLOOKUP(C971,products!A:A,products!D:D)</f>
        <v>1733</v>
      </c>
      <c r="F971">
        <f t="shared" si="30"/>
        <v>5199</v>
      </c>
      <c r="G971">
        <f>D971*(E971-_xlfn.XLOOKUP(C971,products!A:A,products!E:E))</f>
        <v>1637.6700000000003</v>
      </c>
      <c r="H971" s="6" t="str">
        <f>_xlfn.XLOOKUP(C971,products!A:A,products!C:C)</f>
        <v>Electronics</v>
      </c>
      <c r="I971" s="6" t="str">
        <f>_xlfn.XLOOKUP(C971,products!A:A,products!B:B)</f>
        <v>Power Bank</v>
      </c>
      <c r="J971" s="6">
        <f>_xlfn.XLOOKUP(B971,orders!A:A,orders!C:C)</f>
        <v>46015</v>
      </c>
      <c r="K971" s="6" t="str">
        <f t="shared" si="31"/>
        <v>Dec-2025</v>
      </c>
      <c r="L971" s="6">
        <f>_xlfn.XLOOKUP(B971,orders!A:A,orders!B:B)</f>
        <v>409</v>
      </c>
      <c r="M971" s="6" t="str">
        <f>_xlfn.XLOOKUP("C"&amp;TEXT(L971,"000"),customers!A:A,customers!B:B,"Not Found")</f>
        <v>Meena X.</v>
      </c>
    </row>
    <row r="972" spans="1:13">
      <c r="A972">
        <v>971</v>
      </c>
      <c r="B972">
        <v>586</v>
      </c>
      <c r="C972">
        <v>3</v>
      </c>
      <c r="D972" s="4">
        <v>3</v>
      </c>
      <c r="E972">
        <f>_xlfn.XLOOKUP(C972,products!A:A,products!D:D)</f>
        <v>911</v>
      </c>
      <c r="F972">
        <f t="shared" si="30"/>
        <v>2733</v>
      </c>
      <c r="G972">
        <f>D972*(E972-_xlfn.XLOOKUP(C972,products!A:A,products!E:E))</f>
        <v>1106.8500000000001</v>
      </c>
      <c r="H972" s="6" t="str">
        <f>_xlfn.XLOOKUP(C972,products!A:A,products!C:C)</f>
        <v>Electronics</v>
      </c>
      <c r="I972" s="6" t="str">
        <f>_xlfn.XLOOKUP(C972,products!A:A,products!B:B)</f>
        <v>Headphones</v>
      </c>
      <c r="J972" s="6">
        <f>_xlfn.XLOOKUP(B972,orders!A:A,orders!C:C)</f>
        <v>46018</v>
      </c>
      <c r="K972" s="6" t="str">
        <f t="shared" si="31"/>
        <v>Dec-2025</v>
      </c>
      <c r="L972" s="6">
        <f>_xlfn.XLOOKUP(B972,orders!A:A,orders!B:B)</f>
        <v>446</v>
      </c>
      <c r="M972" s="6" t="str">
        <f>_xlfn.XLOOKUP("C"&amp;TEXT(L972,"000"),customers!A:A,customers!B:B,"Not Found")</f>
        <v>Meena P.</v>
      </c>
    </row>
    <row r="973" spans="1:13">
      <c r="A973">
        <v>972</v>
      </c>
      <c r="B973">
        <v>586</v>
      </c>
      <c r="C973">
        <v>16</v>
      </c>
      <c r="D973" s="4">
        <v>4</v>
      </c>
      <c r="E973">
        <f>_xlfn.XLOOKUP(C973,products!A:A,products!D:D)</f>
        <v>2692</v>
      </c>
      <c r="F973">
        <f t="shared" si="30"/>
        <v>10768</v>
      </c>
      <c r="G973">
        <f>D973*(E973-_xlfn.XLOOKUP(C973,products!A:A,products!E:E))</f>
        <v>3876.4799999999996</v>
      </c>
      <c r="H973" s="6" t="str">
        <f>_xlfn.XLOOKUP(C973,products!A:A,products!C:C)</f>
        <v>Fashion</v>
      </c>
      <c r="I973" s="6" t="str">
        <f>_xlfn.XLOOKUP(C973,products!A:A,products!B:B)</f>
        <v>Saree</v>
      </c>
      <c r="J973" s="6">
        <f>_xlfn.XLOOKUP(B973,orders!A:A,orders!C:C)</f>
        <v>46018</v>
      </c>
      <c r="K973" s="6" t="str">
        <f t="shared" si="31"/>
        <v>Dec-2025</v>
      </c>
      <c r="L973" s="6">
        <f>_xlfn.XLOOKUP(B973,orders!A:A,orders!B:B)</f>
        <v>446</v>
      </c>
      <c r="M973" s="6" t="str">
        <f>_xlfn.XLOOKUP("C"&amp;TEXT(L973,"000"),customers!A:A,customers!B:B,"Not Found")</f>
        <v>Meena P.</v>
      </c>
    </row>
    <row r="974" spans="1:13">
      <c r="A974">
        <v>973</v>
      </c>
      <c r="B974">
        <v>587</v>
      </c>
      <c r="C974">
        <v>10</v>
      </c>
      <c r="D974" s="4">
        <v>4</v>
      </c>
      <c r="E974">
        <f>_xlfn.XLOOKUP(C974,products!A:A,products!D:D)</f>
        <v>1870</v>
      </c>
      <c r="F974">
        <f t="shared" si="30"/>
        <v>7480</v>
      </c>
      <c r="G974">
        <f>D974*(E974-_xlfn.XLOOKUP(C974,products!A:A,products!E:E))</f>
        <v>3366</v>
      </c>
      <c r="H974" s="6" t="str">
        <f>_xlfn.XLOOKUP(C974,products!A:A,products!C:C)</f>
        <v>Electronics</v>
      </c>
      <c r="I974" s="6" t="str">
        <f>_xlfn.XLOOKUP(C974,products!A:A,products!B:B)</f>
        <v>Earbuds</v>
      </c>
      <c r="J974" s="6">
        <f>_xlfn.XLOOKUP(B974,orders!A:A,orders!C:C)</f>
        <v>46021</v>
      </c>
      <c r="K974" s="6" t="str">
        <f t="shared" si="31"/>
        <v>Dec-2025</v>
      </c>
      <c r="L974" s="6">
        <f>_xlfn.XLOOKUP(B974,orders!A:A,orders!B:B)</f>
        <v>483</v>
      </c>
      <c r="M974" s="6" t="str">
        <f>_xlfn.XLOOKUP("C"&amp;TEXT(L974,"000"),customers!A:A,customers!B:B,"Not Found")</f>
        <v>Meena Z.</v>
      </c>
    </row>
    <row r="975" spans="1:13">
      <c r="A975">
        <v>974</v>
      </c>
      <c r="B975">
        <v>587</v>
      </c>
      <c r="C975">
        <v>23</v>
      </c>
      <c r="D975" s="4">
        <v>1</v>
      </c>
      <c r="E975">
        <f>_xlfn.XLOOKUP(C975,products!A:A,products!D:D)</f>
        <v>3651</v>
      </c>
      <c r="F975">
        <f t="shared" si="30"/>
        <v>3651</v>
      </c>
      <c r="G975">
        <f>D975*(E975-_xlfn.XLOOKUP(C975,products!A:A,products!E:E))</f>
        <v>1478.65</v>
      </c>
      <c r="H975" s="6" t="str">
        <f>_xlfn.XLOOKUP(C975,products!A:A,products!C:C)</f>
        <v>Home Appliances</v>
      </c>
      <c r="I975" s="6" t="str">
        <f>_xlfn.XLOOKUP(C975,products!A:A,products!B:B)</f>
        <v>Fan</v>
      </c>
      <c r="J975" s="6">
        <f>_xlfn.XLOOKUP(B975,orders!A:A,orders!C:C)</f>
        <v>46021</v>
      </c>
      <c r="K975" s="6" t="str">
        <f t="shared" si="31"/>
        <v>Dec-2025</v>
      </c>
      <c r="L975" s="6">
        <f>_xlfn.XLOOKUP(B975,orders!A:A,orders!B:B)</f>
        <v>483</v>
      </c>
      <c r="M975" s="6" t="str">
        <f>_xlfn.XLOOKUP("C"&amp;TEXT(L975,"000"),customers!A:A,customers!B:B,"Not Found")</f>
        <v>Meena Z.</v>
      </c>
    </row>
    <row r="976" spans="1:13">
      <c r="A976">
        <v>975</v>
      </c>
      <c r="B976">
        <v>588</v>
      </c>
      <c r="C976">
        <v>17</v>
      </c>
      <c r="D976" s="4">
        <v>1</v>
      </c>
      <c r="E976">
        <f>_xlfn.XLOOKUP(C976,products!A:A,products!D:D)</f>
        <v>2829</v>
      </c>
      <c r="F976">
        <f t="shared" si="30"/>
        <v>2829</v>
      </c>
      <c r="G976">
        <f>D976*(E976-_xlfn.XLOOKUP(C976,products!A:A,products!E:E))</f>
        <v>976</v>
      </c>
      <c r="H976" s="6" t="str">
        <f>_xlfn.XLOOKUP(C976,products!A:A,products!C:C)</f>
        <v>Fashion</v>
      </c>
      <c r="I976" s="6" t="str">
        <f>_xlfn.XLOOKUP(C976,products!A:A,products!B:B)</f>
        <v>Dress</v>
      </c>
      <c r="J976" s="6">
        <f>_xlfn.XLOOKUP(B976,orders!A:A,orders!C:C)</f>
        <v>45659</v>
      </c>
      <c r="K976" s="6" t="str">
        <f t="shared" si="31"/>
        <v>Jan-2025</v>
      </c>
      <c r="L976" s="6">
        <f>_xlfn.XLOOKUP(B976,orders!A:A,orders!B:B)</f>
        <v>20</v>
      </c>
      <c r="M976" s="6" t="str">
        <f>_xlfn.XLOOKUP("C"&amp;TEXT(L976,"000"),customers!A:A,customers!B:B,"Not Found")</f>
        <v>Swathi M.</v>
      </c>
    </row>
    <row r="977" spans="1:13">
      <c r="A977">
        <v>976</v>
      </c>
      <c r="B977">
        <v>588</v>
      </c>
      <c r="C977">
        <v>30</v>
      </c>
      <c r="D977" s="4">
        <v>2</v>
      </c>
      <c r="E977">
        <f>_xlfn.XLOOKUP(C977,products!A:A,products!D:D)</f>
        <v>4610</v>
      </c>
      <c r="F977">
        <f t="shared" si="30"/>
        <v>9220</v>
      </c>
      <c r="G977">
        <f>D977*(E977-_xlfn.XLOOKUP(C977,products!A:A,products!E:E))</f>
        <v>4149</v>
      </c>
      <c r="H977" s="6" t="str">
        <f>_xlfn.XLOOKUP(C977,products!A:A,products!C:C)</f>
        <v>Furniture</v>
      </c>
      <c r="I977" s="6" t="str">
        <f>_xlfn.XLOOKUP(C977,products!A:A,products!B:B)</f>
        <v>Table</v>
      </c>
      <c r="J977" s="6">
        <f>_xlfn.XLOOKUP(B977,orders!A:A,orders!C:C)</f>
        <v>45659</v>
      </c>
      <c r="K977" s="6" t="str">
        <f t="shared" si="31"/>
        <v>Jan-2025</v>
      </c>
      <c r="L977" s="6">
        <f>_xlfn.XLOOKUP(B977,orders!A:A,orders!B:B)</f>
        <v>20</v>
      </c>
      <c r="M977" s="6" t="str">
        <f>_xlfn.XLOOKUP("C"&amp;TEXT(L977,"000"),customers!A:A,customers!B:B,"Not Found")</f>
        <v>Swathi M.</v>
      </c>
    </row>
    <row r="978" spans="1:13">
      <c r="A978">
        <v>977</v>
      </c>
      <c r="B978">
        <v>589</v>
      </c>
      <c r="C978">
        <v>24</v>
      </c>
      <c r="D978" s="4">
        <v>2</v>
      </c>
      <c r="E978">
        <f>_xlfn.XLOOKUP(C978,products!A:A,products!D:D)</f>
        <v>3788</v>
      </c>
      <c r="F978">
        <f t="shared" si="30"/>
        <v>7576</v>
      </c>
      <c r="G978">
        <f>D978*(E978-_xlfn.XLOOKUP(C978,products!A:A,products!E:E))</f>
        <v>2954.6400000000003</v>
      </c>
      <c r="H978" s="6" t="str">
        <f>_xlfn.XLOOKUP(C978,products!A:A,products!C:C)</f>
        <v>Home Appliances</v>
      </c>
      <c r="I978" s="6" t="str">
        <f>_xlfn.XLOOKUP(C978,products!A:A,products!B:B)</f>
        <v>Iron</v>
      </c>
      <c r="J978" s="6">
        <f>_xlfn.XLOOKUP(B978,orders!A:A,orders!C:C)</f>
        <v>45662</v>
      </c>
      <c r="K978" s="6" t="str">
        <f t="shared" si="31"/>
        <v>Jan-2025</v>
      </c>
      <c r="L978" s="6">
        <f>_xlfn.XLOOKUP(B978,orders!A:A,orders!B:B)</f>
        <v>57</v>
      </c>
      <c r="M978" s="6" t="str">
        <f>_xlfn.XLOOKUP("C"&amp;TEXT(L978,"000"),customers!A:A,customers!B:B,"Not Found")</f>
        <v>Divya G.</v>
      </c>
    </row>
    <row r="979" spans="1:13">
      <c r="A979">
        <v>978</v>
      </c>
      <c r="B979">
        <v>589</v>
      </c>
      <c r="C979">
        <v>37</v>
      </c>
      <c r="D979" s="4">
        <v>3</v>
      </c>
      <c r="E979">
        <f>_xlfn.XLOOKUP(C979,products!A:A,products!D:D)</f>
        <v>5569</v>
      </c>
      <c r="F979">
        <f t="shared" si="30"/>
        <v>16707</v>
      </c>
      <c r="G979">
        <f>D979*(E979-_xlfn.XLOOKUP(C979,products!A:A,products!E:E))</f>
        <v>5763.9000000000005</v>
      </c>
      <c r="H979" s="6" t="str">
        <f>_xlfn.XLOOKUP(C979,products!A:A,products!C:C)</f>
        <v>Sports</v>
      </c>
      <c r="I979" s="6" t="str">
        <f>_xlfn.XLOOKUP(C979,products!A:A,products!B:B)</f>
        <v>Football</v>
      </c>
      <c r="J979" s="6">
        <f>_xlfn.XLOOKUP(B979,orders!A:A,orders!C:C)</f>
        <v>45662</v>
      </c>
      <c r="K979" s="6" t="str">
        <f t="shared" si="31"/>
        <v>Jan-2025</v>
      </c>
      <c r="L979" s="6">
        <f>_xlfn.XLOOKUP(B979,orders!A:A,orders!B:B)</f>
        <v>57</v>
      </c>
      <c r="M979" s="6" t="str">
        <f>_xlfn.XLOOKUP("C"&amp;TEXT(L979,"000"),customers!A:A,customers!B:B,"Not Found")</f>
        <v>Divya G.</v>
      </c>
    </row>
    <row r="980" spans="1:13">
      <c r="A980">
        <v>979</v>
      </c>
      <c r="B980">
        <v>590</v>
      </c>
      <c r="C980">
        <v>31</v>
      </c>
      <c r="D980" s="4">
        <v>3</v>
      </c>
      <c r="E980">
        <f>_xlfn.XLOOKUP(C980,products!A:A,products!D:D)</f>
        <v>4747</v>
      </c>
      <c r="F980">
        <f t="shared" si="30"/>
        <v>14241</v>
      </c>
      <c r="G980">
        <f>D980*(E980-_xlfn.XLOOKUP(C980,products!A:A,products!E:E))</f>
        <v>6194.82</v>
      </c>
      <c r="H980" s="6" t="str">
        <f>_xlfn.XLOOKUP(C980,products!A:A,products!C:C)</f>
        <v>Books</v>
      </c>
      <c r="I980" s="6" t="str">
        <f>_xlfn.XLOOKUP(C980,products!A:A,products!B:B)</f>
        <v>Book</v>
      </c>
      <c r="J980" s="6">
        <f>_xlfn.XLOOKUP(B980,orders!A:A,orders!C:C)</f>
        <v>45665</v>
      </c>
      <c r="K980" s="6" t="str">
        <f t="shared" si="31"/>
        <v>Jan-2025</v>
      </c>
      <c r="L980" s="6">
        <f>_xlfn.XLOOKUP(B980,orders!A:A,orders!B:B)</f>
        <v>94</v>
      </c>
      <c r="M980" s="6" t="str">
        <f>_xlfn.XLOOKUP("C"&amp;TEXT(L980,"000"),customers!A:A,customers!B:B,"Not Found")</f>
        <v>Lakshmi V.</v>
      </c>
    </row>
    <row r="981" spans="1:13">
      <c r="A981">
        <v>980</v>
      </c>
      <c r="B981">
        <v>590</v>
      </c>
      <c r="C981">
        <v>44</v>
      </c>
      <c r="D981" s="4">
        <v>4</v>
      </c>
      <c r="E981">
        <f>_xlfn.XLOOKUP(C981,products!A:A,products!D:D)</f>
        <v>6528</v>
      </c>
      <c r="F981">
        <f t="shared" si="30"/>
        <v>26112</v>
      </c>
      <c r="G981">
        <f>D981*(E981-_xlfn.XLOOKUP(C981,products!A:A,products!E:E))</f>
        <v>10183.68</v>
      </c>
      <c r="H981" s="6" t="str">
        <f>_xlfn.XLOOKUP(C981,products!A:A,products!C:C)</f>
        <v>Beauty</v>
      </c>
      <c r="I981" s="6" t="str">
        <f>_xlfn.XLOOKUP(C981,products!A:A,products!B:B)</f>
        <v>Moisturizer</v>
      </c>
      <c r="J981" s="6">
        <f>_xlfn.XLOOKUP(B981,orders!A:A,orders!C:C)</f>
        <v>45665</v>
      </c>
      <c r="K981" s="6" t="str">
        <f t="shared" si="31"/>
        <v>Jan-2025</v>
      </c>
      <c r="L981" s="6">
        <f>_xlfn.XLOOKUP(B981,orders!A:A,orders!B:B)</f>
        <v>94</v>
      </c>
      <c r="M981" s="6" t="str">
        <f>_xlfn.XLOOKUP("C"&amp;TEXT(L981,"000"),customers!A:A,customers!B:B,"Not Found")</f>
        <v>Lakshmi V.</v>
      </c>
    </row>
    <row r="982" spans="1:13">
      <c r="A982">
        <v>981</v>
      </c>
      <c r="B982">
        <v>591</v>
      </c>
      <c r="C982">
        <v>38</v>
      </c>
      <c r="D982" s="4">
        <v>4</v>
      </c>
      <c r="E982">
        <f>_xlfn.XLOOKUP(C982,products!A:A,products!D:D)</f>
        <v>5706</v>
      </c>
      <c r="F982">
        <f t="shared" si="30"/>
        <v>22824</v>
      </c>
      <c r="G982">
        <f>D982*(E982-_xlfn.XLOOKUP(C982,products!A:A,products!E:E))</f>
        <v>7531.92</v>
      </c>
      <c r="H982" s="6" t="str">
        <f>_xlfn.XLOOKUP(C982,products!A:A,products!C:C)</f>
        <v>Sports</v>
      </c>
      <c r="I982" s="6" t="str">
        <f>_xlfn.XLOOKUP(C982,products!A:A,products!B:B)</f>
        <v>Badminton Racket</v>
      </c>
      <c r="J982" s="6">
        <f>_xlfn.XLOOKUP(B982,orders!A:A,orders!C:C)</f>
        <v>45668</v>
      </c>
      <c r="K982" s="6" t="str">
        <f t="shared" si="31"/>
        <v>Jan-2025</v>
      </c>
      <c r="L982" s="6">
        <f>_xlfn.XLOOKUP(B982,orders!A:A,orders!B:B)</f>
        <v>131</v>
      </c>
      <c r="M982" s="6" t="str">
        <f>_xlfn.XLOOKUP("C"&amp;TEXT(L982,"000"),customers!A:A,customers!B:B,"Not Found")</f>
        <v>Priya L.</v>
      </c>
    </row>
    <row r="983" spans="1:13">
      <c r="A983">
        <v>982</v>
      </c>
      <c r="B983">
        <v>591</v>
      </c>
      <c r="C983">
        <v>1</v>
      </c>
      <c r="D983" s="4">
        <v>1</v>
      </c>
      <c r="E983">
        <f>_xlfn.XLOOKUP(C983,products!A:A,products!D:D)</f>
        <v>637</v>
      </c>
      <c r="F983">
        <f t="shared" si="30"/>
        <v>637</v>
      </c>
      <c r="G983">
        <f>D983*(E983-_xlfn.XLOOKUP(C983,products!A:A,products!E:E))</f>
        <v>277.08999999999997</v>
      </c>
      <c r="H983" s="6" t="str">
        <f>_xlfn.XLOOKUP(C983,products!A:A,products!C:C)</f>
        <v>Electronics</v>
      </c>
      <c r="I983" s="6" t="str">
        <f>_xlfn.XLOOKUP(C983,products!A:A,products!B:B)</f>
        <v>Laptop</v>
      </c>
      <c r="J983" s="6">
        <f>_xlfn.XLOOKUP(B983,orders!A:A,orders!C:C)</f>
        <v>45668</v>
      </c>
      <c r="K983" s="6" t="str">
        <f t="shared" si="31"/>
        <v>Jan-2025</v>
      </c>
      <c r="L983" s="6">
        <f>_xlfn.XLOOKUP(B983,orders!A:A,orders!B:B)</f>
        <v>131</v>
      </c>
      <c r="M983" s="6" t="str">
        <f>_xlfn.XLOOKUP("C"&amp;TEXT(L983,"000"),customers!A:A,customers!B:B,"Not Found")</f>
        <v>Priya L.</v>
      </c>
    </row>
    <row r="984" spans="1:13">
      <c r="A984">
        <v>983</v>
      </c>
      <c r="B984">
        <v>592</v>
      </c>
      <c r="C984">
        <v>45</v>
      </c>
      <c r="D984" s="4">
        <v>1</v>
      </c>
      <c r="E984">
        <f>_xlfn.XLOOKUP(C984,products!A:A,products!D:D)</f>
        <v>6665</v>
      </c>
      <c r="F984">
        <f t="shared" si="30"/>
        <v>6665</v>
      </c>
      <c r="G984">
        <f>D984*(E984-_xlfn.XLOOKUP(C984,products!A:A,products!E:E))</f>
        <v>2499.38</v>
      </c>
      <c r="H984" s="6" t="str">
        <f>_xlfn.XLOOKUP(C984,products!A:A,products!C:C)</f>
        <v>Beauty</v>
      </c>
      <c r="I984" s="6" t="str">
        <f>_xlfn.XLOOKUP(C984,products!A:A,products!B:B)</f>
        <v>Sunscreen</v>
      </c>
      <c r="J984" s="6">
        <f>_xlfn.XLOOKUP(B984,orders!A:A,orders!C:C)</f>
        <v>45671</v>
      </c>
      <c r="K984" s="6" t="str">
        <f t="shared" si="31"/>
        <v>Jan-2025</v>
      </c>
      <c r="L984" s="6">
        <f>_xlfn.XLOOKUP(B984,orders!A:A,orders!B:B)</f>
        <v>168</v>
      </c>
      <c r="M984" s="6" t="str">
        <f>_xlfn.XLOOKUP("C"&amp;TEXT(L984,"000"),customers!A:A,customers!B:B,"Not Found")</f>
        <v>Arjun Z.</v>
      </c>
    </row>
    <row r="985" spans="1:13">
      <c r="A985">
        <v>984</v>
      </c>
      <c r="B985">
        <v>592</v>
      </c>
      <c r="C985">
        <v>8</v>
      </c>
      <c r="D985" s="4">
        <v>2</v>
      </c>
      <c r="E985">
        <f>_xlfn.XLOOKUP(C985,products!A:A,products!D:D)</f>
        <v>1596</v>
      </c>
      <c r="F985">
        <f t="shared" si="30"/>
        <v>3192</v>
      </c>
      <c r="G985">
        <f>D985*(E985-_xlfn.XLOOKUP(C985,products!A:A,products!E:E))</f>
        <v>1053.3600000000001</v>
      </c>
      <c r="H985" s="6" t="str">
        <f>_xlfn.XLOOKUP(C985,products!A:A,products!C:C)</f>
        <v>Electronics</v>
      </c>
      <c r="I985" s="6" t="str">
        <f>_xlfn.XLOOKUP(C985,products!A:A,products!B:B)</f>
        <v>Tablet</v>
      </c>
      <c r="J985" s="6">
        <f>_xlfn.XLOOKUP(B985,orders!A:A,orders!C:C)</f>
        <v>45671</v>
      </c>
      <c r="K985" s="6" t="str">
        <f t="shared" si="31"/>
        <v>Jan-2025</v>
      </c>
      <c r="L985" s="6">
        <f>_xlfn.XLOOKUP(B985,orders!A:A,orders!B:B)</f>
        <v>168</v>
      </c>
      <c r="M985" s="6" t="str">
        <f>_xlfn.XLOOKUP("C"&amp;TEXT(L985,"000"),customers!A:A,customers!B:B,"Not Found")</f>
        <v>Arjun Z.</v>
      </c>
    </row>
    <row r="986" spans="1:13">
      <c r="A986">
        <v>985</v>
      </c>
      <c r="B986">
        <v>593</v>
      </c>
      <c r="C986">
        <v>2</v>
      </c>
      <c r="D986" s="4">
        <v>2</v>
      </c>
      <c r="E986">
        <f>_xlfn.XLOOKUP(C986,products!A:A,products!D:D)</f>
        <v>774</v>
      </c>
      <c r="F986">
        <f t="shared" si="30"/>
        <v>1548</v>
      </c>
      <c r="G986">
        <f>D986*(E986-_xlfn.XLOOKUP(C986,products!A:A,products!E:E))</f>
        <v>650.16</v>
      </c>
      <c r="H986" s="6" t="str">
        <f>_xlfn.XLOOKUP(C986,products!A:A,products!C:C)</f>
        <v>Electronics</v>
      </c>
      <c r="I986" s="6" t="str">
        <f>_xlfn.XLOOKUP(C986,products!A:A,products!B:B)</f>
        <v>Mobile</v>
      </c>
      <c r="J986" s="6">
        <f>_xlfn.XLOOKUP(B986,orders!A:A,orders!C:C)</f>
        <v>45674</v>
      </c>
      <c r="K986" s="6" t="str">
        <f t="shared" si="31"/>
        <v>Jan-2025</v>
      </c>
      <c r="L986" s="6">
        <f>_xlfn.XLOOKUP(B986,orders!A:A,orders!B:B)</f>
        <v>205</v>
      </c>
      <c r="M986" s="6" t="str">
        <f>_xlfn.XLOOKUP("C"&amp;TEXT(L986,"000"),customers!A:A,customers!B:B,"Not Found")</f>
        <v>Nikhil V.</v>
      </c>
    </row>
    <row r="987" spans="1:13">
      <c r="A987">
        <v>986</v>
      </c>
      <c r="B987">
        <v>593</v>
      </c>
      <c r="C987">
        <v>15</v>
      </c>
      <c r="D987" s="4">
        <v>3</v>
      </c>
      <c r="E987">
        <f>_xlfn.XLOOKUP(C987,products!A:A,products!D:D)</f>
        <v>2555</v>
      </c>
      <c r="F987">
        <f t="shared" si="30"/>
        <v>7665</v>
      </c>
      <c r="G987">
        <f>D987*(E987-_xlfn.XLOOKUP(C987,products!A:A,products!E:E))</f>
        <v>2874.3599999999997</v>
      </c>
      <c r="H987" s="6" t="str">
        <f>_xlfn.XLOOKUP(C987,products!A:A,products!C:C)</f>
        <v>Fashion</v>
      </c>
      <c r="I987" s="6" t="str">
        <f>_xlfn.XLOOKUP(C987,products!A:A,products!B:B)</f>
        <v>Shoes</v>
      </c>
      <c r="J987" s="6">
        <f>_xlfn.XLOOKUP(B987,orders!A:A,orders!C:C)</f>
        <v>45674</v>
      </c>
      <c r="K987" s="6" t="str">
        <f t="shared" si="31"/>
        <v>Jan-2025</v>
      </c>
      <c r="L987" s="6">
        <f>_xlfn.XLOOKUP(B987,orders!A:A,orders!B:B)</f>
        <v>205</v>
      </c>
      <c r="M987" s="6" t="str">
        <f>_xlfn.XLOOKUP("C"&amp;TEXT(L987,"000"),customers!A:A,customers!B:B,"Not Found")</f>
        <v>Nikhil V.</v>
      </c>
    </row>
    <row r="988" spans="1:13">
      <c r="A988">
        <v>987</v>
      </c>
      <c r="B988">
        <v>594</v>
      </c>
      <c r="C988">
        <v>9</v>
      </c>
      <c r="D988" s="4">
        <v>3</v>
      </c>
      <c r="E988">
        <f>_xlfn.XLOOKUP(C988,products!A:A,products!D:D)</f>
        <v>1733</v>
      </c>
      <c r="F988">
        <f t="shared" si="30"/>
        <v>5199</v>
      </c>
      <c r="G988">
        <f>D988*(E988-_xlfn.XLOOKUP(C988,products!A:A,products!E:E))</f>
        <v>1637.6700000000003</v>
      </c>
      <c r="H988" s="6" t="str">
        <f>_xlfn.XLOOKUP(C988,products!A:A,products!C:C)</f>
        <v>Electronics</v>
      </c>
      <c r="I988" s="6" t="str">
        <f>_xlfn.XLOOKUP(C988,products!A:A,products!B:B)</f>
        <v>Power Bank</v>
      </c>
      <c r="J988" s="6">
        <f>_xlfn.XLOOKUP(B988,orders!A:A,orders!C:C)</f>
        <v>45677</v>
      </c>
      <c r="K988" s="6" t="str">
        <f t="shared" si="31"/>
        <v>Jan-2025</v>
      </c>
      <c r="L988" s="6">
        <f>_xlfn.XLOOKUP(B988,orders!A:A,orders!B:B)</f>
        <v>242</v>
      </c>
      <c r="M988" s="6" t="str">
        <f>_xlfn.XLOOKUP("C"&amp;TEXT(L988,"000"),customers!A:A,customers!B:B,"Not Found")</f>
        <v>Nikhil M.</v>
      </c>
    </row>
    <row r="989" spans="1:13">
      <c r="A989">
        <v>988</v>
      </c>
      <c r="B989">
        <v>594</v>
      </c>
      <c r="C989">
        <v>22</v>
      </c>
      <c r="D989" s="4">
        <v>4</v>
      </c>
      <c r="E989">
        <f>_xlfn.XLOOKUP(C989,products!A:A,products!D:D)</f>
        <v>3514</v>
      </c>
      <c r="F989">
        <f t="shared" si="30"/>
        <v>14056</v>
      </c>
      <c r="G989">
        <f>D989*(E989-_xlfn.XLOOKUP(C989,products!A:A,products!E:E))</f>
        <v>5903.52</v>
      </c>
      <c r="H989" s="6" t="str">
        <f>_xlfn.XLOOKUP(C989,products!A:A,products!C:C)</f>
        <v>Home Appliances</v>
      </c>
      <c r="I989" s="6" t="str">
        <f>_xlfn.XLOOKUP(C989,products!A:A,products!B:B)</f>
        <v>Microwave</v>
      </c>
      <c r="J989" s="6">
        <f>_xlfn.XLOOKUP(B989,orders!A:A,orders!C:C)</f>
        <v>45677</v>
      </c>
      <c r="K989" s="6" t="str">
        <f t="shared" si="31"/>
        <v>Jan-2025</v>
      </c>
      <c r="L989" s="6">
        <f>_xlfn.XLOOKUP(B989,orders!A:A,orders!B:B)</f>
        <v>242</v>
      </c>
      <c r="M989" s="6" t="str">
        <f>_xlfn.XLOOKUP("C"&amp;TEXT(L989,"000"),customers!A:A,customers!B:B,"Not Found")</f>
        <v>Nikhil M.</v>
      </c>
    </row>
    <row r="990" spans="1:13">
      <c r="A990">
        <v>989</v>
      </c>
      <c r="B990">
        <v>595</v>
      </c>
      <c r="C990">
        <v>16</v>
      </c>
      <c r="D990" s="4">
        <v>4</v>
      </c>
      <c r="E990">
        <f>_xlfn.XLOOKUP(C990,products!A:A,products!D:D)</f>
        <v>2692</v>
      </c>
      <c r="F990">
        <f t="shared" si="30"/>
        <v>10768</v>
      </c>
      <c r="G990">
        <f>D990*(E990-_xlfn.XLOOKUP(C990,products!A:A,products!E:E))</f>
        <v>3876.4799999999996</v>
      </c>
      <c r="H990" s="6" t="str">
        <f>_xlfn.XLOOKUP(C990,products!A:A,products!C:C)</f>
        <v>Fashion</v>
      </c>
      <c r="I990" s="6" t="str">
        <f>_xlfn.XLOOKUP(C990,products!A:A,products!B:B)</f>
        <v>Saree</v>
      </c>
      <c r="J990" s="6">
        <f>_xlfn.XLOOKUP(B990,orders!A:A,orders!C:C)</f>
        <v>45680</v>
      </c>
      <c r="K990" s="6" t="str">
        <f t="shared" si="31"/>
        <v>Jan-2025</v>
      </c>
      <c r="L990" s="6">
        <f>_xlfn.XLOOKUP(B990,orders!A:A,orders!B:B)</f>
        <v>279</v>
      </c>
      <c r="M990" s="6" t="str">
        <f>_xlfn.XLOOKUP("C"&amp;TEXT(L990,"000"),customers!A:A,customers!B:B,"Not Found")</f>
        <v>Divya T.</v>
      </c>
    </row>
    <row r="991" spans="1:13">
      <c r="A991">
        <v>990</v>
      </c>
      <c r="B991">
        <v>595</v>
      </c>
      <c r="C991">
        <v>29</v>
      </c>
      <c r="D991" s="4">
        <v>1</v>
      </c>
      <c r="E991">
        <f>_xlfn.XLOOKUP(C991,products!A:A,products!D:D)</f>
        <v>4473</v>
      </c>
      <c r="F991">
        <f t="shared" si="30"/>
        <v>4473</v>
      </c>
      <c r="G991">
        <f>D991*(E991-_xlfn.XLOOKUP(C991,products!A:A,products!E:E))</f>
        <v>1408.9899999999998</v>
      </c>
      <c r="H991" s="6" t="str">
        <f>_xlfn.XLOOKUP(C991,products!A:A,products!C:C)</f>
        <v>Furniture</v>
      </c>
      <c r="I991" s="6" t="str">
        <f>_xlfn.XLOOKUP(C991,products!A:A,products!B:B)</f>
        <v>Chair</v>
      </c>
      <c r="J991" s="6">
        <f>_xlfn.XLOOKUP(B991,orders!A:A,orders!C:C)</f>
        <v>45680</v>
      </c>
      <c r="K991" s="6" t="str">
        <f t="shared" si="31"/>
        <v>Jan-2025</v>
      </c>
      <c r="L991" s="6">
        <f>_xlfn.XLOOKUP(B991,orders!A:A,orders!B:B)</f>
        <v>279</v>
      </c>
      <c r="M991" s="6" t="str">
        <f>_xlfn.XLOOKUP("C"&amp;TEXT(L991,"000"),customers!A:A,customers!B:B,"Not Found")</f>
        <v>Divya T.</v>
      </c>
    </row>
    <row r="992" spans="1:13">
      <c r="A992">
        <v>991</v>
      </c>
      <c r="B992">
        <v>596</v>
      </c>
      <c r="C992">
        <v>23</v>
      </c>
      <c r="D992" s="4">
        <v>1</v>
      </c>
      <c r="E992">
        <f>_xlfn.XLOOKUP(C992,products!A:A,products!D:D)</f>
        <v>3651</v>
      </c>
      <c r="F992">
        <f t="shared" si="30"/>
        <v>3651</v>
      </c>
      <c r="G992">
        <f>D992*(E992-_xlfn.XLOOKUP(C992,products!A:A,products!E:E))</f>
        <v>1478.65</v>
      </c>
      <c r="H992" s="6" t="str">
        <f>_xlfn.XLOOKUP(C992,products!A:A,products!C:C)</f>
        <v>Home Appliances</v>
      </c>
      <c r="I992" s="6" t="str">
        <f>_xlfn.XLOOKUP(C992,products!A:A,products!B:B)</f>
        <v>Fan</v>
      </c>
      <c r="J992" s="6">
        <f>_xlfn.XLOOKUP(B992,orders!A:A,orders!C:C)</f>
        <v>45683</v>
      </c>
      <c r="K992" s="6" t="str">
        <f t="shared" si="31"/>
        <v>Jan-2025</v>
      </c>
      <c r="L992" s="6">
        <f>_xlfn.XLOOKUP(B992,orders!A:A,orders!B:B)</f>
        <v>316</v>
      </c>
      <c r="M992" s="6" t="str">
        <f>_xlfn.XLOOKUP("C"&amp;TEXT(L992,"000"),customers!A:A,customers!B:B,"Not Found")</f>
        <v>Kiran J.</v>
      </c>
    </row>
    <row r="993" spans="1:13">
      <c r="A993">
        <v>992</v>
      </c>
      <c r="B993">
        <v>596</v>
      </c>
      <c r="C993">
        <v>36</v>
      </c>
      <c r="D993" s="4">
        <v>2</v>
      </c>
      <c r="E993">
        <f>_xlfn.XLOOKUP(C993,products!A:A,products!D:D)</f>
        <v>5432</v>
      </c>
      <c r="F993">
        <f t="shared" si="30"/>
        <v>10864</v>
      </c>
      <c r="G993">
        <f>D993*(E993-_xlfn.XLOOKUP(C993,products!A:A,products!E:E))</f>
        <v>3911.04</v>
      </c>
      <c r="H993" s="6" t="str">
        <f>_xlfn.XLOOKUP(C993,products!A:A,products!C:C)</f>
        <v>Sports</v>
      </c>
      <c r="I993" s="6" t="str">
        <f>_xlfn.XLOOKUP(C993,products!A:A,products!B:B)</f>
        <v>Cricket Bat</v>
      </c>
      <c r="J993" s="6">
        <f>_xlfn.XLOOKUP(B993,orders!A:A,orders!C:C)</f>
        <v>45683</v>
      </c>
      <c r="K993" s="6" t="str">
        <f t="shared" si="31"/>
        <v>Jan-2025</v>
      </c>
      <c r="L993" s="6">
        <f>_xlfn.XLOOKUP(B993,orders!A:A,orders!B:B)</f>
        <v>316</v>
      </c>
      <c r="M993" s="6" t="str">
        <f>_xlfn.XLOOKUP("C"&amp;TEXT(L993,"000"),customers!A:A,customers!B:B,"Not Found")</f>
        <v>Kiran J.</v>
      </c>
    </row>
    <row r="994" spans="1:13">
      <c r="A994">
        <v>993</v>
      </c>
      <c r="B994">
        <v>597</v>
      </c>
      <c r="C994">
        <v>30</v>
      </c>
      <c r="D994" s="4">
        <v>2</v>
      </c>
      <c r="E994">
        <f>_xlfn.XLOOKUP(C994,products!A:A,products!D:D)</f>
        <v>4610</v>
      </c>
      <c r="F994">
        <f t="shared" si="30"/>
        <v>9220</v>
      </c>
      <c r="G994">
        <f>D994*(E994-_xlfn.XLOOKUP(C994,products!A:A,products!E:E))</f>
        <v>4149</v>
      </c>
      <c r="H994" s="6" t="str">
        <f>_xlfn.XLOOKUP(C994,products!A:A,products!C:C)</f>
        <v>Furniture</v>
      </c>
      <c r="I994" s="6" t="str">
        <f>_xlfn.XLOOKUP(C994,products!A:A,products!B:B)</f>
        <v>Table</v>
      </c>
      <c r="J994" s="6">
        <f>_xlfn.XLOOKUP(B994,orders!A:A,orders!C:C)</f>
        <v>45686</v>
      </c>
      <c r="K994" s="6" t="str">
        <f t="shared" si="31"/>
        <v>Jan-2025</v>
      </c>
      <c r="L994" s="6">
        <f>_xlfn.XLOOKUP(B994,orders!A:A,orders!B:B)</f>
        <v>353</v>
      </c>
      <c r="M994" s="6" t="str">
        <f>_xlfn.XLOOKUP("C"&amp;TEXT(L994,"000"),customers!A:A,customers!B:B,"Not Found")</f>
        <v>Arjun B.</v>
      </c>
    </row>
    <row r="995" spans="1:13">
      <c r="A995">
        <v>994</v>
      </c>
      <c r="B995">
        <v>597</v>
      </c>
      <c r="C995">
        <v>43</v>
      </c>
      <c r="D995" s="4">
        <v>3</v>
      </c>
      <c r="E995">
        <f>_xlfn.XLOOKUP(C995,products!A:A,products!D:D)</f>
        <v>6391</v>
      </c>
      <c r="F995">
        <f t="shared" si="30"/>
        <v>19173</v>
      </c>
      <c r="G995">
        <f>D995*(E995-_xlfn.XLOOKUP(C995,products!A:A,products!E:E))</f>
        <v>7765.0499999999993</v>
      </c>
      <c r="H995" s="6" t="str">
        <f>_xlfn.XLOOKUP(C995,products!A:A,products!C:C)</f>
        <v>Beauty</v>
      </c>
      <c r="I995" s="6" t="str">
        <f>_xlfn.XLOOKUP(C995,products!A:A,products!B:B)</f>
        <v>Perfume</v>
      </c>
      <c r="J995" s="6">
        <f>_xlfn.XLOOKUP(B995,orders!A:A,orders!C:C)</f>
        <v>45686</v>
      </c>
      <c r="K995" s="6" t="str">
        <f t="shared" si="31"/>
        <v>Jan-2025</v>
      </c>
      <c r="L995" s="6">
        <f>_xlfn.XLOOKUP(B995,orders!A:A,orders!B:B)</f>
        <v>353</v>
      </c>
      <c r="M995" s="6" t="str">
        <f>_xlfn.XLOOKUP("C"&amp;TEXT(L995,"000"),customers!A:A,customers!B:B,"Not Found")</f>
        <v>Arjun B.</v>
      </c>
    </row>
    <row r="996" spans="1:13">
      <c r="A996">
        <v>995</v>
      </c>
      <c r="B996">
        <v>598</v>
      </c>
      <c r="C996">
        <v>37</v>
      </c>
      <c r="D996" s="4">
        <v>3</v>
      </c>
      <c r="E996">
        <f>_xlfn.XLOOKUP(C996,products!A:A,products!D:D)</f>
        <v>5569</v>
      </c>
      <c r="F996">
        <f t="shared" si="30"/>
        <v>16707</v>
      </c>
      <c r="G996">
        <f>D996*(E996-_xlfn.XLOOKUP(C996,products!A:A,products!E:E))</f>
        <v>5763.9000000000005</v>
      </c>
      <c r="H996" s="6" t="str">
        <f>_xlfn.XLOOKUP(C996,products!A:A,products!C:C)</f>
        <v>Sports</v>
      </c>
      <c r="I996" s="6" t="str">
        <f>_xlfn.XLOOKUP(C996,products!A:A,products!B:B)</f>
        <v>Football</v>
      </c>
      <c r="J996" s="6">
        <f>_xlfn.XLOOKUP(B996,orders!A:A,orders!C:C)</f>
        <v>45689</v>
      </c>
      <c r="K996" s="6" t="str">
        <f t="shared" si="31"/>
        <v>Feb-2025</v>
      </c>
      <c r="L996" s="6">
        <f>_xlfn.XLOOKUP(B996,orders!A:A,orders!B:B)</f>
        <v>390</v>
      </c>
      <c r="M996" s="6" t="str">
        <f>_xlfn.XLOOKUP("C"&amp;TEXT(L996,"000"),customers!A:A,customers!B:B,"Not Found")</f>
        <v>Vikram W.</v>
      </c>
    </row>
    <row r="997" spans="1:13">
      <c r="A997">
        <v>996</v>
      </c>
      <c r="B997">
        <v>598</v>
      </c>
      <c r="C997">
        <v>50</v>
      </c>
      <c r="D997" s="4">
        <v>4</v>
      </c>
      <c r="E997">
        <f>_xlfn.XLOOKUP(C997,products!A:A,products!D:D)</f>
        <v>7350</v>
      </c>
      <c r="F997">
        <f t="shared" si="30"/>
        <v>29400</v>
      </c>
      <c r="G997">
        <f>D997*(E997-_xlfn.XLOOKUP(C997,products!A:A,products!E:E))</f>
        <v>13230</v>
      </c>
      <c r="H997" s="6" t="str">
        <f>_xlfn.XLOOKUP(C997,products!A:A,products!C:C)</f>
        <v>Toys</v>
      </c>
      <c r="I997" s="6" t="str">
        <f>_xlfn.XLOOKUP(C997,products!A:A,products!B:B)</f>
        <v>Building Blocks</v>
      </c>
      <c r="J997" s="6">
        <f>_xlfn.XLOOKUP(B997,orders!A:A,orders!C:C)</f>
        <v>45689</v>
      </c>
      <c r="K997" s="6" t="str">
        <f t="shared" si="31"/>
        <v>Feb-2025</v>
      </c>
      <c r="L997" s="6">
        <f>_xlfn.XLOOKUP(B997,orders!A:A,orders!B:B)</f>
        <v>390</v>
      </c>
      <c r="M997" s="6" t="str">
        <f>_xlfn.XLOOKUP("C"&amp;TEXT(L997,"000"),customers!A:A,customers!B:B,"Not Found")</f>
        <v>Vikram W.</v>
      </c>
    </row>
    <row r="998" spans="1:13">
      <c r="A998">
        <v>997</v>
      </c>
      <c r="B998">
        <v>599</v>
      </c>
      <c r="C998">
        <v>44</v>
      </c>
      <c r="D998" s="4">
        <v>4</v>
      </c>
      <c r="E998">
        <f>_xlfn.XLOOKUP(C998,products!A:A,products!D:D)</f>
        <v>6528</v>
      </c>
      <c r="F998">
        <f t="shared" si="30"/>
        <v>26112</v>
      </c>
      <c r="G998">
        <f>D998*(E998-_xlfn.XLOOKUP(C998,products!A:A,products!E:E))</f>
        <v>10183.68</v>
      </c>
      <c r="H998" s="6" t="str">
        <f>_xlfn.XLOOKUP(C998,products!A:A,products!C:C)</f>
        <v>Beauty</v>
      </c>
      <c r="I998" s="6" t="str">
        <f>_xlfn.XLOOKUP(C998,products!A:A,products!B:B)</f>
        <v>Moisturizer</v>
      </c>
      <c r="J998" s="6">
        <f>_xlfn.XLOOKUP(B998,orders!A:A,orders!C:C)</f>
        <v>45692</v>
      </c>
      <c r="K998" s="6" t="str">
        <f t="shared" si="31"/>
        <v>Feb-2025</v>
      </c>
      <c r="L998" s="6">
        <f>_xlfn.XLOOKUP(B998,orders!A:A,orders!B:B)</f>
        <v>427</v>
      </c>
      <c r="M998" s="6" t="str">
        <f>_xlfn.XLOOKUP("C"&amp;TEXT(L998,"000"),customers!A:A,customers!B:B,"Not Found")</f>
        <v>Vikram X.</v>
      </c>
    </row>
    <row r="999" spans="1:13">
      <c r="A999">
        <v>998</v>
      </c>
      <c r="B999">
        <v>599</v>
      </c>
      <c r="C999">
        <v>7</v>
      </c>
      <c r="D999" s="4">
        <v>1</v>
      </c>
      <c r="E999">
        <f>_xlfn.XLOOKUP(C999,products!A:A,products!D:D)</f>
        <v>1459</v>
      </c>
      <c r="F999">
        <f t="shared" si="30"/>
        <v>1459</v>
      </c>
      <c r="G999">
        <f>D999*(E999-_xlfn.XLOOKUP(C999,products!A:A,products!E:E))</f>
        <v>503.35</v>
      </c>
      <c r="H999" s="6" t="str">
        <f>_xlfn.XLOOKUP(C999,products!A:A,products!C:C)</f>
        <v>Electronics</v>
      </c>
      <c r="I999" s="6" t="str">
        <f>_xlfn.XLOOKUP(C999,products!A:A,products!B:B)</f>
        <v>Monitor</v>
      </c>
      <c r="J999" s="6">
        <f>_xlfn.XLOOKUP(B999,orders!A:A,orders!C:C)</f>
        <v>45692</v>
      </c>
      <c r="K999" s="6" t="str">
        <f t="shared" si="31"/>
        <v>Feb-2025</v>
      </c>
      <c r="L999" s="6">
        <f>_xlfn.XLOOKUP(B999,orders!A:A,orders!B:B)</f>
        <v>427</v>
      </c>
      <c r="M999" s="6" t="str">
        <f>_xlfn.XLOOKUP("C"&amp;TEXT(L999,"000"),customers!A:A,customers!B:B,"Not Found")</f>
        <v>Vikram X.</v>
      </c>
    </row>
    <row r="1000" spans="1:13">
      <c r="A1000">
        <v>999</v>
      </c>
      <c r="B1000">
        <v>600</v>
      </c>
      <c r="C1000">
        <v>1</v>
      </c>
      <c r="D1000" s="4">
        <v>1</v>
      </c>
      <c r="E1000">
        <f>_xlfn.XLOOKUP(C1000,products!A:A,products!D:D)</f>
        <v>637</v>
      </c>
      <c r="F1000">
        <f t="shared" si="30"/>
        <v>637</v>
      </c>
      <c r="G1000">
        <f>D1000*(E1000-_xlfn.XLOOKUP(C1000,products!A:A,products!E:E))</f>
        <v>277.08999999999997</v>
      </c>
      <c r="H1000" s="6" t="str">
        <f>_xlfn.XLOOKUP(C1000,products!A:A,products!C:C)</f>
        <v>Electronics</v>
      </c>
      <c r="I1000" s="6" t="str">
        <f>_xlfn.XLOOKUP(C1000,products!A:A,products!B:B)</f>
        <v>Laptop</v>
      </c>
      <c r="J1000" s="6">
        <f>_xlfn.XLOOKUP(B1000,orders!A:A,orders!C:C)</f>
        <v>45695</v>
      </c>
      <c r="K1000" s="6" t="str">
        <f t="shared" si="31"/>
        <v>Feb-2025</v>
      </c>
      <c r="L1000" s="6">
        <f>_xlfn.XLOOKUP(B1000,orders!A:A,orders!B:B)</f>
        <v>464</v>
      </c>
      <c r="M1000" s="6" t="str">
        <f>_xlfn.XLOOKUP("C"&amp;TEXT(L1000,"000"),customers!A:A,customers!B:B,"Not Found")</f>
        <v>Priya Y.</v>
      </c>
    </row>
    <row r="1001" spans="1:13">
      <c r="A1001">
        <v>1000</v>
      </c>
      <c r="B1001">
        <v>600</v>
      </c>
      <c r="C1001">
        <v>14</v>
      </c>
      <c r="D1001" s="4">
        <v>2</v>
      </c>
      <c r="E1001">
        <f>_xlfn.XLOOKUP(C1001,products!A:A,products!D:D)</f>
        <v>2418</v>
      </c>
      <c r="F1001">
        <f t="shared" si="30"/>
        <v>4836</v>
      </c>
      <c r="G1001">
        <f>D1001*(E1001-_xlfn.XLOOKUP(C1001,products!A:A,products!E:E))</f>
        <v>1886.04</v>
      </c>
      <c r="H1001" s="6" t="str">
        <f>_xlfn.XLOOKUP(C1001,products!A:A,products!C:C)</f>
        <v>Fashion</v>
      </c>
      <c r="I1001" s="6" t="str">
        <f>_xlfn.XLOOKUP(C1001,products!A:A,products!B:B)</f>
        <v>Jacket</v>
      </c>
      <c r="J1001" s="6">
        <f>_xlfn.XLOOKUP(B1001,orders!A:A,orders!C:C)</f>
        <v>45695</v>
      </c>
      <c r="K1001" s="6" t="str">
        <f t="shared" si="31"/>
        <v>Feb-2025</v>
      </c>
      <c r="L1001" s="6">
        <f>_xlfn.XLOOKUP(B1001,orders!A:A,orders!B:B)</f>
        <v>464</v>
      </c>
      <c r="M1001" s="6" t="str">
        <f>_xlfn.XLOOKUP("C"&amp;TEXT(L1001,"000"),customers!A:A,customers!B:B,"Not Found")</f>
        <v>Priya Y.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AC52-DD3C-4057-88A3-F6E37494B8F9}">
  <dimension ref="A1:F501"/>
  <sheetViews>
    <sheetView workbookViewId="0">
      <selection activeCell="D10" sqref="D10"/>
    </sheetView>
  </sheetViews>
  <sheetFormatPr defaultRowHeight="15"/>
  <cols>
    <col min="1" max="1" width="14.140625" bestFit="1" customWidth="1"/>
    <col min="2" max="2" width="11.140625" bestFit="1" customWidth="1"/>
    <col min="3" max="3" width="16.5703125" bestFit="1" customWidth="1"/>
    <col min="4" max="4" width="19.7109375" bestFit="1" customWidth="1"/>
    <col min="5" max="5" width="18" bestFit="1" customWidth="1"/>
    <col min="6" max="6" width="11.5703125" style="5" customWidth="1"/>
  </cols>
  <sheetData>
    <row r="1" spans="1:6">
      <c r="A1" t="s">
        <v>937</v>
      </c>
      <c r="B1" t="s">
        <v>924</v>
      </c>
      <c r="C1" s="1" t="s">
        <v>938</v>
      </c>
      <c r="D1" t="s">
        <v>939</v>
      </c>
      <c r="E1" t="s">
        <v>940</v>
      </c>
      <c r="F1" s="5" t="s">
        <v>941</v>
      </c>
    </row>
    <row r="2" spans="1:6">
      <c r="A2">
        <v>1</v>
      </c>
      <c r="B2">
        <v>101</v>
      </c>
      <c r="C2" s="1">
        <v>45658</v>
      </c>
      <c r="D2" t="s">
        <v>942</v>
      </c>
      <c r="E2" t="s">
        <v>943</v>
      </c>
      <c r="F2" s="5">
        <v>13323</v>
      </c>
    </row>
    <row r="3" spans="1:6">
      <c r="A3">
        <v>2</v>
      </c>
      <c r="B3">
        <v>102</v>
      </c>
      <c r="C3" s="1">
        <v>45661</v>
      </c>
      <c r="D3" t="s">
        <v>944</v>
      </c>
      <c r="E3" t="s">
        <v>943</v>
      </c>
      <c r="F3" s="5">
        <v>25009</v>
      </c>
    </row>
    <row r="4" spans="1:6">
      <c r="A4">
        <v>3</v>
      </c>
      <c r="B4">
        <v>103</v>
      </c>
      <c r="C4" s="1">
        <v>45664</v>
      </c>
      <c r="D4" t="s">
        <v>945</v>
      </c>
      <c r="E4" t="s">
        <v>943</v>
      </c>
      <c r="F4" s="5">
        <v>19351</v>
      </c>
    </row>
    <row r="5" spans="1:6">
      <c r="A5">
        <v>4</v>
      </c>
      <c r="B5">
        <v>104</v>
      </c>
      <c r="C5" s="1">
        <v>45667</v>
      </c>
      <c r="D5" t="s">
        <v>946</v>
      </c>
      <c r="E5" t="s">
        <v>943</v>
      </c>
      <c r="F5" s="5">
        <v>16981</v>
      </c>
    </row>
    <row r="6" spans="1:6">
      <c r="A6">
        <v>5</v>
      </c>
      <c r="B6">
        <v>105</v>
      </c>
      <c r="C6" s="1">
        <v>45670</v>
      </c>
      <c r="D6" t="s">
        <v>947</v>
      </c>
      <c r="E6" t="s">
        <v>943</v>
      </c>
      <c r="F6" s="5">
        <v>32503</v>
      </c>
    </row>
    <row r="7" spans="1:6">
      <c r="A7">
        <v>6</v>
      </c>
      <c r="B7">
        <v>106</v>
      </c>
      <c r="C7" s="1">
        <v>45673</v>
      </c>
      <c r="D7" t="s">
        <v>942</v>
      </c>
      <c r="E7" t="s">
        <v>943</v>
      </c>
      <c r="F7" s="5">
        <v>24461</v>
      </c>
    </row>
    <row r="8" spans="1:6">
      <c r="A8">
        <v>7</v>
      </c>
      <c r="B8">
        <v>107</v>
      </c>
      <c r="C8" s="1">
        <v>45676</v>
      </c>
      <c r="D8" t="s">
        <v>944</v>
      </c>
      <c r="E8" t="s">
        <v>943</v>
      </c>
      <c r="F8" s="5">
        <v>31681</v>
      </c>
    </row>
    <row r="9" spans="1:6">
      <c r="A9">
        <v>8</v>
      </c>
      <c r="B9">
        <v>108</v>
      </c>
      <c r="C9" s="1">
        <v>45679</v>
      </c>
      <c r="D9" t="s">
        <v>945</v>
      </c>
      <c r="E9" t="s">
        <v>943</v>
      </c>
      <c r="F9" s="5">
        <v>7939</v>
      </c>
    </row>
    <row r="10" spans="1:6">
      <c r="A10">
        <v>9</v>
      </c>
      <c r="B10">
        <v>109</v>
      </c>
      <c r="C10" s="1">
        <v>45682</v>
      </c>
      <c r="D10" t="s">
        <v>946</v>
      </c>
      <c r="E10" t="s">
        <v>943</v>
      </c>
      <c r="F10" s="5">
        <v>17433</v>
      </c>
    </row>
    <row r="11" spans="1:6">
      <c r="A11">
        <v>10</v>
      </c>
      <c r="B11">
        <v>110</v>
      </c>
      <c r="C11" s="1">
        <v>45685</v>
      </c>
      <c r="D11" t="s">
        <v>947</v>
      </c>
      <c r="E11" t="s">
        <v>943</v>
      </c>
      <c r="F11" s="5">
        <v>30763</v>
      </c>
    </row>
    <row r="12" spans="1:6">
      <c r="A12">
        <v>11</v>
      </c>
      <c r="B12">
        <v>111</v>
      </c>
      <c r="C12" s="1">
        <v>45688</v>
      </c>
      <c r="D12" t="s">
        <v>942</v>
      </c>
      <c r="E12" t="s">
        <v>943</v>
      </c>
      <c r="F12" s="5">
        <v>23461</v>
      </c>
    </row>
    <row r="13" spans="1:6">
      <c r="A13">
        <v>12</v>
      </c>
      <c r="B13">
        <v>112</v>
      </c>
      <c r="C13" s="1">
        <v>45691</v>
      </c>
      <c r="D13" t="s">
        <v>944</v>
      </c>
      <c r="E13" t="s">
        <v>943</v>
      </c>
      <c r="F13" s="5">
        <v>19447</v>
      </c>
    </row>
    <row r="14" spans="1:6">
      <c r="A14">
        <v>13</v>
      </c>
      <c r="B14">
        <v>113</v>
      </c>
      <c r="C14" s="1">
        <v>45694</v>
      </c>
      <c r="D14" t="s">
        <v>945</v>
      </c>
      <c r="E14" t="s">
        <v>943</v>
      </c>
      <c r="F14" s="5">
        <v>16063</v>
      </c>
    </row>
    <row r="15" spans="1:6">
      <c r="A15">
        <v>14</v>
      </c>
      <c r="B15">
        <v>114</v>
      </c>
      <c r="C15" s="1">
        <v>45697</v>
      </c>
      <c r="D15" t="s">
        <v>946</v>
      </c>
      <c r="E15" t="s">
        <v>943</v>
      </c>
      <c r="F15" s="5">
        <v>30215</v>
      </c>
    </row>
    <row r="16" spans="1:6">
      <c r="A16">
        <v>15</v>
      </c>
      <c r="B16">
        <v>115</v>
      </c>
      <c r="C16" s="1">
        <v>45700</v>
      </c>
      <c r="D16" t="s">
        <v>947</v>
      </c>
      <c r="E16" t="s">
        <v>943</v>
      </c>
      <c r="F16" s="5">
        <v>8391</v>
      </c>
    </row>
    <row r="17" spans="1:6">
      <c r="A17">
        <v>16</v>
      </c>
      <c r="B17">
        <v>116</v>
      </c>
      <c r="C17" s="1">
        <v>45703</v>
      </c>
      <c r="D17" t="s">
        <v>942</v>
      </c>
      <c r="E17" t="s">
        <v>943</v>
      </c>
      <c r="F17" s="5">
        <v>10405</v>
      </c>
    </row>
    <row r="18" spans="1:6">
      <c r="A18">
        <v>17</v>
      </c>
      <c r="B18">
        <v>117</v>
      </c>
      <c r="C18" s="1">
        <v>45706</v>
      </c>
      <c r="D18" t="s">
        <v>944</v>
      </c>
      <c r="E18" t="s">
        <v>943</v>
      </c>
      <c r="F18" s="5">
        <v>21543</v>
      </c>
    </row>
    <row r="19" spans="1:6">
      <c r="A19">
        <v>18</v>
      </c>
      <c r="B19">
        <v>118</v>
      </c>
      <c r="C19" s="1">
        <v>45709</v>
      </c>
      <c r="D19" t="s">
        <v>945</v>
      </c>
      <c r="E19" t="s">
        <v>943</v>
      </c>
      <c r="F19" s="5">
        <v>36517</v>
      </c>
    </row>
    <row r="20" spans="1:6">
      <c r="A20">
        <v>19</v>
      </c>
      <c r="B20">
        <v>119</v>
      </c>
      <c r="C20" s="1">
        <v>45712</v>
      </c>
      <c r="D20" t="s">
        <v>946</v>
      </c>
      <c r="E20" t="s">
        <v>943</v>
      </c>
      <c r="F20" s="5">
        <v>27571</v>
      </c>
    </row>
    <row r="21" spans="1:6">
      <c r="A21">
        <v>20</v>
      </c>
      <c r="B21">
        <v>120</v>
      </c>
      <c r="C21" s="1">
        <v>45715</v>
      </c>
      <c r="D21" t="s">
        <v>947</v>
      </c>
      <c r="E21" t="s">
        <v>943</v>
      </c>
      <c r="F21" s="5">
        <v>8213</v>
      </c>
    </row>
    <row r="22" spans="1:6">
      <c r="A22">
        <v>21</v>
      </c>
      <c r="B22">
        <v>121</v>
      </c>
      <c r="C22" s="1">
        <v>45718</v>
      </c>
      <c r="D22" t="s">
        <v>942</v>
      </c>
      <c r="E22" t="s">
        <v>943</v>
      </c>
      <c r="F22" s="5">
        <v>20173</v>
      </c>
    </row>
    <row r="23" spans="1:6">
      <c r="A23">
        <v>22</v>
      </c>
      <c r="B23">
        <v>122</v>
      </c>
      <c r="C23" s="1">
        <v>45721</v>
      </c>
      <c r="D23" t="s">
        <v>944</v>
      </c>
      <c r="E23" t="s">
        <v>943</v>
      </c>
      <c r="F23" s="5">
        <v>15419</v>
      </c>
    </row>
    <row r="24" spans="1:6">
      <c r="A24">
        <v>23</v>
      </c>
      <c r="B24">
        <v>123</v>
      </c>
      <c r="C24" s="1">
        <v>45724</v>
      </c>
      <c r="D24" t="s">
        <v>945</v>
      </c>
      <c r="E24" t="s">
        <v>943</v>
      </c>
      <c r="F24" s="5">
        <v>12501</v>
      </c>
    </row>
    <row r="25" spans="1:6">
      <c r="A25">
        <v>24</v>
      </c>
      <c r="B25">
        <v>124</v>
      </c>
      <c r="C25" s="1">
        <v>45727</v>
      </c>
      <c r="D25" t="s">
        <v>946</v>
      </c>
      <c r="E25" t="s">
        <v>943</v>
      </c>
      <c r="F25" s="5">
        <v>12871</v>
      </c>
    </row>
    <row r="26" spans="1:6">
      <c r="A26">
        <v>25</v>
      </c>
      <c r="B26">
        <v>125</v>
      </c>
      <c r="C26" s="1">
        <v>45730</v>
      </c>
      <c r="D26" t="s">
        <v>947</v>
      </c>
      <c r="E26" t="s">
        <v>943</v>
      </c>
      <c r="F26" s="5">
        <v>25653</v>
      </c>
    </row>
    <row r="27" spans="1:6">
      <c r="A27">
        <v>26</v>
      </c>
      <c r="B27">
        <v>126</v>
      </c>
      <c r="C27" s="1">
        <v>45733</v>
      </c>
      <c r="D27" t="s">
        <v>942</v>
      </c>
      <c r="E27" t="s">
        <v>943</v>
      </c>
      <c r="F27" s="5">
        <v>42271</v>
      </c>
    </row>
    <row r="28" spans="1:6">
      <c r="A28">
        <v>27</v>
      </c>
      <c r="B28">
        <v>127</v>
      </c>
      <c r="C28" s="1">
        <v>45736</v>
      </c>
      <c r="D28" t="s">
        <v>944</v>
      </c>
      <c r="E28" t="s">
        <v>943</v>
      </c>
      <c r="F28" s="5">
        <v>24831</v>
      </c>
    </row>
    <row r="29" spans="1:6">
      <c r="A29">
        <v>28</v>
      </c>
      <c r="B29">
        <v>128</v>
      </c>
      <c r="C29" s="1">
        <v>45739</v>
      </c>
      <c r="D29" t="s">
        <v>945</v>
      </c>
      <c r="E29" t="s">
        <v>943</v>
      </c>
      <c r="F29" s="5">
        <v>10679</v>
      </c>
    </row>
    <row r="30" spans="1:6">
      <c r="A30">
        <v>29</v>
      </c>
      <c r="B30">
        <v>129</v>
      </c>
      <c r="C30" s="1">
        <v>45742</v>
      </c>
      <c r="D30" t="s">
        <v>946</v>
      </c>
      <c r="E30" t="s">
        <v>943</v>
      </c>
      <c r="F30" s="5">
        <v>10583</v>
      </c>
    </row>
    <row r="31" spans="1:6">
      <c r="A31">
        <v>30</v>
      </c>
      <c r="B31">
        <v>130</v>
      </c>
      <c r="C31" s="1">
        <v>45745</v>
      </c>
      <c r="D31" t="s">
        <v>947</v>
      </c>
      <c r="E31" t="s">
        <v>943</v>
      </c>
      <c r="F31" s="5">
        <v>21173</v>
      </c>
    </row>
    <row r="32" spans="1:6">
      <c r="A32">
        <v>31</v>
      </c>
      <c r="B32">
        <v>131</v>
      </c>
      <c r="C32" s="1">
        <v>45748</v>
      </c>
      <c r="D32" t="s">
        <v>942</v>
      </c>
      <c r="E32" t="s">
        <v>943</v>
      </c>
      <c r="F32" s="5">
        <v>16611</v>
      </c>
    </row>
    <row r="33" spans="1:6">
      <c r="A33">
        <v>32</v>
      </c>
      <c r="B33">
        <v>132</v>
      </c>
      <c r="C33" s="1">
        <v>45751</v>
      </c>
      <c r="D33" t="s">
        <v>944</v>
      </c>
      <c r="E33" t="s">
        <v>943</v>
      </c>
      <c r="F33" s="5">
        <v>15337</v>
      </c>
    </row>
    <row r="34" spans="1:6">
      <c r="A34">
        <v>33</v>
      </c>
      <c r="B34">
        <v>133</v>
      </c>
      <c r="C34" s="1">
        <v>45754</v>
      </c>
      <c r="D34" t="s">
        <v>945</v>
      </c>
      <c r="E34" t="s">
        <v>943</v>
      </c>
      <c r="F34" s="5">
        <v>29763</v>
      </c>
    </row>
    <row r="35" spans="1:6">
      <c r="A35">
        <v>34</v>
      </c>
      <c r="B35">
        <v>134</v>
      </c>
      <c r="C35" s="1">
        <v>45757</v>
      </c>
      <c r="D35" t="s">
        <v>946</v>
      </c>
      <c r="E35" t="s">
        <v>943</v>
      </c>
      <c r="F35" s="5">
        <v>20625</v>
      </c>
    </row>
    <row r="36" spans="1:6">
      <c r="A36">
        <v>35</v>
      </c>
      <c r="B36">
        <v>135</v>
      </c>
      <c r="C36" s="1">
        <v>45760</v>
      </c>
      <c r="D36" t="s">
        <v>947</v>
      </c>
      <c r="E36" t="s">
        <v>943</v>
      </c>
      <c r="F36" s="5">
        <v>28941</v>
      </c>
    </row>
    <row r="37" spans="1:6">
      <c r="A37">
        <v>36</v>
      </c>
      <c r="B37">
        <v>136</v>
      </c>
      <c r="C37" s="1">
        <v>45763</v>
      </c>
      <c r="D37" t="s">
        <v>942</v>
      </c>
      <c r="E37" t="s">
        <v>943</v>
      </c>
      <c r="F37" s="5">
        <v>6295</v>
      </c>
    </row>
    <row r="38" spans="1:6">
      <c r="A38">
        <v>37</v>
      </c>
      <c r="B38">
        <v>137</v>
      </c>
      <c r="C38" s="1">
        <v>45766</v>
      </c>
      <c r="D38" t="s">
        <v>944</v>
      </c>
      <c r="E38" t="s">
        <v>943</v>
      </c>
      <c r="F38" s="5">
        <v>14693</v>
      </c>
    </row>
    <row r="39" spans="1:6">
      <c r="A39">
        <v>38</v>
      </c>
      <c r="B39">
        <v>138</v>
      </c>
      <c r="C39" s="1">
        <v>45769</v>
      </c>
      <c r="D39" t="s">
        <v>945</v>
      </c>
      <c r="E39" t="s">
        <v>943</v>
      </c>
      <c r="F39" s="5">
        <v>26927</v>
      </c>
    </row>
    <row r="40" spans="1:6">
      <c r="A40">
        <v>39</v>
      </c>
      <c r="B40">
        <v>139</v>
      </c>
      <c r="C40" s="1">
        <v>45772</v>
      </c>
      <c r="D40" t="s">
        <v>946</v>
      </c>
      <c r="E40" t="s">
        <v>943</v>
      </c>
      <c r="F40" s="5">
        <v>20721</v>
      </c>
    </row>
    <row r="41" spans="1:6">
      <c r="A41">
        <v>40</v>
      </c>
      <c r="B41">
        <v>140</v>
      </c>
      <c r="C41" s="1">
        <v>45775</v>
      </c>
      <c r="D41" t="s">
        <v>947</v>
      </c>
      <c r="E41" t="s">
        <v>943</v>
      </c>
      <c r="F41" s="5">
        <v>17803</v>
      </c>
    </row>
    <row r="42" spans="1:6">
      <c r="A42">
        <v>41</v>
      </c>
      <c r="B42">
        <v>141</v>
      </c>
      <c r="C42" s="1">
        <v>45778</v>
      </c>
      <c r="D42" t="s">
        <v>942</v>
      </c>
      <c r="E42" t="s">
        <v>943</v>
      </c>
      <c r="F42" s="5">
        <v>13323</v>
      </c>
    </row>
    <row r="43" spans="1:6">
      <c r="A43">
        <v>42</v>
      </c>
      <c r="B43">
        <v>142</v>
      </c>
      <c r="C43" s="1">
        <v>45781</v>
      </c>
      <c r="D43" t="s">
        <v>944</v>
      </c>
      <c r="E43" t="s">
        <v>943</v>
      </c>
      <c r="F43" s="5">
        <v>26379</v>
      </c>
    </row>
    <row r="44" spans="1:6">
      <c r="A44">
        <v>43</v>
      </c>
      <c r="B44">
        <v>143</v>
      </c>
      <c r="C44" s="1">
        <v>45784</v>
      </c>
      <c r="D44" t="s">
        <v>945</v>
      </c>
      <c r="E44" t="s">
        <v>948</v>
      </c>
      <c r="F44" s="5">
        <v>5651</v>
      </c>
    </row>
    <row r="45" spans="1:6">
      <c r="A45">
        <v>44</v>
      </c>
      <c r="B45">
        <v>144</v>
      </c>
      <c r="C45" s="1">
        <v>45787</v>
      </c>
      <c r="D45" t="s">
        <v>946</v>
      </c>
      <c r="E45" t="s">
        <v>943</v>
      </c>
      <c r="F45" s="5">
        <v>8761</v>
      </c>
    </row>
    <row r="46" spans="1:6">
      <c r="A46">
        <v>45</v>
      </c>
      <c r="B46">
        <v>145</v>
      </c>
      <c r="C46" s="1">
        <v>45790</v>
      </c>
      <c r="D46" t="s">
        <v>947</v>
      </c>
      <c r="E46" t="s">
        <v>943</v>
      </c>
      <c r="F46" s="5">
        <v>18803</v>
      </c>
    </row>
    <row r="47" spans="1:6">
      <c r="A47">
        <v>46</v>
      </c>
      <c r="B47">
        <v>146</v>
      </c>
      <c r="C47" s="1">
        <v>45793</v>
      </c>
      <c r="D47" t="s">
        <v>942</v>
      </c>
      <c r="E47" t="s">
        <v>943</v>
      </c>
      <c r="F47" s="5">
        <v>32681</v>
      </c>
    </row>
    <row r="48" spans="1:6">
      <c r="A48">
        <v>47</v>
      </c>
      <c r="B48">
        <v>147</v>
      </c>
      <c r="C48" s="1">
        <v>45796</v>
      </c>
      <c r="D48" t="s">
        <v>944</v>
      </c>
      <c r="E48" t="s">
        <v>943</v>
      </c>
      <c r="F48" s="5">
        <v>24831</v>
      </c>
    </row>
    <row r="49" spans="1:6">
      <c r="A49">
        <v>48</v>
      </c>
      <c r="B49">
        <v>148</v>
      </c>
      <c r="C49" s="1">
        <v>45799</v>
      </c>
      <c r="D49" t="s">
        <v>945</v>
      </c>
      <c r="E49" t="s">
        <v>943</v>
      </c>
      <c r="F49" s="5">
        <v>20269</v>
      </c>
    </row>
    <row r="50" spans="1:6">
      <c r="A50">
        <v>49</v>
      </c>
      <c r="B50">
        <v>149</v>
      </c>
      <c r="C50" s="1">
        <v>45802</v>
      </c>
      <c r="D50" t="s">
        <v>946</v>
      </c>
      <c r="E50" t="s">
        <v>943</v>
      </c>
      <c r="F50" s="5">
        <v>17433</v>
      </c>
    </row>
    <row r="51" spans="1:6">
      <c r="A51">
        <v>50</v>
      </c>
      <c r="B51">
        <v>150</v>
      </c>
      <c r="C51" s="1">
        <v>45805</v>
      </c>
      <c r="D51" t="s">
        <v>947</v>
      </c>
      <c r="E51" t="s">
        <v>943</v>
      </c>
      <c r="F51" s="5">
        <v>11583</v>
      </c>
    </row>
    <row r="52" spans="1:6">
      <c r="A52">
        <v>51</v>
      </c>
      <c r="B52">
        <v>151</v>
      </c>
      <c r="C52" s="1">
        <v>45808</v>
      </c>
      <c r="D52" t="s">
        <v>942</v>
      </c>
      <c r="E52" t="s">
        <v>943</v>
      </c>
      <c r="F52" s="5">
        <v>9761</v>
      </c>
    </row>
    <row r="53" spans="1:6">
      <c r="A53">
        <v>52</v>
      </c>
      <c r="B53">
        <v>152</v>
      </c>
      <c r="C53" s="1">
        <v>45811</v>
      </c>
      <c r="D53" t="s">
        <v>944</v>
      </c>
      <c r="E53" t="s">
        <v>943</v>
      </c>
      <c r="F53" s="5">
        <v>11227</v>
      </c>
    </row>
    <row r="54" spans="1:6">
      <c r="A54">
        <v>53</v>
      </c>
      <c r="B54">
        <v>153</v>
      </c>
      <c r="C54" s="1">
        <v>45814</v>
      </c>
      <c r="D54" t="s">
        <v>945</v>
      </c>
      <c r="E54" t="s">
        <v>943</v>
      </c>
      <c r="F54" s="5">
        <v>22913</v>
      </c>
    </row>
    <row r="55" spans="1:6">
      <c r="A55">
        <v>54</v>
      </c>
      <c r="B55">
        <v>154</v>
      </c>
      <c r="C55" s="1">
        <v>45817</v>
      </c>
      <c r="D55" t="s">
        <v>946</v>
      </c>
      <c r="E55" t="s">
        <v>943</v>
      </c>
      <c r="F55" s="5">
        <v>38435</v>
      </c>
    </row>
    <row r="56" spans="1:6">
      <c r="A56">
        <v>55</v>
      </c>
      <c r="B56">
        <v>155</v>
      </c>
      <c r="C56" s="1">
        <v>45820</v>
      </c>
      <c r="D56" t="s">
        <v>947</v>
      </c>
      <c r="E56" t="s">
        <v>948</v>
      </c>
      <c r="F56" s="5">
        <v>28941</v>
      </c>
    </row>
    <row r="57" spans="1:6">
      <c r="A57">
        <v>56</v>
      </c>
      <c r="B57">
        <v>156</v>
      </c>
      <c r="C57" s="1">
        <v>45823</v>
      </c>
      <c r="D57" t="s">
        <v>942</v>
      </c>
      <c r="E57" t="s">
        <v>943</v>
      </c>
      <c r="F57" s="5">
        <v>9035</v>
      </c>
    </row>
    <row r="58" spans="1:6">
      <c r="A58">
        <v>57</v>
      </c>
      <c r="B58">
        <v>157</v>
      </c>
      <c r="C58" s="1">
        <v>45826</v>
      </c>
      <c r="D58" t="s">
        <v>944</v>
      </c>
      <c r="E58" t="s">
        <v>943</v>
      </c>
      <c r="F58" s="5">
        <v>21543</v>
      </c>
    </row>
    <row r="59" spans="1:6">
      <c r="A59">
        <v>58</v>
      </c>
      <c r="B59">
        <v>158</v>
      </c>
      <c r="C59" s="1">
        <v>45829</v>
      </c>
      <c r="D59" t="s">
        <v>945</v>
      </c>
      <c r="E59" t="s">
        <v>943</v>
      </c>
      <c r="F59" s="5">
        <v>17337</v>
      </c>
    </row>
    <row r="60" spans="1:6">
      <c r="A60">
        <v>59</v>
      </c>
      <c r="B60">
        <v>159</v>
      </c>
      <c r="C60" s="1">
        <v>45832</v>
      </c>
      <c r="D60" t="s">
        <v>946</v>
      </c>
      <c r="E60" t="s">
        <v>943</v>
      </c>
      <c r="F60" s="5">
        <v>13871</v>
      </c>
    </row>
    <row r="61" spans="1:6">
      <c r="A61">
        <v>60</v>
      </c>
      <c r="B61">
        <v>160</v>
      </c>
      <c r="C61" s="1">
        <v>45835</v>
      </c>
      <c r="D61" t="s">
        <v>947</v>
      </c>
      <c r="E61" t="s">
        <v>943</v>
      </c>
      <c r="F61" s="5">
        <v>13693</v>
      </c>
    </row>
    <row r="62" spans="1:6">
      <c r="A62">
        <v>61</v>
      </c>
      <c r="B62">
        <v>161</v>
      </c>
      <c r="C62" s="1">
        <v>45838</v>
      </c>
      <c r="D62" t="s">
        <v>942</v>
      </c>
      <c r="E62" t="s">
        <v>943</v>
      </c>
      <c r="F62" s="5">
        <v>27023</v>
      </c>
    </row>
    <row r="63" spans="1:6">
      <c r="A63">
        <v>62</v>
      </c>
      <c r="B63">
        <v>162</v>
      </c>
      <c r="C63" s="1">
        <v>45841</v>
      </c>
      <c r="D63" t="s">
        <v>944</v>
      </c>
      <c r="E63" t="s">
        <v>943</v>
      </c>
      <c r="F63" s="5">
        <v>44189</v>
      </c>
    </row>
    <row r="64" spans="1:6">
      <c r="A64">
        <v>63</v>
      </c>
      <c r="B64">
        <v>163</v>
      </c>
      <c r="C64" s="1">
        <v>45844</v>
      </c>
      <c r="D64" t="s">
        <v>945</v>
      </c>
      <c r="E64" t="s">
        <v>943</v>
      </c>
      <c r="F64" s="5">
        <v>26201</v>
      </c>
    </row>
    <row r="65" spans="1:6">
      <c r="A65">
        <v>64</v>
      </c>
      <c r="B65">
        <v>164</v>
      </c>
      <c r="C65" s="1">
        <v>45847</v>
      </c>
      <c r="D65" t="s">
        <v>946</v>
      </c>
      <c r="E65" t="s">
        <v>943</v>
      </c>
      <c r="F65" s="5">
        <v>11501</v>
      </c>
    </row>
    <row r="66" spans="1:6">
      <c r="A66">
        <v>65</v>
      </c>
      <c r="B66">
        <v>165</v>
      </c>
      <c r="C66" s="1">
        <v>45850</v>
      </c>
      <c r="D66" t="s">
        <v>947</v>
      </c>
      <c r="E66" t="s">
        <v>948</v>
      </c>
      <c r="F66" s="5">
        <v>11953</v>
      </c>
    </row>
    <row r="67" spans="1:6">
      <c r="A67">
        <v>66</v>
      </c>
      <c r="B67">
        <v>166</v>
      </c>
      <c r="C67" s="1">
        <v>45853</v>
      </c>
      <c r="D67" t="s">
        <v>942</v>
      </c>
      <c r="E67" t="s">
        <v>943</v>
      </c>
      <c r="F67" s="5">
        <v>23091</v>
      </c>
    </row>
    <row r="68" spans="1:6">
      <c r="A68">
        <v>67</v>
      </c>
      <c r="B68">
        <v>167</v>
      </c>
      <c r="C68" s="1">
        <v>45856</v>
      </c>
      <c r="D68" t="s">
        <v>944</v>
      </c>
      <c r="E68" t="s">
        <v>943</v>
      </c>
      <c r="F68" s="5">
        <v>17981</v>
      </c>
    </row>
    <row r="69" spans="1:6">
      <c r="A69">
        <v>68</v>
      </c>
      <c r="B69">
        <v>168</v>
      </c>
      <c r="C69" s="1">
        <v>45859</v>
      </c>
      <c r="D69" t="s">
        <v>945</v>
      </c>
      <c r="E69" t="s">
        <v>943</v>
      </c>
      <c r="F69" s="5">
        <v>16159</v>
      </c>
    </row>
    <row r="70" spans="1:6">
      <c r="A70">
        <v>69</v>
      </c>
      <c r="B70">
        <v>169</v>
      </c>
      <c r="C70" s="1">
        <v>45862</v>
      </c>
      <c r="D70" t="s">
        <v>946</v>
      </c>
      <c r="E70" t="s">
        <v>943</v>
      </c>
      <c r="F70" s="5">
        <v>31133</v>
      </c>
    </row>
    <row r="71" spans="1:6">
      <c r="A71">
        <v>70</v>
      </c>
      <c r="B71">
        <v>170</v>
      </c>
      <c r="C71" s="1">
        <v>45865</v>
      </c>
      <c r="D71" t="s">
        <v>947</v>
      </c>
      <c r="E71" t="s">
        <v>943</v>
      </c>
      <c r="F71" s="5">
        <v>22543</v>
      </c>
    </row>
    <row r="72" spans="1:6">
      <c r="A72">
        <v>71</v>
      </c>
      <c r="B72">
        <v>171</v>
      </c>
      <c r="C72" s="1">
        <v>45868</v>
      </c>
      <c r="D72" t="s">
        <v>942</v>
      </c>
      <c r="E72" t="s">
        <v>943</v>
      </c>
      <c r="F72" s="5">
        <v>30311</v>
      </c>
    </row>
    <row r="73" spans="1:6">
      <c r="A73">
        <v>72</v>
      </c>
      <c r="B73">
        <v>172</v>
      </c>
      <c r="C73" s="1">
        <v>45871</v>
      </c>
      <c r="D73" t="s">
        <v>944</v>
      </c>
      <c r="E73" t="s">
        <v>948</v>
      </c>
      <c r="F73" s="5">
        <v>7117</v>
      </c>
    </row>
    <row r="74" spans="1:6">
      <c r="A74">
        <v>73</v>
      </c>
      <c r="B74">
        <v>173</v>
      </c>
      <c r="C74" s="1">
        <v>45874</v>
      </c>
      <c r="D74" t="s">
        <v>945</v>
      </c>
      <c r="E74" t="s">
        <v>948</v>
      </c>
      <c r="F74" s="5">
        <v>16063</v>
      </c>
    </row>
    <row r="75" spans="1:6">
      <c r="A75">
        <v>74</v>
      </c>
      <c r="B75">
        <v>174</v>
      </c>
      <c r="C75" s="1">
        <v>45877</v>
      </c>
      <c r="D75" t="s">
        <v>946</v>
      </c>
      <c r="E75" t="s">
        <v>943</v>
      </c>
      <c r="F75" s="5">
        <v>28845</v>
      </c>
    </row>
    <row r="76" spans="1:6">
      <c r="A76">
        <v>75</v>
      </c>
      <c r="B76">
        <v>175</v>
      </c>
      <c r="C76" s="1">
        <v>45880</v>
      </c>
      <c r="D76" t="s">
        <v>947</v>
      </c>
      <c r="E76" t="s">
        <v>943</v>
      </c>
      <c r="F76" s="5">
        <v>22091</v>
      </c>
    </row>
    <row r="77" spans="1:6">
      <c r="A77">
        <v>76</v>
      </c>
      <c r="B77">
        <v>176</v>
      </c>
      <c r="C77" s="1">
        <v>45883</v>
      </c>
      <c r="D77" t="s">
        <v>942</v>
      </c>
      <c r="E77" t="s">
        <v>943</v>
      </c>
      <c r="F77" s="5">
        <v>18625</v>
      </c>
    </row>
    <row r="78" spans="1:6">
      <c r="A78">
        <v>77</v>
      </c>
      <c r="B78">
        <v>177</v>
      </c>
      <c r="C78" s="1">
        <v>45886</v>
      </c>
      <c r="D78" t="s">
        <v>944</v>
      </c>
      <c r="E78" t="s">
        <v>943</v>
      </c>
      <c r="F78" s="5">
        <v>14693</v>
      </c>
    </row>
    <row r="79" spans="1:6">
      <c r="A79">
        <v>78</v>
      </c>
      <c r="B79">
        <v>178</v>
      </c>
      <c r="C79" s="1">
        <v>45889</v>
      </c>
      <c r="D79" t="s">
        <v>945</v>
      </c>
      <c r="E79" t="s">
        <v>943</v>
      </c>
      <c r="F79" s="5">
        <v>28297</v>
      </c>
    </row>
    <row r="80" spans="1:6">
      <c r="A80">
        <v>79</v>
      </c>
      <c r="B80">
        <v>179</v>
      </c>
      <c r="C80" s="1">
        <v>45892</v>
      </c>
      <c r="D80" t="s">
        <v>946</v>
      </c>
      <c r="E80" t="s">
        <v>943</v>
      </c>
      <c r="F80" s="5">
        <v>7021</v>
      </c>
    </row>
    <row r="81" spans="1:6">
      <c r="A81">
        <v>80</v>
      </c>
      <c r="B81">
        <v>180</v>
      </c>
      <c r="C81" s="1">
        <v>45895</v>
      </c>
      <c r="D81" t="s">
        <v>947</v>
      </c>
      <c r="E81" t="s">
        <v>943</v>
      </c>
      <c r="F81" s="5">
        <v>9583</v>
      </c>
    </row>
    <row r="82" spans="1:6">
      <c r="A82">
        <v>81</v>
      </c>
      <c r="B82">
        <v>181</v>
      </c>
      <c r="C82" s="1">
        <v>45898</v>
      </c>
      <c r="D82" t="s">
        <v>942</v>
      </c>
      <c r="E82" t="s">
        <v>943</v>
      </c>
      <c r="F82" s="5">
        <v>20173</v>
      </c>
    </row>
    <row r="83" spans="1:6">
      <c r="A83">
        <v>82</v>
      </c>
      <c r="B83">
        <v>182</v>
      </c>
      <c r="C83" s="1">
        <v>45901</v>
      </c>
      <c r="D83" t="s">
        <v>944</v>
      </c>
      <c r="E83" t="s">
        <v>943</v>
      </c>
      <c r="F83" s="5">
        <v>34599</v>
      </c>
    </row>
    <row r="84" spans="1:6">
      <c r="A84">
        <v>83</v>
      </c>
      <c r="B84">
        <v>183</v>
      </c>
      <c r="C84" s="1">
        <v>45904</v>
      </c>
      <c r="D84" t="s">
        <v>945</v>
      </c>
      <c r="E84" t="s">
        <v>943</v>
      </c>
      <c r="F84" s="5">
        <v>26201</v>
      </c>
    </row>
    <row r="85" spans="1:6">
      <c r="A85">
        <v>84</v>
      </c>
      <c r="B85">
        <v>184</v>
      </c>
      <c r="C85" s="1">
        <v>45907</v>
      </c>
      <c r="D85" t="s">
        <v>946</v>
      </c>
      <c r="E85" t="s">
        <v>943</v>
      </c>
      <c r="F85" s="5">
        <v>7391</v>
      </c>
    </row>
    <row r="86" spans="1:6">
      <c r="A86">
        <v>85</v>
      </c>
      <c r="B86">
        <v>185</v>
      </c>
      <c r="C86" s="1">
        <v>45910</v>
      </c>
      <c r="D86" t="s">
        <v>947</v>
      </c>
      <c r="E86" t="s">
        <v>943</v>
      </c>
      <c r="F86" s="5">
        <v>18803</v>
      </c>
    </row>
    <row r="87" spans="1:6">
      <c r="A87">
        <v>86</v>
      </c>
      <c r="B87">
        <v>186</v>
      </c>
      <c r="C87" s="1">
        <v>45913</v>
      </c>
      <c r="D87" t="s">
        <v>942</v>
      </c>
      <c r="E87" t="s">
        <v>943</v>
      </c>
      <c r="F87" s="5">
        <v>13501</v>
      </c>
    </row>
    <row r="88" spans="1:6">
      <c r="A88">
        <v>87</v>
      </c>
      <c r="B88">
        <v>187</v>
      </c>
      <c r="C88" s="1">
        <v>45916</v>
      </c>
      <c r="D88" t="s">
        <v>944</v>
      </c>
      <c r="E88" t="s">
        <v>943</v>
      </c>
      <c r="F88" s="5">
        <v>11131</v>
      </c>
    </row>
    <row r="89" spans="1:6">
      <c r="A89">
        <v>88</v>
      </c>
      <c r="B89">
        <v>188</v>
      </c>
      <c r="C89" s="1">
        <v>45919</v>
      </c>
      <c r="D89" t="s">
        <v>945</v>
      </c>
      <c r="E89" t="s">
        <v>943</v>
      </c>
      <c r="F89" s="5">
        <v>12049</v>
      </c>
    </row>
    <row r="90" spans="1:6">
      <c r="A90">
        <v>89</v>
      </c>
      <c r="B90">
        <v>189</v>
      </c>
      <c r="C90" s="1">
        <v>45922</v>
      </c>
      <c r="D90" t="s">
        <v>946</v>
      </c>
      <c r="E90" t="s">
        <v>943</v>
      </c>
      <c r="F90" s="5">
        <v>24283</v>
      </c>
    </row>
    <row r="91" spans="1:6">
      <c r="A91">
        <v>90</v>
      </c>
      <c r="B91">
        <v>190</v>
      </c>
      <c r="C91" s="1">
        <v>45925</v>
      </c>
      <c r="D91" t="s">
        <v>947</v>
      </c>
      <c r="E91" t="s">
        <v>943</v>
      </c>
      <c r="F91" s="5">
        <v>40353</v>
      </c>
    </row>
    <row r="92" spans="1:6">
      <c r="A92">
        <v>91</v>
      </c>
      <c r="B92">
        <v>191</v>
      </c>
      <c r="C92" s="1">
        <v>45928</v>
      </c>
      <c r="D92" t="s">
        <v>942</v>
      </c>
      <c r="E92" t="s">
        <v>943</v>
      </c>
      <c r="F92" s="5">
        <v>23461</v>
      </c>
    </row>
    <row r="93" spans="1:6">
      <c r="A93">
        <v>92</v>
      </c>
      <c r="B93">
        <v>192</v>
      </c>
      <c r="C93" s="1">
        <v>45931</v>
      </c>
      <c r="D93" t="s">
        <v>944</v>
      </c>
      <c r="E93" t="s">
        <v>943</v>
      </c>
      <c r="F93" s="5">
        <v>9857</v>
      </c>
    </row>
    <row r="94" spans="1:6">
      <c r="A94">
        <v>93</v>
      </c>
      <c r="B94">
        <v>193</v>
      </c>
      <c r="C94" s="1">
        <v>45934</v>
      </c>
      <c r="D94" t="s">
        <v>945</v>
      </c>
      <c r="E94" t="s">
        <v>943</v>
      </c>
      <c r="F94" s="5">
        <v>9213</v>
      </c>
    </row>
    <row r="95" spans="1:6">
      <c r="A95">
        <v>94</v>
      </c>
      <c r="B95">
        <v>194</v>
      </c>
      <c r="C95" s="1">
        <v>45937</v>
      </c>
      <c r="D95" t="s">
        <v>946</v>
      </c>
      <c r="E95" t="s">
        <v>943</v>
      </c>
      <c r="F95" s="5">
        <v>19255</v>
      </c>
    </row>
    <row r="96" spans="1:6">
      <c r="A96">
        <v>95</v>
      </c>
      <c r="B96">
        <v>195</v>
      </c>
      <c r="C96" s="1">
        <v>45940</v>
      </c>
      <c r="D96" t="s">
        <v>947</v>
      </c>
      <c r="E96" t="s">
        <v>943</v>
      </c>
      <c r="F96" s="5">
        <v>15241</v>
      </c>
    </row>
    <row r="97" spans="1:6">
      <c r="A97">
        <v>96</v>
      </c>
      <c r="B97">
        <v>196</v>
      </c>
      <c r="C97" s="1">
        <v>45943</v>
      </c>
      <c r="D97" t="s">
        <v>942</v>
      </c>
      <c r="E97" t="s">
        <v>943</v>
      </c>
      <c r="F97" s="5">
        <v>14515</v>
      </c>
    </row>
    <row r="98" spans="1:6">
      <c r="A98">
        <v>97</v>
      </c>
      <c r="B98">
        <v>197</v>
      </c>
      <c r="C98" s="1">
        <v>45946</v>
      </c>
      <c r="D98" t="s">
        <v>944</v>
      </c>
      <c r="E98" t="s">
        <v>948</v>
      </c>
      <c r="F98" s="5">
        <v>28393</v>
      </c>
    </row>
    <row r="99" spans="1:6">
      <c r="A99">
        <v>98</v>
      </c>
      <c r="B99">
        <v>198</v>
      </c>
      <c r="C99" s="1">
        <v>45949</v>
      </c>
      <c r="D99" t="s">
        <v>945</v>
      </c>
      <c r="E99" t="s">
        <v>943</v>
      </c>
      <c r="F99" s="5">
        <v>46107</v>
      </c>
    </row>
    <row r="100" spans="1:6">
      <c r="A100">
        <v>99</v>
      </c>
      <c r="B100">
        <v>199</v>
      </c>
      <c r="C100" s="1">
        <v>45952</v>
      </c>
      <c r="D100" t="s">
        <v>946</v>
      </c>
      <c r="E100" t="s">
        <v>948</v>
      </c>
      <c r="F100" s="5">
        <v>27571</v>
      </c>
    </row>
    <row r="101" spans="1:6">
      <c r="A101">
        <v>100</v>
      </c>
      <c r="B101">
        <v>200</v>
      </c>
      <c r="C101" s="1">
        <v>45955</v>
      </c>
      <c r="D101" t="s">
        <v>947</v>
      </c>
      <c r="E101" t="s">
        <v>948</v>
      </c>
      <c r="F101" s="5">
        <v>5473</v>
      </c>
    </row>
    <row r="102" spans="1:6">
      <c r="A102">
        <v>101</v>
      </c>
      <c r="B102">
        <v>201</v>
      </c>
      <c r="C102" s="1">
        <v>45958</v>
      </c>
      <c r="D102" t="s">
        <v>942</v>
      </c>
      <c r="E102" t="s">
        <v>948</v>
      </c>
      <c r="F102" s="5">
        <v>13323</v>
      </c>
    </row>
    <row r="103" spans="1:6">
      <c r="A103">
        <v>102</v>
      </c>
      <c r="B103">
        <v>202</v>
      </c>
      <c r="C103" s="1">
        <v>45961</v>
      </c>
      <c r="D103" t="s">
        <v>944</v>
      </c>
      <c r="E103" t="s">
        <v>948</v>
      </c>
      <c r="F103" s="5">
        <v>25009</v>
      </c>
    </row>
    <row r="104" spans="1:6">
      <c r="A104">
        <v>103</v>
      </c>
      <c r="B104">
        <v>203</v>
      </c>
      <c r="C104" s="1">
        <v>45964</v>
      </c>
      <c r="D104" t="s">
        <v>945</v>
      </c>
      <c r="E104" t="s">
        <v>943</v>
      </c>
      <c r="F104" s="5">
        <v>19351</v>
      </c>
    </row>
    <row r="105" spans="1:6">
      <c r="A105">
        <v>104</v>
      </c>
      <c r="B105">
        <v>204</v>
      </c>
      <c r="C105" s="1">
        <v>45967</v>
      </c>
      <c r="D105" t="s">
        <v>946</v>
      </c>
      <c r="E105" t="s">
        <v>943</v>
      </c>
      <c r="F105" s="5">
        <v>16981</v>
      </c>
    </row>
    <row r="106" spans="1:6">
      <c r="A106">
        <v>105</v>
      </c>
      <c r="B106">
        <v>205</v>
      </c>
      <c r="C106" s="1">
        <v>45970</v>
      </c>
      <c r="D106" t="s">
        <v>947</v>
      </c>
      <c r="E106" t="s">
        <v>943</v>
      </c>
      <c r="F106" s="5">
        <v>32503</v>
      </c>
    </row>
    <row r="107" spans="1:6">
      <c r="A107">
        <v>106</v>
      </c>
      <c r="B107">
        <v>206</v>
      </c>
      <c r="C107" s="1">
        <v>45973</v>
      </c>
      <c r="D107" t="s">
        <v>942</v>
      </c>
      <c r="E107" t="s">
        <v>943</v>
      </c>
      <c r="F107" s="5">
        <v>24461</v>
      </c>
    </row>
    <row r="108" spans="1:6">
      <c r="A108">
        <v>107</v>
      </c>
      <c r="B108">
        <v>207</v>
      </c>
      <c r="C108" s="1">
        <v>45976</v>
      </c>
      <c r="D108" t="s">
        <v>944</v>
      </c>
      <c r="E108" t="s">
        <v>943</v>
      </c>
      <c r="F108" s="5">
        <v>31681</v>
      </c>
    </row>
    <row r="109" spans="1:6">
      <c r="A109">
        <v>108</v>
      </c>
      <c r="B109">
        <v>208</v>
      </c>
      <c r="C109" s="1">
        <v>45979</v>
      </c>
      <c r="D109" t="s">
        <v>945</v>
      </c>
      <c r="E109" t="s">
        <v>943</v>
      </c>
      <c r="F109" s="5">
        <v>7939</v>
      </c>
    </row>
    <row r="110" spans="1:6">
      <c r="A110">
        <v>109</v>
      </c>
      <c r="B110">
        <v>209</v>
      </c>
      <c r="C110" s="1">
        <v>45982</v>
      </c>
      <c r="D110" t="s">
        <v>946</v>
      </c>
      <c r="E110" t="s">
        <v>943</v>
      </c>
      <c r="F110" s="5">
        <v>17433</v>
      </c>
    </row>
    <row r="111" spans="1:6">
      <c r="A111">
        <v>110</v>
      </c>
      <c r="B111">
        <v>210</v>
      </c>
      <c r="C111" s="1">
        <v>45985</v>
      </c>
      <c r="D111" t="s">
        <v>947</v>
      </c>
      <c r="E111" t="s">
        <v>943</v>
      </c>
      <c r="F111" s="5">
        <v>30763</v>
      </c>
    </row>
    <row r="112" spans="1:6">
      <c r="A112">
        <v>111</v>
      </c>
      <c r="B112">
        <v>211</v>
      </c>
      <c r="C112" s="1">
        <v>45988</v>
      </c>
      <c r="D112" t="s">
        <v>942</v>
      </c>
      <c r="E112" t="s">
        <v>943</v>
      </c>
      <c r="F112" s="5">
        <v>23461</v>
      </c>
    </row>
    <row r="113" spans="1:6">
      <c r="A113">
        <v>112</v>
      </c>
      <c r="B113">
        <v>212</v>
      </c>
      <c r="C113" s="1">
        <v>45991</v>
      </c>
      <c r="D113" t="s">
        <v>944</v>
      </c>
      <c r="E113" t="s">
        <v>943</v>
      </c>
      <c r="F113" s="5">
        <v>19447</v>
      </c>
    </row>
    <row r="114" spans="1:6">
      <c r="A114">
        <v>113</v>
      </c>
      <c r="B114">
        <v>213</v>
      </c>
      <c r="C114" s="1">
        <v>45994</v>
      </c>
      <c r="D114" t="s">
        <v>945</v>
      </c>
      <c r="E114" t="s">
        <v>943</v>
      </c>
      <c r="F114" s="5">
        <v>16063</v>
      </c>
    </row>
    <row r="115" spans="1:6">
      <c r="A115">
        <v>114</v>
      </c>
      <c r="B115">
        <v>214</v>
      </c>
      <c r="C115" s="1">
        <v>45997</v>
      </c>
      <c r="D115" t="s">
        <v>946</v>
      </c>
      <c r="E115" t="s">
        <v>943</v>
      </c>
      <c r="F115" s="5">
        <v>30215</v>
      </c>
    </row>
    <row r="116" spans="1:6">
      <c r="A116">
        <v>115</v>
      </c>
      <c r="B116">
        <v>215</v>
      </c>
      <c r="C116" s="1">
        <v>46000</v>
      </c>
      <c r="D116" t="s">
        <v>947</v>
      </c>
      <c r="E116" t="s">
        <v>948</v>
      </c>
      <c r="F116" s="5">
        <v>8391</v>
      </c>
    </row>
    <row r="117" spans="1:6">
      <c r="A117">
        <v>116</v>
      </c>
      <c r="B117">
        <v>216</v>
      </c>
      <c r="C117" s="1">
        <v>46003</v>
      </c>
      <c r="D117" t="s">
        <v>942</v>
      </c>
      <c r="E117" t="s">
        <v>943</v>
      </c>
      <c r="F117" s="5">
        <v>10405</v>
      </c>
    </row>
    <row r="118" spans="1:6">
      <c r="A118">
        <v>117</v>
      </c>
      <c r="B118">
        <v>217</v>
      </c>
      <c r="C118" s="1">
        <v>46006</v>
      </c>
      <c r="D118" t="s">
        <v>944</v>
      </c>
      <c r="E118" t="s">
        <v>943</v>
      </c>
      <c r="F118" s="5">
        <v>21543</v>
      </c>
    </row>
    <row r="119" spans="1:6">
      <c r="A119">
        <v>118</v>
      </c>
      <c r="B119">
        <v>218</v>
      </c>
      <c r="C119" s="1">
        <v>46009</v>
      </c>
      <c r="D119" t="s">
        <v>945</v>
      </c>
      <c r="E119" t="s">
        <v>943</v>
      </c>
      <c r="F119" s="5">
        <v>36517</v>
      </c>
    </row>
    <row r="120" spans="1:6">
      <c r="A120">
        <v>119</v>
      </c>
      <c r="B120">
        <v>219</v>
      </c>
      <c r="C120" s="1">
        <v>46012</v>
      </c>
      <c r="D120" t="s">
        <v>946</v>
      </c>
      <c r="E120" t="s">
        <v>943</v>
      </c>
      <c r="F120" s="5">
        <v>27571</v>
      </c>
    </row>
    <row r="121" spans="1:6">
      <c r="A121">
        <v>120</v>
      </c>
      <c r="B121">
        <v>220</v>
      </c>
      <c r="C121" s="1">
        <v>46015</v>
      </c>
      <c r="D121" t="s">
        <v>947</v>
      </c>
      <c r="E121" t="s">
        <v>943</v>
      </c>
      <c r="F121" s="5">
        <v>8213</v>
      </c>
    </row>
    <row r="122" spans="1:6">
      <c r="A122">
        <v>121</v>
      </c>
      <c r="B122">
        <v>221</v>
      </c>
      <c r="C122" s="1">
        <v>46018</v>
      </c>
      <c r="D122" t="s">
        <v>942</v>
      </c>
      <c r="E122" t="s">
        <v>943</v>
      </c>
      <c r="F122" s="5">
        <v>20173</v>
      </c>
    </row>
    <row r="123" spans="1:6">
      <c r="A123">
        <v>122</v>
      </c>
      <c r="B123">
        <v>222</v>
      </c>
      <c r="C123" s="1">
        <v>46021</v>
      </c>
      <c r="D123" t="s">
        <v>944</v>
      </c>
      <c r="E123" t="s">
        <v>943</v>
      </c>
      <c r="F123" s="5">
        <v>15419</v>
      </c>
    </row>
    <row r="124" spans="1:6">
      <c r="A124">
        <v>123</v>
      </c>
      <c r="B124">
        <v>223</v>
      </c>
      <c r="C124" s="1">
        <v>45659</v>
      </c>
      <c r="D124" t="s">
        <v>945</v>
      </c>
      <c r="E124" t="s">
        <v>943</v>
      </c>
      <c r="F124" s="5">
        <v>12501</v>
      </c>
    </row>
    <row r="125" spans="1:6">
      <c r="A125">
        <v>124</v>
      </c>
      <c r="B125">
        <v>224</v>
      </c>
      <c r="C125" s="1">
        <v>45662</v>
      </c>
      <c r="D125" t="s">
        <v>946</v>
      </c>
      <c r="E125" t="s">
        <v>943</v>
      </c>
      <c r="F125" s="5">
        <v>12871</v>
      </c>
    </row>
    <row r="126" spans="1:6">
      <c r="A126">
        <v>125</v>
      </c>
      <c r="B126">
        <v>225</v>
      </c>
      <c r="C126" s="1">
        <v>45665</v>
      </c>
      <c r="D126" t="s">
        <v>947</v>
      </c>
      <c r="E126" t="s">
        <v>943</v>
      </c>
      <c r="F126" s="5">
        <v>25653</v>
      </c>
    </row>
    <row r="127" spans="1:6">
      <c r="A127">
        <v>126</v>
      </c>
      <c r="B127">
        <v>226</v>
      </c>
      <c r="C127" s="1">
        <v>45668</v>
      </c>
      <c r="D127" t="s">
        <v>942</v>
      </c>
      <c r="E127" t="s">
        <v>943</v>
      </c>
      <c r="F127" s="5">
        <v>42271</v>
      </c>
    </row>
    <row r="128" spans="1:6">
      <c r="A128">
        <v>127</v>
      </c>
      <c r="B128">
        <v>227</v>
      </c>
      <c r="C128" s="1">
        <v>45671</v>
      </c>
      <c r="D128" t="s">
        <v>944</v>
      </c>
      <c r="E128" t="s">
        <v>948</v>
      </c>
      <c r="F128" s="5">
        <v>24831</v>
      </c>
    </row>
    <row r="129" spans="1:6">
      <c r="A129">
        <v>128</v>
      </c>
      <c r="B129">
        <v>228</v>
      </c>
      <c r="C129" s="1">
        <v>45674</v>
      </c>
      <c r="D129" t="s">
        <v>945</v>
      </c>
      <c r="E129" t="s">
        <v>943</v>
      </c>
      <c r="F129" s="5">
        <v>10679</v>
      </c>
    </row>
    <row r="130" spans="1:6">
      <c r="A130">
        <v>129</v>
      </c>
      <c r="B130">
        <v>229</v>
      </c>
      <c r="C130" s="1">
        <v>45677</v>
      </c>
      <c r="D130" t="s">
        <v>946</v>
      </c>
      <c r="E130" t="s">
        <v>948</v>
      </c>
      <c r="F130" s="5">
        <v>10583</v>
      </c>
    </row>
    <row r="131" spans="1:6">
      <c r="A131">
        <v>130</v>
      </c>
      <c r="B131">
        <v>230</v>
      </c>
      <c r="C131" s="1">
        <v>45680</v>
      </c>
      <c r="D131" t="s">
        <v>947</v>
      </c>
      <c r="E131" t="s">
        <v>943</v>
      </c>
      <c r="F131" s="5">
        <v>21173</v>
      </c>
    </row>
    <row r="132" spans="1:6">
      <c r="A132">
        <v>131</v>
      </c>
      <c r="B132">
        <v>231</v>
      </c>
      <c r="C132" s="1">
        <v>45683</v>
      </c>
      <c r="D132" t="s">
        <v>942</v>
      </c>
      <c r="E132" t="s">
        <v>943</v>
      </c>
      <c r="F132" s="5">
        <v>16611</v>
      </c>
    </row>
    <row r="133" spans="1:6">
      <c r="A133">
        <v>132</v>
      </c>
      <c r="B133">
        <v>232</v>
      </c>
      <c r="C133" s="1">
        <v>45686</v>
      </c>
      <c r="D133" t="s">
        <v>944</v>
      </c>
      <c r="E133" t="s">
        <v>943</v>
      </c>
      <c r="F133" s="5">
        <v>15337</v>
      </c>
    </row>
    <row r="134" spans="1:6">
      <c r="A134">
        <v>133</v>
      </c>
      <c r="B134">
        <v>233</v>
      </c>
      <c r="C134" s="1">
        <v>45689</v>
      </c>
      <c r="D134" t="s">
        <v>945</v>
      </c>
      <c r="E134" t="s">
        <v>943</v>
      </c>
      <c r="F134" s="5">
        <v>29763</v>
      </c>
    </row>
    <row r="135" spans="1:6">
      <c r="A135">
        <v>134</v>
      </c>
      <c r="B135">
        <v>234</v>
      </c>
      <c r="C135" s="1">
        <v>45692</v>
      </c>
      <c r="D135" t="s">
        <v>946</v>
      </c>
      <c r="E135" t="s">
        <v>943</v>
      </c>
      <c r="F135" s="5">
        <v>20625</v>
      </c>
    </row>
    <row r="136" spans="1:6">
      <c r="A136">
        <v>135</v>
      </c>
      <c r="B136">
        <v>235</v>
      </c>
      <c r="C136" s="1">
        <v>45695</v>
      </c>
      <c r="D136" t="s">
        <v>947</v>
      </c>
      <c r="E136" t="s">
        <v>943</v>
      </c>
      <c r="F136" s="5">
        <v>28941</v>
      </c>
    </row>
    <row r="137" spans="1:6">
      <c r="A137">
        <v>136</v>
      </c>
      <c r="B137">
        <v>236</v>
      </c>
      <c r="C137" s="1">
        <v>45698</v>
      </c>
      <c r="D137" t="s">
        <v>942</v>
      </c>
      <c r="E137" t="s">
        <v>943</v>
      </c>
      <c r="F137" s="5">
        <v>6295</v>
      </c>
    </row>
    <row r="138" spans="1:6">
      <c r="A138">
        <v>137</v>
      </c>
      <c r="B138">
        <v>237</v>
      </c>
      <c r="C138" s="1">
        <v>45701</v>
      </c>
      <c r="D138" t="s">
        <v>944</v>
      </c>
      <c r="E138" t="s">
        <v>943</v>
      </c>
      <c r="F138" s="5">
        <v>14693</v>
      </c>
    </row>
    <row r="139" spans="1:6">
      <c r="A139">
        <v>138</v>
      </c>
      <c r="B139">
        <v>238</v>
      </c>
      <c r="C139" s="1">
        <v>45704</v>
      </c>
      <c r="D139" t="s">
        <v>945</v>
      </c>
      <c r="E139" t="s">
        <v>943</v>
      </c>
      <c r="F139" s="5">
        <v>26927</v>
      </c>
    </row>
    <row r="140" spans="1:6">
      <c r="A140">
        <v>139</v>
      </c>
      <c r="B140">
        <v>239</v>
      </c>
      <c r="C140" s="1">
        <v>45707</v>
      </c>
      <c r="D140" t="s">
        <v>946</v>
      </c>
      <c r="E140" t="s">
        <v>948</v>
      </c>
      <c r="F140" s="5">
        <v>20721</v>
      </c>
    </row>
    <row r="141" spans="1:6">
      <c r="A141">
        <v>140</v>
      </c>
      <c r="B141">
        <v>240</v>
      </c>
      <c r="C141" s="1">
        <v>45710</v>
      </c>
      <c r="D141" t="s">
        <v>947</v>
      </c>
      <c r="E141" t="s">
        <v>943</v>
      </c>
      <c r="F141" s="5">
        <v>17803</v>
      </c>
    </row>
    <row r="142" spans="1:6">
      <c r="A142">
        <v>141</v>
      </c>
      <c r="B142">
        <v>241</v>
      </c>
      <c r="C142" s="1">
        <v>45713</v>
      </c>
      <c r="D142" t="s">
        <v>942</v>
      </c>
      <c r="E142" t="s">
        <v>943</v>
      </c>
      <c r="F142" s="5">
        <v>13323</v>
      </c>
    </row>
    <row r="143" spans="1:6">
      <c r="A143">
        <v>142</v>
      </c>
      <c r="B143">
        <v>242</v>
      </c>
      <c r="C143" s="1">
        <v>45716</v>
      </c>
      <c r="D143" t="s">
        <v>944</v>
      </c>
      <c r="E143" t="s">
        <v>948</v>
      </c>
      <c r="F143" s="5">
        <v>26379</v>
      </c>
    </row>
    <row r="144" spans="1:6">
      <c r="A144">
        <v>143</v>
      </c>
      <c r="B144">
        <v>243</v>
      </c>
      <c r="C144" s="1">
        <v>45719</v>
      </c>
      <c r="D144" t="s">
        <v>945</v>
      </c>
      <c r="E144" t="s">
        <v>943</v>
      </c>
      <c r="F144" s="5">
        <v>5651</v>
      </c>
    </row>
    <row r="145" spans="1:6">
      <c r="A145">
        <v>144</v>
      </c>
      <c r="B145">
        <v>244</v>
      </c>
      <c r="C145" s="1">
        <v>45722</v>
      </c>
      <c r="D145" t="s">
        <v>946</v>
      </c>
      <c r="E145" t="s">
        <v>948</v>
      </c>
      <c r="F145" s="5">
        <v>8761</v>
      </c>
    </row>
    <row r="146" spans="1:6">
      <c r="A146">
        <v>145</v>
      </c>
      <c r="B146">
        <v>245</v>
      </c>
      <c r="C146" s="1">
        <v>45725</v>
      </c>
      <c r="D146" t="s">
        <v>947</v>
      </c>
      <c r="E146" t="s">
        <v>943</v>
      </c>
      <c r="F146" s="5">
        <v>18803</v>
      </c>
    </row>
    <row r="147" spans="1:6">
      <c r="A147">
        <v>146</v>
      </c>
      <c r="B147">
        <v>246</v>
      </c>
      <c r="C147" s="1">
        <v>45728</v>
      </c>
      <c r="D147" t="s">
        <v>942</v>
      </c>
      <c r="E147" t="s">
        <v>943</v>
      </c>
      <c r="F147" s="5">
        <v>32681</v>
      </c>
    </row>
    <row r="148" spans="1:6">
      <c r="A148">
        <v>147</v>
      </c>
      <c r="B148">
        <v>247</v>
      </c>
      <c r="C148" s="1">
        <v>45731</v>
      </c>
      <c r="D148" t="s">
        <v>944</v>
      </c>
      <c r="E148" t="s">
        <v>943</v>
      </c>
      <c r="F148" s="5">
        <v>24831</v>
      </c>
    </row>
    <row r="149" spans="1:6">
      <c r="A149">
        <v>148</v>
      </c>
      <c r="B149">
        <v>248</v>
      </c>
      <c r="C149" s="1">
        <v>45734</v>
      </c>
      <c r="D149" t="s">
        <v>945</v>
      </c>
      <c r="E149" t="s">
        <v>948</v>
      </c>
      <c r="F149" s="5">
        <v>20269</v>
      </c>
    </row>
    <row r="150" spans="1:6">
      <c r="A150">
        <v>149</v>
      </c>
      <c r="B150">
        <v>249</v>
      </c>
      <c r="C150" s="1">
        <v>45737</v>
      </c>
      <c r="D150" t="s">
        <v>946</v>
      </c>
      <c r="E150" t="s">
        <v>943</v>
      </c>
      <c r="F150" s="5">
        <v>17433</v>
      </c>
    </row>
    <row r="151" spans="1:6">
      <c r="A151">
        <v>150</v>
      </c>
      <c r="B151">
        <v>250</v>
      </c>
      <c r="C151" s="1">
        <v>45740</v>
      </c>
      <c r="D151" t="s">
        <v>947</v>
      </c>
      <c r="E151" t="s">
        <v>943</v>
      </c>
      <c r="F151" s="5">
        <v>11583</v>
      </c>
    </row>
    <row r="152" spans="1:6">
      <c r="A152">
        <v>151</v>
      </c>
      <c r="B152">
        <v>251</v>
      </c>
      <c r="C152" s="1">
        <v>45743</v>
      </c>
      <c r="D152" t="s">
        <v>942</v>
      </c>
      <c r="E152" t="s">
        <v>943</v>
      </c>
      <c r="F152" s="5">
        <v>9761</v>
      </c>
    </row>
    <row r="153" spans="1:6">
      <c r="A153">
        <v>152</v>
      </c>
      <c r="B153">
        <v>252</v>
      </c>
      <c r="C153" s="1">
        <v>45746</v>
      </c>
      <c r="D153" t="s">
        <v>944</v>
      </c>
      <c r="E153" t="s">
        <v>943</v>
      </c>
      <c r="F153" s="5">
        <v>11227</v>
      </c>
    </row>
    <row r="154" spans="1:6">
      <c r="A154">
        <v>153</v>
      </c>
      <c r="B154">
        <v>253</v>
      </c>
      <c r="C154" s="1">
        <v>45749</v>
      </c>
      <c r="D154" t="s">
        <v>945</v>
      </c>
      <c r="E154" t="s">
        <v>943</v>
      </c>
      <c r="F154" s="5">
        <v>22913</v>
      </c>
    </row>
    <row r="155" spans="1:6">
      <c r="A155">
        <v>154</v>
      </c>
      <c r="B155">
        <v>254</v>
      </c>
      <c r="C155" s="1">
        <v>45752</v>
      </c>
      <c r="D155" t="s">
        <v>946</v>
      </c>
      <c r="E155" t="s">
        <v>943</v>
      </c>
      <c r="F155" s="5">
        <v>38435</v>
      </c>
    </row>
    <row r="156" spans="1:6">
      <c r="A156">
        <v>155</v>
      </c>
      <c r="B156">
        <v>255</v>
      </c>
      <c r="C156" s="1">
        <v>45755</v>
      </c>
      <c r="D156" t="s">
        <v>947</v>
      </c>
      <c r="E156" t="s">
        <v>943</v>
      </c>
      <c r="F156" s="5">
        <v>28941</v>
      </c>
    </row>
    <row r="157" spans="1:6">
      <c r="A157">
        <v>156</v>
      </c>
      <c r="B157">
        <v>256</v>
      </c>
      <c r="C157" s="1">
        <v>45758</v>
      </c>
      <c r="D157" t="s">
        <v>942</v>
      </c>
      <c r="E157" t="s">
        <v>943</v>
      </c>
      <c r="F157" s="5">
        <v>9035</v>
      </c>
    </row>
    <row r="158" spans="1:6">
      <c r="A158">
        <v>157</v>
      </c>
      <c r="B158">
        <v>257</v>
      </c>
      <c r="C158" s="1">
        <v>45761</v>
      </c>
      <c r="D158" t="s">
        <v>944</v>
      </c>
      <c r="E158" t="s">
        <v>943</v>
      </c>
      <c r="F158" s="5">
        <v>21543</v>
      </c>
    </row>
    <row r="159" spans="1:6">
      <c r="A159">
        <v>158</v>
      </c>
      <c r="B159">
        <v>258</v>
      </c>
      <c r="C159" s="1">
        <v>45764</v>
      </c>
      <c r="D159" t="s">
        <v>945</v>
      </c>
      <c r="E159" t="s">
        <v>943</v>
      </c>
      <c r="F159" s="5">
        <v>17337</v>
      </c>
    </row>
    <row r="160" spans="1:6">
      <c r="A160">
        <v>159</v>
      </c>
      <c r="B160">
        <v>259</v>
      </c>
      <c r="C160" s="1">
        <v>45767</v>
      </c>
      <c r="D160" t="s">
        <v>946</v>
      </c>
      <c r="E160" t="s">
        <v>943</v>
      </c>
      <c r="F160" s="5">
        <v>13871</v>
      </c>
    </row>
    <row r="161" spans="1:6">
      <c r="A161">
        <v>160</v>
      </c>
      <c r="B161">
        <v>260</v>
      </c>
      <c r="C161" s="1">
        <v>45770</v>
      </c>
      <c r="D161" t="s">
        <v>947</v>
      </c>
      <c r="E161" t="s">
        <v>943</v>
      </c>
      <c r="F161" s="5">
        <v>13693</v>
      </c>
    </row>
    <row r="162" spans="1:6">
      <c r="A162">
        <v>161</v>
      </c>
      <c r="B162">
        <v>261</v>
      </c>
      <c r="C162" s="1">
        <v>45773</v>
      </c>
      <c r="D162" t="s">
        <v>942</v>
      </c>
      <c r="E162" t="s">
        <v>943</v>
      </c>
      <c r="F162" s="5">
        <v>27023</v>
      </c>
    </row>
    <row r="163" spans="1:6">
      <c r="A163">
        <v>162</v>
      </c>
      <c r="B163">
        <v>262</v>
      </c>
      <c r="C163" s="1">
        <v>45776</v>
      </c>
      <c r="D163" t="s">
        <v>944</v>
      </c>
      <c r="E163" t="s">
        <v>943</v>
      </c>
      <c r="F163" s="5">
        <v>44189</v>
      </c>
    </row>
    <row r="164" spans="1:6">
      <c r="A164">
        <v>163</v>
      </c>
      <c r="B164">
        <v>263</v>
      </c>
      <c r="C164" s="1">
        <v>45779</v>
      </c>
      <c r="D164" t="s">
        <v>945</v>
      </c>
      <c r="E164" t="s">
        <v>943</v>
      </c>
      <c r="F164" s="5">
        <v>26201</v>
      </c>
    </row>
    <row r="165" spans="1:6">
      <c r="A165">
        <v>164</v>
      </c>
      <c r="B165">
        <v>264</v>
      </c>
      <c r="C165" s="1">
        <v>45782</v>
      </c>
      <c r="D165" t="s">
        <v>946</v>
      </c>
      <c r="E165" t="s">
        <v>943</v>
      </c>
      <c r="F165" s="5">
        <v>11501</v>
      </c>
    </row>
    <row r="166" spans="1:6">
      <c r="A166">
        <v>165</v>
      </c>
      <c r="B166">
        <v>265</v>
      </c>
      <c r="C166" s="1">
        <v>45785</v>
      </c>
      <c r="D166" t="s">
        <v>947</v>
      </c>
      <c r="E166" t="s">
        <v>943</v>
      </c>
      <c r="F166" s="5">
        <v>11953</v>
      </c>
    </row>
    <row r="167" spans="1:6">
      <c r="A167">
        <v>166</v>
      </c>
      <c r="B167">
        <v>266</v>
      </c>
      <c r="C167" s="1">
        <v>45788</v>
      </c>
      <c r="D167" t="s">
        <v>942</v>
      </c>
      <c r="E167" t="s">
        <v>943</v>
      </c>
      <c r="F167" s="5">
        <v>23091</v>
      </c>
    </row>
    <row r="168" spans="1:6">
      <c r="A168">
        <v>167</v>
      </c>
      <c r="B168">
        <v>267</v>
      </c>
      <c r="C168" s="1">
        <v>45791</v>
      </c>
      <c r="D168" t="s">
        <v>944</v>
      </c>
      <c r="E168" t="s">
        <v>943</v>
      </c>
      <c r="F168" s="5">
        <v>17981</v>
      </c>
    </row>
    <row r="169" spans="1:6">
      <c r="A169">
        <v>168</v>
      </c>
      <c r="B169">
        <v>268</v>
      </c>
      <c r="C169" s="1">
        <v>45794</v>
      </c>
      <c r="D169" t="s">
        <v>945</v>
      </c>
      <c r="E169" t="s">
        <v>943</v>
      </c>
      <c r="F169" s="5">
        <v>16159</v>
      </c>
    </row>
    <row r="170" spans="1:6">
      <c r="A170">
        <v>169</v>
      </c>
      <c r="B170">
        <v>269</v>
      </c>
      <c r="C170" s="1">
        <v>45797</v>
      </c>
      <c r="D170" t="s">
        <v>946</v>
      </c>
      <c r="E170" t="s">
        <v>943</v>
      </c>
      <c r="F170" s="5">
        <v>31133</v>
      </c>
    </row>
    <row r="171" spans="1:6">
      <c r="A171">
        <v>170</v>
      </c>
      <c r="B171">
        <v>270</v>
      </c>
      <c r="C171" s="1">
        <v>45800</v>
      </c>
      <c r="D171" t="s">
        <v>947</v>
      </c>
      <c r="E171" t="s">
        <v>943</v>
      </c>
      <c r="F171" s="5">
        <v>22543</v>
      </c>
    </row>
    <row r="172" spans="1:6">
      <c r="A172">
        <v>171</v>
      </c>
      <c r="B172">
        <v>271</v>
      </c>
      <c r="C172" s="1">
        <v>45803</v>
      </c>
      <c r="D172" t="s">
        <v>942</v>
      </c>
      <c r="E172" t="s">
        <v>943</v>
      </c>
      <c r="F172" s="5">
        <v>30311</v>
      </c>
    </row>
    <row r="173" spans="1:6">
      <c r="A173">
        <v>172</v>
      </c>
      <c r="B173">
        <v>272</v>
      </c>
      <c r="C173" s="1">
        <v>45806</v>
      </c>
      <c r="D173" t="s">
        <v>944</v>
      </c>
      <c r="E173" t="s">
        <v>943</v>
      </c>
      <c r="F173" s="5">
        <v>7117</v>
      </c>
    </row>
    <row r="174" spans="1:6">
      <c r="A174">
        <v>173</v>
      </c>
      <c r="B174">
        <v>273</v>
      </c>
      <c r="C174" s="1">
        <v>45809</v>
      </c>
      <c r="D174" t="s">
        <v>945</v>
      </c>
      <c r="E174" t="s">
        <v>943</v>
      </c>
      <c r="F174" s="5">
        <v>16063</v>
      </c>
    </row>
    <row r="175" spans="1:6">
      <c r="A175">
        <v>174</v>
      </c>
      <c r="B175">
        <v>274</v>
      </c>
      <c r="C175" s="1">
        <v>45812</v>
      </c>
      <c r="D175" t="s">
        <v>946</v>
      </c>
      <c r="E175" t="s">
        <v>943</v>
      </c>
      <c r="F175" s="5">
        <v>28845</v>
      </c>
    </row>
    <row r="176" spans="1:6">
      <c r="A176">
        <v>175</v>
      </c>
      <c r="B176">
        <v>275</v>
      </c>
      <c r="C176" s="1">
        <v>45815</v>
      </c>
      <c r="D176" t="s">
        <v>947</v>
      </c>
      <c r="E176" t="s">
        <v>943</v>
      </c>
      <c r="F176" s="5">
        <v>22091</v>
      </c>
    </row>
    <row r="177" spans="1:6">
      <c r="A177">
        <v>176</v>
      </c>
      <c r="B177">
        <v>276</v>
      </c>
      <c r="C177" s="1">
        <v>45818</v>
      </c>
      <c r="D177" t="s">
        <v>942</v>
      </c>
      <c r="E177" t="s">
        <v>943</v>
      </c>
      <c r="F177" s="5">
        <v>18625</v>
      </c>
    </row>
    <row r="178" spans="1:6">
      <c r="A178">
        <v>177</v>
      </c>
      <c r="B178">
        <v>277</v>
      </c>
      <c r="C178" s="1">
        <v>45821</v>
      </c>
      <c r="D178" t="s">
        <v>944</v>
      </c>
      <c r="E178" t="s">
        <v>943</v>
      </c>
      <c r="F178" s="5">
        <v>14693</v>
      </c>
    </row>
    <row r="179" spans="1:6">
      <c r="A179">
        <v>178</v>
      </c>
      <c r="B179">
        <v>278</v>
      </c>
      <c r="C179" s="1">
        <v>45824</v>
      </c>
      <c r="D179" t="s">
        <v>945</v>
      </c>
      <c r="E179" t="s">
        <v>943</v>
      </c>
      <c r="F179" s="5">
        <v>28297</v>
      </c>
    </row>
    <row r="180" spans="1:6">
      <c r="A180">
        <v>179</v>
      </c>
      <c r="B180">
        <v>279</v>
      </c>
      <c r="C180" s="1">
        <v>45827</v>
      </c>
      <c r="D180" t="s">
        <v>946</v>
      </c>
      <c r="E180" t="s">
        <v>943</v>
      </c>
      <c r="F180" s="5">
        <v>7021</v>
      </c>
    </row>
    <row r="181" spans="1:6">
      <c r="A181">
        <v>180</v>
      </c>
      <c r="B181">
        <v>280</v>
      </c>
      <c r="C181" s="1">
        <v>45830</v>
      </c>
      <c r="D181" t="s">
        <v>947</v>
      </c>
      <c r="E181" t="s">
        <v>943</v>
      </c>
      <c r="F181" s="5">
        <v>9583</v>
      </c>
    </row>
    <row r="182" spans="1:6">
      <c r="A182">
        <v>181</v>
      </c>
      <c r="B182">
        <v>281</v>
      </c>
      <c r="C182" s="1">
        <v>45833</v>
      </c>
      <c r="D182" t="s">
        <v>942</v>
      </c>
      <c r="E182" t="s">
        <v>943</v>
      </c>
      <c r="F182" s="5">
        <v>20173</v>
      </c>
    </row>
    <row r="183" spans="1:6">
      <c r="A183">
        <v>182</v>
      </c>
      <c r="B183">
        <v>282</v>
      </c>
      <c r="C183" s="1">
        <v>45836</v>
      </c>
      <c r="D183" t="s">
        <v>944</v>
      </c>
      <c r="E183" t="s">
        <v>943</v>
      </c>
      <c r="F183" s="5">
        <v>34599</v>
      </c>
    </row>
    <row r="184" spans="1:6">
      <c r="A184">
        <v>183</v>
      </c>
      <c r="B184">
        <v>283</v>
      </c>
      <c r="C184" s="1">
        <v>45839</v>
      </c>
      <c r="D184" t="s">
        <v>945</v>
      </c>
      <c r="E184" t="s">
        <v>943</v>
      </c>
      <c r="F184" s="5">
        <v>26201</v>
      </c>
    </row>
    <row r="185" spans="1:6">
      <c r="A185">
        <v>184</v>
      </c>
      <c r="B185">
        <v>284</v>
      </c>
      <c r="C185" s="1">
        <v>45842</v>
      </c>
      <c r="D185" t="s">
        <v>946</v>
      </c>
      <c r="E185" t="s">
        <v>943</v>
      </c>
      <c r="F185" s="5">
        <v>7391</v>
      </c>
    </row>
    <row r="186" spans="1:6">
      <c r="A186">
        <v>185</v>
      </c>
      <c r="B186">
        <v>285</v>
      </c>
      <c r="C186" s="1">
        <v>45845</v>
      </c>
      <c r="D186" t="s">
        <v>947</v>
      </c>
      <c r="E186" t="s">
        <v>943</v>
      </c>
      <c r="F186" s="5">
        <v>18803</v>
      </c>
    </row>
    <row r="187" spans="1:6">
      <c r="A187">
        <v>186</v>
      </c>
      <c r="B187">
        <v>286</v>
      </c>
      <c r="C187" s="1">
        <v>45848</v>
      </c>
      <c r="D187" t="s">
        <v>942</v>
      </c>
      <c r="E187" t="s">
        <v>943</v>
      </c>
      <c r="F187" s="5">
        <v>13501</v>
      </c>
    </row>
    <row r="188" spans="1:6">
      <c r="A188">
        <v>187</v>
      </c>
      <c r="B188">
        <v>287</v>
      </c>
      <c r="C188" s="1">
        <v>45851</v>
      </c>
      <c r="D188" t="s">
        <v>944</v>
      </c>
      <c r="E188" t="s">
        <v>943</v>
      </c>
      <c r="F188" s="5">
        <v>11131</v>
      </c>
    </row>
    <row r="189" spans="1:6">
      <c r="A189">
        <v>188</v>
      </c>
      <c r="B189">
        <v>288</v>
      </c>
      <c r="C189" s="1">
        <v>45854</v>
      </c>
      <c r="D189" t="s">
        <v>945</v>
      </c>
      <c r="E189" t="s">
        <v>948</v>
      </c>
      <c r="F189" s="5">
        <v>12049</v>
      </c>
    </row>
    <row r="190" spans="1:6">
      <c r="A190">
        <v>189</v>
      </c>
      <c r="B190">
        <v>289</v>
      </c>
      <c r="C190" s="1">
        <v>45857</v>
      </c>
      <c r="D190" t="s">
        <v>946</v>
      </c>
      <c r="E190" t="s">
        <v>943</v>
      </c>
      <c r="F190" s="5">
        <v>24283</v>
      </c>
    </row>
    <row r="191" spans="1:6">
      <c r="A191">
        <v>190</v>
      </c>
      <c r="B191">
        <v>290</v>
      </c>
      <c r="C191" s="1">
        <v>45860</v>
      </c>
      <c r="D191" t="s">
        <v>947</v>
      </c>
      <c r="E191" t="s">
        <v>943</v>
      </c>
      <c r="F191" s="5">
        <v>40353</v>
      </c>
    </row>
    <row r="192" spans="1:6">
      <c r="A192">
        <v>191</v>
      </c>
      <c r="B192">
        <v>291</v>
      </c>
      <c r="C192" s="1">
        <v>45863</v>
      </c>
      <c r="D192" t="s">
        <v>942</v>
      </c>
      <c r="E192" t="s">
        <v>943</v>
      </c>
      <c r="F192" s="5">
        <v>23461</v>
      </c>
    </row>
    <row r="193" spans="1:6">
      <c r="A193">
        <v>192</v>
      </c>
      <c r="B193">
        <v>292</v>
      </c>
      <c r="C193" s="1">
        <v>45866</v>
      </c>
      <c r="D193" t="s">
        <v>944</v>
      </c>
      <c r="E193" t="s">
        <v>943</v>
      </c>
      <c r="F193" s="5">
        <v>9857</v>
      </c>
    </row>
    <row r="194" spans="1:6">
      <c r="A194">
        <v>193</v>
      </c>
      <c r="B194">
        <v>293</v>
      </c>
      <c r="C194" s="1">
        <v>45869</v>
      </c>
      <c r="D194" t="s">
        <v>945</v>
      </c>
      <c r="E194" t="s">
        <v>943</v>
      </c>
      <c r="F194" s="5">
        <v>9213</v>
      </c>
    </row>
    <row r="195" spans="1:6">
      <c r="A195">
        <v>194</v>
      </c>
      <c r="B195">
        <v>294</v>
      </c>
      <c r="C195" s="1">
        <v>45872</v>
      </c>
      <c r="D195" t="s">
        <v>946</v>
      </c>
      <c r="E195" t="s">
        <v>943</v>
      </c>
      <c r="F195" s="5">
        <v>19255</v>
      </c>
    </row>
    <row r="196" spans="1:6">
      <c r="A196">
        <v>195</v>
      </c>
      <c r="B196">
        <v>295</v>
      </c>
      <c r="C196" s="1">
        <v>45875</v>
      </c>
      <c r="D196" t="s">
        <v>947</v>
      </c>
      <c r="E196" t="s">
        <v>943</v>
      </c>
      <c r="F196" s="5">
        <v>15241</v>
      </c>
    </row>
    <row r="197" spans="1:6">
      <c r="A197">
        <v>196</v>
      </c>
      <c r="B197">
        <v>296</v>
      </c>
      <c r="C197" s="1">
        <v>45878</v>
      </c>
      <c r="D197" t="s">
        <v>942</v>
      </c>
      <c r="E197" t="s">
        <v>943</v>
      </c>
      <c r="F197" s="5">
        <v>14515</v>
      </c>
    </row>
    <row r="198" spans="1:6">
      <c r="A198">
        <v>197</v>
      </c>
      <c r="B198">
        <v>297</v>
      </c>
      <c r="C198" s="1">
        <v>45881</v>
      </c>
      <c r="D198" t="s">
        <v>944</v>
      </c>
      <c r="E198" t="s">
        <v>943</v>
      </c>
      <c r="F198" s="5">
        <v>28393</v>
      </c>
    </row>
    <row r="199" spans="1:6">
      <c r="A199">
        <v>198</v>
      </c>
      <c r="B199">
        <v>298</v>
      </c>
      <c r="C199" s="1">
        <v>45884</v>
      </c>
      <c r="D199" t="s">
        <v>945</v>
      </c>
      <c r="E199" t="s">
        <v>948</v>
      </c>
      <c r="F199" s="5">
        <v>46107</v>
      </c>
    </row>
    <row r="200" spans="1:6">
      <c r="A200">
        <v>199</v>
      </c>
      <c r="B200">
        <v>299</v>
      </c>
      <c r="C200" s="1">
        <v>45887</v>
      </c>
      <c r="D200" t="s">
        <v>946</v>
      </c>
      <c r="E200" t="s">
        <v>943</v>
      </c>
      <c r="F200" s="5">
        <v>27571</v>
      </c>
    </row>
    <row r="201" spans="1:6">
      <c r="A201">
        <v>200</v>
      </c>
      <c r="B201">
        <v>300</v>
      </c>
      <c r="C201" s="1">
        <v>45890</v>
      </c>
      <c r="D201" t="s">
        <v>947</v>
      </c>
      <c r="E201" t="s">
        <v>943</v>
      </c>
      <c r="F201" s="5">
        <v>5473</v>
      </c>
    </row>
    <row r="202" spans="1:6">
      <c r="A202">
        <v>201</v>
      </c>
      <c r="B202">
        <v>301</v>
      </c>
      <c r="C202" s="1">
        <v>45893</v>
      </c>
      <c r="D202" t="s">
        <v>942</v>
      </c>
      <c r="E202" t="s">
        <v>943</v>
      </c>
      <c r="F202" s="5">
        <v>13323</v>
      </c>
    </row>
    <row r="203" spans="1:6">
      <c r="A203">
        <v>202</v>
      </c>
      <c r="B203">
        <v>302</v>
      </c>
      <c r="C203" s="1">
        <v>45896</v>
      </c>
      <c r="D203" t="s">
        <v>944</v>
      </c>
      <c r="E203" t="s">
        <v>943</v>
      </c>
      <c r="F203" s="5">
        <v>25009</v>
      </c>
    </row>
    <row r="204" spans="1:6">
      <c r="A204">
        <v>203</v>
      </c>
      <c r="B204">
        <v>303</v>
      </c>
      <c r="C204" s="1">
        <v>45899</v>
      </c>
      <c r="D204" t="s">
        <v>945</v>
      </c>
      <c r="E204" t="s">
        <v>943</v>
      </c>
      <c r="F204" s="5">
        <v>19351</v>
      </c>
    </row>
    <row r="205" spans="1:6">
      <c r="A205">
        <v>204</v>
      </c>
      <c r="B205">
        <v>304</v>
      </c>
      <c r="C205" s="1">
        <v>45902</v>
      </c>
      <c r="D205" t="s">
        <v>946</v>
      </c>
      <c r="E205" t="s">
        <v>948</v>
      </c>
      <c r="F205" s="5">
        <v>16981</v>
      </c>
    </row>
    <row r="206" spans="1:6">
      <c r="A206">
        <v>205</v>
      </c>
      <c r="B206">
        <v>305</v>
      </c>
      <c r="C206" s="1">
        <v>45905</v>
      </c>
      <c r="D206" t="s">
        <v>947</v>
      </c>
      <c r="E206" t="s">
        <v>943</v>
      </c>
      <c r="F206" s="5">
        <v>32503</v>
      </c>
    </row>
    <row r="207" spans="1:6">
      <c r="A207">
        <v>206</v>
      </c>
      <c r="B207">
        <v>306</v>
      </c>
      <c r="C207" s="1">
        <v>45908</v>
      </c>
      <c r="D207" t="s">
        <v>942</v>
      </c>
      <c r="E207" t="s">
        <v>948</v>
      </c>
      <c r="F207" s="5">
        <v>24461</v>
      </c>
    </row>
    <row r="208" spans="1:6">
      <c r="A208">
        <v>207</v>
      </c>
      <c r="B208">
        <v>307</v>
      </c>
      <c r="C208" s="1">
        <v>45911</v>
      </c>
      <c r="D208" t="s">
        <v>944</v>
      </c>
      <c r="E208" t="s">
        <v>948</v>
      </c>
      <c r="F208" s="5">
        <v>31681</v>
      </c>
    </row>
    <row r="209" spans="1:6">
      <c r="A209">
        <v>208</v>
      </c>
      <c r="B209">
        <v>308</v>
      </c>
      <c r="C209" s="1">
        <v>45914</v>
      </c>
      <c r="D209" t="s">
        <v>945</v>
      </c>
      <c r="E209" t="s">
        <v>943</v>
      </c>
      <c r="F209" s="5">
        <v>7939</v>
      </c>
    </row>
    <row r="210" spans="1:6">
      <c r="A210">
        <v>209</v>
      </c>
      <c r="B210">
        <v>309</v>
      </c>
      <c r="C210" s="1">
        <v>45917</v>
      </c>
      <c r="D210" t="s">
        <v>946</v>
      </c>
      <c r="E210" t="s">
        <v>943</v>
      </c>
      <c r="F210" s="5">
        <v>17433</v>
      </c>
    </row>
    <row r="211" spans="1:6">
      <c r="A211">
        <v>210</v>
      </c>
      <c r="B211">
        <v>310</v>
      </c>
      <c r="C211" s="1">
        <v>45920</v>
      </c>
      <c r="D211" t="s">
        <v>947</v>
      </c>
      <c r="E211" t="s">
        <v>943</v>
      </c>
      <c r="F211" s="5">
        <v>30763</v>
      </c>
    </row>
    <row r="212" spans="1:6">
      <c r="A212">
        <v>211</v>
      </c>
      <c r="B212">
        <v>311</v>
      </c>
      <c r="C212" s="1">
        <v>45923</v>
      </c>
      <c r="D212" t="s">
        <v>942</v>
      </c>
      <c r="E212" t="s">
        <v>948</v>
      </c>
      <c r="F212" s="5">
        <v>23461</v>
      </c>
    </row>
    <row r="213" spans="1:6">
      <c r="A213">
        <v>212</v>
      </c>
      <c r="B213">
        <v>312</v>
      </c>
      <c r="C213" s="1">
        <v>45926</v>
      </c>
      <c r="D213" t="s">
        <v>944</v>
      </c>
      <c r="E213" t="s">
        <v>943</v>
      </c>
      <c r="F213" s="5">
        <v>19447</v>
      </c>
    </row>
    <row r="214" spans="1:6">
      <c r="A214">
        <v>213</v>
      </c>
      <c r="B214">
        <v>313</v>
      </c>
      <c r="C214" s="1">
        <v>45929</v>
      </c>
      <c r="D214" t="s">
        <v>945</v>
      </c>
      <c r="E214" t="s">
        <v>943</v>
      </c>
      <c r="F214" s="5">
        <v>16063</v>
      </c>
    </row>
    <row r="215" spans="1:6">
      <c r="A215">
        <v>214</v>
      </c>
      <c r="B215">
        <v>314</v>
      </c>
      <c r="C215" s="1">
        <v>45932</v>
      </c>
      <c r="D215" t="s">
        <v>946</v>
      </c>
      <c r="E215" t="s">
        <v>943</v>
      </c>
      <c r="F215" s="5">
        <v>30215</v>
      </c>
    </row>
    <row r="216" spans="1:6">
      <c r="A216">
        <v>215</v>
      </c>
      <c r="B216">
        <v>315</v>
      </c>
      <c r="C216" s="1">
        <v>45935</v>
      </c>
      <c r="D216" t="s">
        <v>947</v>
      </c>
      <c r="E216" t="s">
        <v>943</v>
      </c>
      <c r="F216" s="5">
        <v>8391</v>
      </c>
    </row>
    <row r="217" spans="1:6">
      <c r="A217">
        <v>216</v>
      </c>
      <c r="B217">
        <v>316</v>
      </c>
      <c r="C217" s="1">
        <v>45938</v>
      </c>
      <c r="D217" t="s">
        <v>942</v>
      </c>
      <c r="E217" t="s">
        <v>943</v>
      </c>
      <c r="F217" s="5">
        <v>10405</v>
      </c>
    </row>
    <row r="218" spans="1:6">
      <c r="A218">
        <v>217</v>
      </c>
      <c r="B218">
        <v>317</v>
      </c>
      <c r="C218" s="1">
        <v>45941</v>
      </c>
      <c r="D218" t="s">
        <v>944</v>
      </c>
      <c r="E218" t="s">
        <v>943</v>
      </c>
      <c r="F218" s="5">
        <v>21543</v>
      </c>
    </row>
    <row r="219" spans="1:6">
      <c r="A219">
        <v>218</v>
      </c>
      <c r="B219">
        <v>318</v>
      </c>
      <c r="C219" s="1">
        <v>45944</v>
      </c>
      <c r="D219" t="s">
        <v>945</v>
      </c>
      <c r="E219" t="s">
        <v>943</v>
      </c>
      <c r="F219" s="5">
        <v>36517</v>
      </c>
    </row>
    <row r="220" spans="1:6">
      <c r="A220">
        <v>219</v>
      </c>
      <c r="B220">
        <v>319</v>
      </c>
      <c r="C220" s="1">
        <v>45947</v>
      </c>
      <c r="D220" t="s">
        <v>946</v>
      </c>
      <c r="E220" t="s">
        <v>943</v>
      </c>
      <c r="F220" s="5">
        <v>27571</v>
      </c>
    </row>
    <row r="221" spans="1:6">
      <c r="A221">
        <v>220</v>
      </c>
      <c r="B221">
        <v>320</v>
      </c>
      <c r="C221" s="1">
        <v>45950</v>
      </c>
      <c r="D221" t="s">
        <v>947</v>
      </c>
      <c r="E221" t="s">
        <v>948</v>
      </c>
      <c r="F221" s="5">
        <v>8213</v>
      </c>
    </row>
    <row r="222" spans="1:6">
      <c r="A222">
        <v>221</v>
      </c>
      <c r="B222">
        <v>321</v>
      </c>
      <c r="C222" s="1">
        <v>45953</v>
      </c>
      <c r="D222" t="s">
        <v>942</v>
      </c>
      <c r="E222" t="s">
        <v>943</v>
      </c>
      <c r="F222" s="5">
        <v>20173</v>
      </c>
    </row>
    <row r="223" spans="1:6">
      <c r="A223">
        <v>222</v>
      </c>
      <c r="B223">
        <v>322</v>
      </c>
      <c r="C223" s="1">
        <v>45956</v>
      </c>
      <c r="D223" t="s">
        <v>944</v>
      </c>
      <c r="E223" t="s">
        <v>943</v>
      </c>
      <c r="F223" s="5">
        <v>15419</v>
      </c>
    </row>
    <row r="224" spans="1:6">
      <c r="A224">
        <v>223</v>
      </c>
      <c r="B224">
        <v>323</v>
      </c>
      <c r="C224" s="1">
        <v>45959</v>
      </c>
      <c r="D224" t="s">
        <v>945</v>
      </c>
      <c r="E224" t="s">
        <v>943</v>
      </c>
      <c r="F224" s="5">
        <v>12501</v>
      </c>
    </row>
    <row r="225" spans="1:6">
      <c r="A225">
        <v>224</v>
      </c>
      <c r="B225">
        <v>324</v>
      </c>
      <c r="C225" s="1">
        <v>45962</v>
      </c>
      <c r="D225" t="s">
        <v>946</v>
      </c>
      <c r="E225" t="s">
        <v>943</v>
      </c>
      <c r="F225" s="5">
        <v>12871</v>
      </c>
    </row>
    <row r="226" spans="1:6">
      <c r="A226">
        <v>225</v>
      </c>
      <c r="B226">
        <v>325</v>
      </c>
      <c r="C226" s="1">
        <v>45965</v>
      </c>
      <c r="D226" t="s">
        <v>947</v>
      </c>
      <c r="E226" t="s">
        <v>943</v>
      </c>
      <c r="F226" s="5">
        <v>25653</v>
      </c>
    </row>
    <row r="227" spans="1:6">
      <c r="A227">
        <v>226</v>
      </c>
      <c r="B227">
        <v>326</v>
      </c>
      <c r="C227" s="1">
        <v>45968</v>
      </c>
      <c r="D227" t="s">
        <v>942</v>
      </c>
      <c r="E227" t="s">
        <v>943</v>
      </c>
      <c r="F227" s="5">
        <v>42271</v>
      </c>
    </row>
    <row r="228" spans="1:6">
      <c r="A228">
        <v>227</v>
      </c>
      <c r="B228">
        <v>327</v>
      </c>
      <c r="C228" s="1">
        <v>45971</v>
      </c>
      <c r="D228" t="s">
        <v>944</v>
      </c>
      <c r="E228" t="s">
        <v>943</v>
      </c>
      <c r="F228" s="5">
        <v>24831</v>
      </c>
    </row>
    <row r="229" spans="1:6">
      <c r="A229">
        <v>228</v>
      </c>
      <c r="B229">
        <v>328</v>
      </c>
      <c r="C229" s="1">
        <v>45974</v>
      </c>
      <c r="D229" t="s">
        <v>945</v>
      </c>
      <c r="E229" t="s">
        <v>943</v>
      </c>
      <c r="F229" s="5">
        <v>10679</v>
      </c>
    </row>
    <row r="230" spans="1:6">
      <c r="A230">
        <v>229</v>
      </c>
      <c r="B230">
        <v>329</v>
      </c>
      <c r="C230" s="1">
        <v>45977</v>
      </c>
      <c r="D230" t="s">
        <v>946</v>
      </c>
      <c r="E230" t="s">
        <v>943</v>
      </c>
      <c r="F230" s="5">
        <v>10583</v>
      </c>
    </row>
    <row r="231" spans="1:6">
      <c r="A231">
        <v>230</v>
      </c>
      <c r="B231">
        <v>330</v>
      </c>
      <c r="C231" s="1">
        <v>45980</v>
      </c>
      <c r="D231" t="s">
        <v>947</v>
      </c>
      <c r="E231" t="s">
        <v>948</v>
      </c>
      <c r="F231" s="5">
        <v>21173</v>
      </c>
    </row>
    <row r="232" spans="1:6">
      <c r="A232">
        <v>231</v>
      </c>
      <c r="B232">
        <v>331</v>
      </c>
      <c r="C232" s="1">
        <v>45983</v>
      </c>
      <c r="D232" t="s">
        <v>942</v>
      </c>
      <c r="E232" t="s">
        <v>943</v>
      </c>
      <c r="F232" s="5">
        <v>16611</v>
      </c>
    </row>
    <row r="233" spans="1:6">
      <c r="A233">
        <v>232</v>
      </c>
      <c r="B233">
        <v>332</v>
      </c>
      <c r="C233" s="1">
        <v>45986</v>
      </c>
      <c r="D233" t="s">
        <v>944</v>
      </c>
      <c r="E233" t="s">
        <v>943</v>
      </c>
      <c r="F233" s="5">
        <v>15337</v>
      </c>
    </row>
    <row r="234" spans="1:6">
      <c r="A234">
        <v>233</v>
      </c>
      <c r="B234">
        <v>333</v>
      </c>
      <c r="C234" s="1">
        <v>45989</v>
      </c>
      <c r="D234" t="s">
        <v>945</v>
      </c>
      <c r="E234" t="s">
        <v>943</v>
      </c>
      <c r="F234" s="5">
        <v>29763</v>
      </c>
    </row>
    <row r="235" spans="1:6">
      <c r="A235">
        <v>234</v>
      </c>
      <c r="B235">
        <v>334</v>
      </c>
      <c r="C235" s="1">
        <v>45992</v>
      </c>
      <c r="D235" t="s">
        <v>946</v>
      </c>
      <c r="E235" t="s">
        <v>943</v>
      </c>
      <c r="F235" s="5">
        <v>20625</v>
      </c>
    </row>
    <row r="236" spans="1:6">
      <c r="A236">
        <v>235</v>
      </c>
      <c r="B236">
        <v>335</v>
      </c>
      <c r="C236" s="1">
        <v>45995</v>
      </c>
      <c r="D236" t="s">
        <v>947</v>
      </c>
      <c r="E236" t="s">
        <v>943</v>
      </c>
      <c r="F236" s="5">
        <v>28941</v>
      </c>
    </row>
    <row r="237" spans="1:6">
      <c r="A237">
        <v>236</v>
      </c>
      <c r="B237">
        <v>336</v>
      </c>
      <c r="C237" s="1">
        <v>45998</v>
      </c>
      <c r="D237" t="s">
        <v>942</v>
      </c>
      <c r="E237" t="s">
        <v>943</v>
      </c>
      <c r="F237" s="5">
        <v>6295</v>
      </c>
    </row>
    <row r="238" spans="1:6">
      <c r="A238">
        <v>237</v>
      </c>
      <c r="B238">
        <v>337</v>
      </c>
      <c r="C238" s="1">
        <v>46001</v>
      </c>
      <c r="D238" t="s">
        <v>944</v>
      </c>
      <c r="E238" t="s">
        <v>943</v>
      </c>
      <c r="F238" s="5">
        <v>14693</v>
      </c>
    </row>
    <row r="239" spans="1:6">
      <c r="A239">
        <v>238</v>
      </c>
      <c r="B239">
        <v>338</v>
      </c>
      <c r="C239" s="1">
        <v>46004</v>
      </c>
      <c r="D239" t="s">
        <v>945</v>
      </c>
      <c r="E239" t="s">
        <v>943</v>
      </c>
      <c r="F239" s="5">
        <v>26927</v>
      </c>
    </row>
    <row r="240" spans="1:6">
      <c r="A240">
        <v>239</v>
      </c>
      <c r="B240">
        <v>339</v>
      </c>
      <c r="C240" s="1">
        <v>46007</v>
      </c>
      <c r="D240" t="s">
        <v>946</v>
      </c>
      <c r="E240" t="s">
        <v>943</v>
      </c>
      <c r="F240" s="5">
        <v>20721</v>
      </c>
    </row>
    <row r="241" spans="1:6">
      <c r="A241">
        <v>240</v>
      </c>
      <c r="B241">
        <v>340</v>
      </c>
      <c r="C241" s="1">
        <v>46010</v>
      </c>
      <c r="D241" t="s">
        <v>947</v>
      </c>
      <c r="E241" t="s">
        <v>943</v>
      </c>
      <c r="F241" s="5">
        <v>17803</v>
      </c>
    </row>
    <row r="242" spans="1:6">
      <c r="A242">
        <v>241</v>
      </c>
      <c r="B242">
        <v>341</v>
      </c>
      <c r="C242" s="1">
        <v>46013</v>
      </c>
      <c r="D242" t="s">
        <v>942</v>
      </c>
      <c r="E242" t="s">
        <v>943</v>
      </c>
      <c r="F242" s="5">
        <v>13323</v>
      </c>
    </row>
    <row r="243" spans="1:6">
      <c r="A243">
        <v>242</v>
      </c>
      <c r="B243">
        <v>342</v>
      </c>
      <c r="C243" s="1">
        <v>46016</v>
      </c>
      <c r="D243" t="s">
        <v>944</v>
      </c>
      <c r="E243" t="s">
        <v>943</v>
      </c>
      <c r="F243" s="5">
        <v>26379</v>
      </c>
    </row>
    <row r="244" spans="1:6">
      <c r="A244">
        <v>243</v>
      </c>
      <c r="B244">
        <v>343</v>
      </c>
      <c r="C244" s="1">
        <v>46019</v>
      </c>
      <c r="D244" t="s">
        <v>945</v>
      </c>
      <c r="E244" t="s">
        <v>943</v>
      </c>
      <c r="F244" s="5">
        <v>5651</v>
      </c>
    </row>
    <row r="245" spans="1:6">
      <c r="A245">
        <v>244</v>
      </c>
      <c r="B245">
        <v>344</v>
      </c>
      <c r="C245" s="1">
        <v>46022</v>
      </c>
      <c r="D245" t="s">
        <v>946</v>
      </c>
      <c r="E245" t="s">
        <v>943</v>
      </c>
      <c r="F245" s="5">
        <v>8761</v>
      </c>
    </row>
    <row r="246" spans="1:6">
      <c r="A246">
        <v>245</v>
      </c>
      <c r="B246">
        <v>345</v>
      </c>
      <c r="C246" s="1">
        <v>45660</v>
      </c>
      <c r="D246" t="s">
        <v>947</v>
      </c>
      <c r="E246" t="s">
        <v>943</v>
      </c>
      <c r="F246" s="5">
        <v>18803</v>
      </c>
    </row>
    <row r="247" spans="1:6">
      <c r="A247">
        <v>246</v>
      </c>
      <c r="B247">
        <v>346</v>
      </c>
      <c r="C247" s="1">
        <v>45663</v>
      </c>
      <c r="D247" t="s">
        <v>942</v>
      </c>
      <c r="E247" t="s">
        <v>943</v>
      </c>
      <c r="F247" s="5">
        <v>32681</v>
      </c>
    </row>
    <row r="248" spans="1:6">
      <c r="A248">
        <v>247</v>
      </c>
      <c r="B248">
        <v>347</v>
      </c>
      <c r="C248" s="1">
        <v>45666</v>
      </c>
      <c r="D248" t="s">
        <v>944</v>
      </c>
      <c r="E248" t="s">
        <v>943</v>
      </c>
      <c r="F248" s="5">
        <v>24831</v>
      </c>
    </row>
    <row r="249" spans="1:6">
      <c r="A249">
        <v>248</v>
      </c>
      <c r="B249">
        <v>348</v>
      </c>
      <c r="C249" s="1">
        <v>45669</v>
      </c>
      <c r="D249" t="s">
        <v>945</v>
      </c>
      <c r="E249" t="s">
        <v>943</v>
      </c>
      <c r="F249" s="5">
        <v>20269</v>
      </c>
    </row>
    <row r="250" spans="1:6">
      <c r="A250">
        <v>249</v>
      </c>
      <c r="B250">
        <v>349</v>
      </c>
      <c r="C250" s="1">
        <v>45672</v>
      </c>
      <c r="D250" t="s">
        <v>946</v>
      </c>
      <c r="E250" t="s">
        <v>943</v>
      </c>
      <c r="F250" s="5">
        <v>17433</v>
      </c>
    </row>
    <row r="251" spans="1:6">
      <c r="A251">
        <v>250</v>
      </c>
      <c r="B251">
        <v>350</v>
      </c>
      <c r="C251" s="1">
        <v>45675</v>
      </c>
      <c r="D251" t="s">
        <v>947</v>
      </c>
      <c r="E251" t="s">
        <v>943</v>
      </c>
      <c r="F251" s="5">
        <v>11583</v>
      </c>
    </row>
    <row r="252" spans="1:6">
      <c r="A252">
        <v>251</v>
      </c>
      <c r="B252">
        <v>351</v>
      </c>
      <c r="C252" s="1">
        <v>45678</v>
      </c>
      <c r="D252" t="s">
        <v>942</v>
      </c>
      <c r="E252" t="s">
        <v>948</v>
      </c>
      <c r="F252" s="5">
        <v>9761</v>
      </c>
    </row>
    <row r="253" spans="1:6">
      <c r="A253">
        <v>252</v>
      </c>
      <c r="B253">
        <v>352</v>
      </c>
      <c r="C253" s="1">
        <v>45681</v>
      </c>
      <c r="D253" t="s">
        <v>944</v>
      </c>
      <c r="E253" t="s">
        <v>948</v>
      </c>
      <c r="F253" s="5">
        <v>11227</v>
      </c>
    </row>
    <row r="254" spans="1:6">
      <c r="A254">
        <v>253</v>
      </c>
      <c r="B254">
        <v>353</v>
      </c>
      <c r="C254" s="1">
        <v>45684</v>
      </c>
      <c r="D254" t="s">
        <v>945</v>
      </c>
      <c r="E254" t="s">
        <v>943</v>
      </c>
      <c r="F254" s="5">
        <v>22913</v>
      </c>
    </row>
    <row r="255" spans="1:6">
      <c r="A255">
        <v>254</v>
      </c>
      <c r="B255">
        <v>354</v>
      </c>
      <c r="C255" s="1">
        <v>45687</v>
      </c>
      <c r="D255" t="s">
        <v>946</v>
      </c>
      <c r="E255" t="s">
        <v>943</v>
      </c>
      <c r="F255" s="5">
        <v>38435</v>
      </c>
    </row>
    <row r="256" spans="1:6">
      <c r="A256">
        <v>255</v>
      </c>
      <c r="B256">
        <v>355</v>
      </c>
      <c r="C256" s="1">
        <v>45690</v>
      </c>
      <c r="D256" t="s">
        <v>947</v>
      </c>
      <c r="E256" t="s">
        <v>943</v>
      </c>
      <c r="F256" s="5">
        <v>28941</v>
      </c>
    </row>
    <row r="257" spans="1:6">
      <c r="A257">
        <v>256</v>
      </c>
      <c r="B257">
        <v>356</v>
      </c>
      <c r="C257" s="1">
        <v>45693</v>
      </c>
      <c r="D257" t="s">
        <v>942</v>
      </c>
      <c r="E257" t="s">
        <v>943</v>
      </c>
      <c r="F257" s="5">
        <v>9035</v>
      </c>
    </row>
    <row r="258" spans="1:6">
      <c r="A258">
        <v>257</v>
      </c>
      <c r="B258">
        <v>357</v>
      </c>
      <c r="C258" s="1">
        <v>45696</v>
      </c>
      <c r="D258" t="s">
        <v>944</v>
      </c>
      <c r="E258" t="s">
        <v>943</v>
      </c>
      <c r="F258" s="5">
        <v>21543</v>
      </c>
    </row>
    <row r="259" spans="1:6">
      <c r="A259">
        <v>258</v>
      </c>
      <c r="B259">
        <v>358</v>
      </c>
      <c r="C259" s="1">
        <v>45699</v>
      </c>
      <c r="D259" t="s">
        <v>945</v>
      </c>
      <c r="E259" t="s">
        <v>943</v>
      </c>
      <c r="F259" s="5">
        <v>17337</v>
      </c>
    </row>
    <row r="260" spans="1:6">
      <c r="A260">
        <v>259</v>
      </c>
      <c r="B260">
        <v>359</v>
      </c>
      <c r="C260" s="1">
        <v>45702</v>
      </c>
      <c r="D260" t="s">
        <v>946</v>
      </c>
      <c r="E260" t="s">
        <v>943</v>
      </c>
      <c r="F260" s="5">
        <v>13871</v>
      </c>
    </row>
    <row r="261" spans="1:6">
      <c r="A261">
        <v>260</v>
      </c>
      <c r="B261">
        <v>360</v>
      </c>
      <c r="C261" s="1">
        <v>45705</v>
      </c>
      <c r="D261" t="s">
        <v>947</v>
      </c>
      <c r="E261" t="s">
        <v>943</v>
      </c>
      <c r="F261" s="5">
        <v>13693</v>
      </c>
    </row>
    <row r="262" spans="1:6">
      <c r="A262">
        <v>261</v>
      </c>
      <c r="B262">
        <v>361</v>
      </c>
      <c r="C262" s="1">
        <v>45708</v>
      </c>
      <c r="D262" t="s">
        <v>942</v>
      </c>
      <c r="E262" t="s">
        <v>943</v>
      </c>
      <c r="F262" s="5">
        <v>27023</v>
      </c>
    </row>
    <row r="263" spans="1:6">
      <c r="A263">
        <v>262</v>
      </c>
      <c r="B263">
        <v>362</v>
      </c>
      <c r="C263" s="1">
        <v>45711</v>
      </c>
      <c r="D263" t="s">
        <v>944</v>
      </c>
      <c r="E263" t="s">
        <v>943</v>
      </c>
      <c r="F263" s="5">
        <v>44189</v>
      </c>
    </row>
    <row r="264" spans="1:6">
      <c r="A264">
        <v>263</v>
      </c>
      <c r="B264">
        <v>363</v>
      </c>
      <c r="C264" s="1">
        <v>45714</v>
      </c>
      <c r="D264" t="s">
        <v>945</v>
      </c>
      <c r="E264" t="s">
        <v>943</v>
      </c>
      <c r="F264" s="5">
        <v>26201</v>
      </c>
    </row>
    <row r="265" spans="1:6">
      <c r="A265">
        <v>264</v>
      </c>
      <c r="B265">
        <v>364</v>
      </c>
      <c r="C265" s="1">
        <v>45717</v>
      </c>
      <c r="D265" t="s">
        <v>946</v>
      </c>
      <c r="E265" t="s">
        <v>943</v>
      </c>
      <c r="F265" s="5">
        <v>11501</v>
      </c>
    </row>
    <row r="266" spans="1:6">
      <c r="A266">
        <v>265</v>
      </c>
      <c r="B266">
        <v>365</v>
      </c>
      <c r="C266" s="1">
        <v>45720</v>
      </c>
      <c r="D266" t="s">
        <v>947</v>
      </c>
      <c r="E266" t="s">
        <v>943</v>
      </c>
      <c r="F266" s="5">
        <v>11953</v>
      </c>
    </row>
    <row r="267" spans="1:6">
      <c r="A267">
        <v>266</v>
      </c>
      <c r="B267">
        <v>366</v>
      </c>
      <c r="C267" s="1">
        <v>45723</v>
      </c>
      <c r="D267" t="s">
        <v>942</v>
      </c>
      <c r="E267" t="s">
        <v>943</v>
      </c>
      <c r="F267" s="5">
        <v>23091</v>
      </c>
    </row>
    <row r="268" spans="1:6">
      <c r="A268">
        <v>267</v>
      </c>
      <c r="B268">
        <v>367</v>
      </c>
      <c r="C268" s="1">
        <v>45726</v>
      </c>
      <c r="D268" t="s">
        <v>944</v>
      </c>
      <c r="E268" t="s">
        <v>943</v>
      </c>
      <c r="F268" s="5">
        <v>17981</v>
      </c>
    </row>
    <row r="269" spans="1:6">
      <c r="A269">
        <v>268</v>
      </c>
      <c r="B269">
        <v>368</v>
      </c>
      <c r="C269" s="1">
        <v>45729</v>
      </c>
      <c r="D269" t="s">
        <v>945</v>
      </c>
      <c r="E269" t="s">
        <v>943</v>
      </c>
      <c r="F269" s="5">
        <v>16159</v>
      </c>
    </row>
    <row r="270" spans="1:6">
      <c r="A270">
        <v>269</v>
      </c>
      <c r="B270">
        <v>369</v>
      </c>
      <c r="C270" s="1">
        <v>45732</v>
      </c>
      <c r="D270" t="s">
        <v>946</v>
      </c>
      <c r="E270" t="s">
        <v>943</v>
      </c>
      <c r="F270" s="5">
        <v>31133</v>
      </c>
    </row>
    <row r="271" spans="1:6">
      <c r="A271">
        <v>270</v>
      </c>
      <c r="B271">
        <v>370</v>
      </c>
      <c r="C271" s="1">
        <v>45735</v>
      </c>
      <c r="D271" t="s">
        <v>947</v>
      </c>
      <c r="E271" t="s">
        <v>943</v>
      </c>
      <c r="F271" s="5">
        <v>22543</v>
      </c>
    </row>
    <row r="272" spans="1:6">
      <c r="A272">
        <v>271</v>
      </c>
      <c r="B272">
        <v>371</v>
      </c>
      <c r="C272" s="1">
        <v>45738</v>
      </c>
      <c r="D272" t="s">
        <v>942</v>
      </c>
      <c r="E272" t="s">
        <v>943</v>
      </c>
      <c r="F272" s="5">
        <v>30311</v>
      </c>
    </row>
    <row r="273" spans="1:6">
      <c r="A273">
        <v>272</v>
      </c>
      <c r="B273">
        <v>372</v>
      </c>
      <c r="C273" s="1">
        <v>45741</v>
      </c>
      <c r="D273" t="s">
        <v>944</v>
      </c>
      <c r="E273" t="s">
        <v>943</v>
      </c>
      <c r="F273" s="5">
        <v>7117</v>
      </c>
    </row>
    <row r="274" spans="1:6">
      <c r="A274">
        <v>273</v>
      </c>
      <c r="B274">
        <v>373</v>
      </c>
      <c r="C274" s="1">
        <v>45744</v>
      </c>
      <c r="D274" t="s">
        <v>945</v>
      </c>
      <c r="E274" t="s">
        <v>943</v>
      </c>
      <c r="F274" s="5">
        <v>16063</v>
      </c>
    </row>
    <row r="275" spans="1:6">
      <c r="A275">
        <v>274</v>
      </c>
      <c r="B275">
        <v>374</v>
      </c>
      <c r="C275" s="1">
        <v>45747</v>
      </c>
      <c r="D275" t="s">
        <v>946</v>
      </c>
      <c r="E275" t="s">
        <v>943</v>
      </c>
      <c r="F275" s="5">
        <v>28845</v>
      </c>
    </row>
    <row r="276" spans="1:6">
      <c r="A276">
        <v>275</v>
      </c>
      <c r="B276">
        <v>375</v>
      </c>
      <c r="C276" s="1">
        <v>45750</v>
      </c>
      <c r="D276" t="s">
        <v>947</v>
      </c>
      <c r="E276" t="s">
        <v>943</v>
      </c>
      <c r="F276" s="5">
        <v>22091</v>
      </c>
    </row>
    <row r="277" spans="1:6">
      <c r="A277">
        <v>276</v>
      </c>
      <c r="B277">
        <v>376</v>
      </c>
      <c r="C277" s="1">
        <v>45753</v>
      </c>
      <c r="D277" t="s">
        <v>942</v>
      </c>
      <c r="E277" t="s">
        <v>948</v>
      </c>
      <c r="F277" s="5">
        <v>18625</v>
      </c>
    </row>
    <row r="278" spans="1:6">
      <c r="A278">
        <v>277</v>
      </c>
      <c r="B278">
        <v>377</v>
      </c>
      <c r="C278" s="1">
        <v>45756</v>
      </c>
      <c r="D278" t="s">
        <v>944</v>
      </c>
      <c r="E278" t="s">
        <v>943</v>
      </c>
      <c r="F278" s="5">
        <v>14693</v>
      </c>
    </row>
    <row r="279" spans="1:6">
      <c r="A279">
        <v>278</v>
      </c>
      <c r="B279">
        <v>378</v>
      </c>
      <c r="C279" s="1">
        <v>45759</v>
      </c>
      <c r="D279" t="s">
        <v>945</v>
      </c>
      <c r="E279" t="s">
        <v>943</v>
      </c>
      <c r="F279" s="5">
        <v>28297</v>
      </c>
    </row>
    <row r="280" spans="1:6">
      <c r="A280">
        <v>279</v>
      </c>
      <c r="B280">
        <v>379</v>
      </c>
      <c r="C280" s="1">
        <v>45762</v>
      </c>
      <c r="D280" t="s">
        <v>946</v>
      </c>
      <c r="E280" t="s">
        <v>948</v>
      </c>
      <c r="F280" s="5">
        <v>7021</v>
      </c>
    </row>
    <row r="281" spans="1:6">
      <c r="A281">
        <v>280</v>
      </c>
      <c r="B281">
        <v>380</v>
      </c>
      <c r="C281" s="1">
        <v>45765</v>
      </c>
      <c r="D281" t="s">
        <v>947</v>
      </c>
      <c r="E281" t="s">
        <v>943</v>
      </c>
      <c r="F281" s="5">
        <v>9583</v>
      </c>
    </row>
    <row r="282" spans="1:6">
      <c r="A282">
        <v>281</v>
      </c>
      <c r="B282">
        <v>381</v>
      </c>
      <c r="C282" s="1">
        <v>45768</v>
      </c>
      <c r="D282" t="s">
        <v>942</v>
      </c>
      <c r="E282" t="s">
        <v>943</v>
      </c>
      <c r="F282" s="5">
        <v>20173</v>
      </c>
    </row>
    <row r="283" spans="1:6">
      <c r="A283">
        <v>282</v>
      </c>
      <c r="B283">
        <v>382</v>
      </c>
      <c r="C283" s="1">
        <v>45771</v>
      </c>
      <c r="D283" t="s">
        <v>944</v>
      </c>
      <c r="E283" t="s">
        <v>948</v>
      </c>
      <c r="F283" s="5">
        <v>34599</v>
      </c>
    </row>
    <row r="284" spans="1:6">
      <c r="A284">
        <v>283</v>
      </c>
      <c r="B284">
        <v>383</v>
      </c>
      <c r="C284" s="1">
        <v>45774</v>
      </c>
      <c r="D284" t="s">
        <v>945</v>
      </c>
      <c r="E284" t="s">
        <v>943</v>
      </c>
      <c r="F284" s="5">
        <v>26201</v>
      </c>
    </row>
    <row r="285" spans="1:6">
      <c r="A285">
        <v>284</v>
      </c>
      <c r="B285">
        <v>384</v>
      </c>
      <c r="C285" s="1">
        <v>45777</v>
      </c>
      <c r="D285" t="s">
        <v>946</v>
      </c>
      <c r="E285" t="s">
        <v>943</v>
      </c>
      <c r="F285" s="5">
        <v>7391</v>
      </c>
    </row>
    <row r="286" spans="1:6">
      <c r="A286">
        <v>285</v>
      </c>
      <c r="B286">
        <v>385</v>
      </c>
      <c r="C286" s="1">
        <v>45780</v>
      </c>
      <c r="D286" t="s">
        <v>947</v>
      </c>
      <c r="E286" t="s">
        <v>943</v>
      </c>
      <c r="F286" s="5">
        <v>18803</v>
      </c>
    </row>
    <row r="287" spans="1:6">
      <c r="A287">
        <v>286</v>
      </c>
      <c r="B287">
        <v>386</v>
      </c>
      <c r="C287" s="1">
        <v>45783</v>
      </c>
      <c r="D287" t="s">
        <v>942</v>
      </c>
      <c r="E287" t="s">
        <v>943</v>
      </c>
      <c r="F287" s="5">
        <v>13501</v>
      </c>
    </row>
    <row r="288" spans="1:6">
      <c r="A288">
        <v>287</v>
      </c>
      <c r="B288">
        <v>387</v>
      </c>
      <c r="C288" s="1">
        <v>45786</v>
      </c>
      <c r="D288" t="s">
        <v>944</v>
      </c>
      <c r="E288" t="s">
        <v>943</v>
      </c>
      <c r="F288" s="5">
        <v>11131</v>
      </c>
    </row>
    <row r="289" spans="1:6">
      <c r="A289">
        <v>288</v>
      </c>
      <c r="B289">
        <v>388</v>
      </c>
      <c r="C289" s="1">
        <v>45789</v>
      </c>
      <c r="D289" t="s">
        <v>945</v>
      </c>
      <c r="E289" t="s">
        <v>943</v>
      </c>
      <c r="F289" s="5">
        <v>12049</v>
      </c>
    </row>
    <row r="290" spans="1:6">
      <c r="A290">
        <v>289</v>
      </c>
      <c r="B290">
        <v>389</v>
      </c>
      <c r="C290" s="1">
        <v>45792</v>
      </c>
      <c r="D290" t="s">
        <v>946</v>
      </c>
      <c r="E290" t="s">
        <v>943</v>
      </c>
      <c r="F290" s="5">
        <v>24283</v>
      </c>
    </row>
    <row r="291" spans="1:6">
      <c r="A291">
        <v>290</v>
      </c>
      <c r="B291">
        <v>390</v>
      </c>
      <c r="C291" s="1">
        <v>45795</v>
      </c>
      <c r="D291" t="s">
        <v>947</v>
      </c>
      <c r="E291" t="s">
        <v>943</v>
      </c>
      <c r="F291" s="5">
        <v>40353</v>
      </c>
    </row>
    <row r="292" spans="1:6">
      <c r="A292">
        <v>291</v>
      </c>
      <c r="B292">
        <v>391</v>
      </c>
      <c r="C292" s="1">
        <v>45798</v>
      </c>
      <c r="D292" t="s">
        <v>942</v>
      </c>
      <c r="E292" t="s">
        <v>943</v>
      </c>
      <c r="F292" s="5">
        <v>23461</v>
      </c>
    </row>
    <row r="293" spans="1:6">
      <c r="A293">
        <v>292</v>
      </c>
      <c r="B293">
        <v>392</v>
      </c>
      <c r="C293" s="1">
        <v>45801</v>
      </c>
      <c r="D293" t="s">
        <v>944</v>
      </c>
      <c r="E293" t="s">
        <v>943</v>
      </c>
      <c r="F293" s="5">
        <v>9857</v>
      </c>
    </row>
    <row r="294" spans="1:6">
      <c r="A294">
        <v>293</v>
      </c>
      <c r="B294">
        <v>393</v>
      </c>
      <c r="C294" s="1">
        <v>45804</v>
      </c>
      <c r="D294" t="s">
        <v>945</v>
      </c>
      <c r="E294" t="s">
        <v>943</v>
      </c>
      <c r="F294" s="5">
        <v>9213</v>
      </c>
    </row>
    <row r="295" spans="1:6">
      <c r="A295">
        <v>294</v>
      </c>
      <c r="B295">
        <v>394</v>
      </c>
      <c r="C295" s="1">
        <v>45807</v>
      </c>
      <c r="D295" t="s">
        <v>946</v>
      </c>
      <c r="E295" t="s">
        <v>948</v>
      </c>
      <c r="F295" s="5">
        <v>19255</v>
      </c>
    </row>
    <row r="296" spans="1:6">
      <c r="A296">
        <v>295</v>
      </c>
      <c r="B296">
        <v>395</v>
      </c>
      <c r="C296" s="1">
        <v>45810</v>
      </c>
      <c r="D296" t="s">
        <v>947</v>
      </c>
      <c r="E296" t="s">
        <v>943</v>
      </c>
      <c r="F296" s="5">
        <v>15241</v>
      </c>
    </row>
    <row r="297" spans="1:6">
      <c r="A297">
        <v>296</v>
      </c>
      <c r="B297">
        <v>396</v>
      </c>
      <c r="C297" s="1">
        <v>45813</v>
      </c>
      <c r="D297" t="s">
        <v>942</v>
      </c>
      <c r="E297" t="s">
        <v>943</v>
      </c>
      <c r="F297" s="5">
        <v>14515</v>
      </c>
    </row>
    <row r="298" spans="1:6">
      <c r="A298">
        <v>297</v>
      </c>
      <c r="B298">
        <v>397</v>
      </c>
      <c r="C298" s="1">
        <v>45816</v>
      </c>
      <c r="D298" t="s">
        <v>944</v>
      </c>
      <c r="E298" t="s">
        <v>943</v>
      </c>
      <c r="F298" s="5">
        <v>28393</v>
      </c>
    </row>
    <row r="299" spans="1:6">
      <c r="A299">
        <v>298</v>
      </c>
      <c r="B299">
        <v>398</v>
      </c>
      <c r="C299" s="1">
        <v>45819</v>
      </c>
      <c r="D299" t="s">
        <v>945</v>
      </c>
      <c r="E299" t="s">
        <v>943</v>
      </c>
      <c r="F299" s="5">
        <v>46107</v>
      </c>
    </row>
    <row r="300" spans="1:6">
      <c r="A300">
        <v>299</v>
      </c>
      <c r="B300">
        <v>399</v>
      </c>
      <c r="C300" s="1">
        <v>45822</v>
      </c>
      <c r="D300" t="s">
        <v>946</v>
      </c>
      <c r="E300" t="s">
        <v>943</v>
      </c>
      <c r="F300" s="5">
        <v>27571</v>
      </c>
    </row>
    <row r="301" spans="1:6">
      <c r="A301">
        <v>300</v>
      </c>
      <c r="B301">
        <v>400</v>
      </c>
      <c r="C301" s="1">
        <v>45825</v>
      </c>
      <c r="D301" t="s">
        <v>947</v>
      </c>
      <c r="E301" t="s">
        <v>943</v>
      </c>
      <c r="F301" s="5">
        <v>5473</v>
      </c>
    </row>
    <row r="302" spans="1:6">
      <c r="A302">
        <v>301</v>
      </c>
      <c r="B302">
        <v>401</v>
      </c>
      <c r="C302" s="1">
        <v>45828</v>
      </c>
      <c r="D302" t="s">
        <v>942</v>
      </c>
      <c r="E302" t="s">
        <v>943</v>
      </c>
      <c r="F302" s="5">
        <v>13323</v>
      </c>
    </row>
    <row r="303" spans="1:6">
      <c r="A303">
        <v>302</v>
      </c>
      <c r="B303">
        <v>402</v>
      </c>
      <c r="C303" s="1">
        <v>45831</v>
      </c>
      <c r="D303" t="s">
        <v>944</v>
      </c>
      <c r="E303" t="s">
        <v>943</v>
      </c>
      <c r="F303" s="5">
        <v>25009</v>
      </c>
    </row>
    <row r="304" spans="1:6">
      <c r="A304">
        <v>303</v>
      </c>
      <c r="B304">
        <v>403</v>
      </c>
      <c r="C304" s="1">
        <v>45834</v>
      </c>
      <c r="D304" t="s">
        <v>945</v>
      </c>
      <c r="E304" t="s">
        <v>943</v>
      </c>
      <c r="F304" s="5">
        <v>19351</v>
      </c>
    </row>
    <row r="305" spans="1:6">
      <c r="A305">
        <v>304</v>
      </c>
      <c r="B305">
        <v>404</v>
      </c>
      <c r="C305" s="1">
        <v>45837</v>
      </c>
      <c r="D305" t="s">
        <v>946</v>
      </c>
      <c r="E305" t="s">
        <v>943</v>
      </c>
      <c r="F305" s="5">
        <v>16981</v>
      </c>
    </row>
    <row r="306" spans="1:6">
      <c r="A306">
        <v>305</v>
      </c>
      <c r="B306">
        <v>405</v>
      </c>
      <c r="C306" s="1">
        <v>45840</v>
      </c>
      <c r="D306" t="s">
        <v>947</v>
      </c>
      <c r="E306" t="s">
        <v>943</v>
      </c>
      <c r="F306" s="5">
        <v>32503</v>
      </c>
    </row>
    <row r="307" spans="1:6">
      <c r="A307">
        <v>306</v>
      </c>
      <c r="B307">
        <v>406</v>
      </c>
      <c r="C307" s="1">
        <v>45843</v>
      </c>
      <c r="D307" t="s">
        <v>942</v>
      </c>
      <c r="E307" t="s">
        <v>943</v>
      </c>
      <c r="F307" s="5">
        <v>24461</v>
      </c>
    </row>
    <row r="308" spans="1:6">
      <c r="A308">
        <v>307</v>
      </c>
      <c r="B308">
        <v>407</v>
      </c>
      <c r="C308" s="1">
        <v>45846</v>
      </c>
      <c r="D308" t="s">
        <v>944</v>
      </c>
      <c r="E308" t="s">
        <v>943</v>
      </c>
      <c r="F308" s="5">
        <v>31681</v>
      </c>
    </row>
    <row r="309" spans="1:6">
      <c r="A309">
        <v>308</v>
      </c>
      <c r="B309">
        <v>408</v>
      </c>
      <c r="C309" s="1">
        <v>45849</v>
      </c>
      <c r="D309" t="s">
        <v>945</v>
      </c>
      <c r="E309" t="s">
        <v>943</v>
      </c>
      <c r="F309" s="5">
        <v>7939</v>
      </c>
    </row>
    <row r="310" spans="1:6">
      <c r="A310">
        <v>309</v>
      </c>
      <c r="B310">
        <v>409</v>
      </c>
      <c r="C310" s="1">
        <v>45852</v>
      </c>
      <c r="D310" t="s">
        <v>946</v>
      </c>
      <c r="E310" t="s">
        <v>943</v>
      </c>
      <c r="F310" s="5">
        <v>17433</v>
      </c>
    </row>
    <row r="311" spans="1:6">
      <c r="A311">
        <v>310</v>
      </c>
      <c r="B311">
        <v>410</v>
      </c>
      <c r="C311" s="1">
        <v>45855</v>
      </c>
      <c r="D311" t="s">
        <v>947</v>
      </c>
      <c r="E311" t="s">
        <v>943</v>
      </c>
      <c r="F311" s="5">
        <v>30763</v>
      </c>
    </row>
    <row r="312" spans="1:6">
      <c r="A312">
        <v>311</v>
      </c>
      <c r="B312">
        <v>411</v>
      </c>
      <c r="C312" s="1">
        <v>45858</v>
      </c>
      <c r="D312" t="s">
        <v>942</v>
      </c>
      <c r="E312" t="s">
        <v>943</v>
      </c>
      <c r="F312" s="5">
        <v>23461</v>
      </c>
    </row>
    <row r="313" spans="1:6">
      <c r="A313">
        <v>312</v>
      </c>
      <c r="B313">
        <v>412</v>
      </c>
      <c r="C313" s="1">
        <v>45861</v>
      </c>
      <c r="D313" t="s">
        <v>944</v>
      </c>
      <c r="E313" t="s">
        <v>943</v>
      </c>
      <c r="F313" s="5">
        <v>19447</v>
      </c>
    </row>
    <row r="314" spans="1:6">
      <c r="A314">
        <v>313</v>
      </c>
      <c r="B314">
        <v>413</v>
      </c>
      <c r="C314" s="1">
        <v>45864</v>
      </c>
      <c r="D314" t="s">
        <v>945</v>
      </c>
      <c r="E314" t="s">
        <v>943</v>
      </c>
      <c r="F314" s="5">
        <v>16063</v>
      </c>
    </row>
    <row r="315" spans="1:6">
      <c r="A315">
        <v>314</v>
      </c>
      <c r="B315">
        <v>414</v>
      </c>
      <c r="C315" s="1">
        <v>45867</v>
      </c>
      <c r="D315" t="s">
        <v>946</v>
      </c>
      <c r="E315" t="s">
        <v>943</v>
      </c>
      <c r="F315" s="5">
        <v>30215</v>
      </c>
    </row>
    <row r="316" spans="1:6">
      <c r="A316">
        <v>315</v>
      </c>
      <c r="B316">
        <v>415</v>
      </c>
      <c r="C316" s="1">
        <v>45870</v>
      </c>
      <c r="D316" t="s">
        <v>947</v>
      </c>
      <c r="E316" t="s">
        <v>943</v>
      </c>
      <c r="F316" s="5">
        <v>8391</v>
      </c>
    </row>
    <row r="317" spans="1:6">
      <c r="A317">
        <v>316</v>
      </c>
      <c r="B317">
        <v>416</v>
      </c>
      <c r="C317" s="1">
        <v>45873</v>
      </c>
      <c r="D317" t="s">
        <v>942</v>
      </c>
      <c r="E317" t="s">
        <v>943</v>
      </c>
      <c r="F317" s="5">
        <v>10405</v>
      </c>
    </row>
    <row r="318" spans="1:6">
      <c r="A318">
        <v>317</v>
      </c>
      <c r="B318">
        <v>417</v>
      </c>
      <c r="C318" s="1">
        <v>45876</v>
      </c>
      <c r="D318" t="s">
        <v>944</v>
      </c>
      <c r="E318" t="s">
        <v>943</v>
      </c>
      <c r="F318" s="5">
        <v>21543</v>
      </c>
    </row>
    <row r="319" spans="1:6">
      <c r="A319">
        <v>318</v>
      </c>
      <c r="B319">
        <v>418</v>
      </c>
      <c r="C319" s="1">
        <v>45879</v>
      </c>
      <c r="D319" t="s">
        <v>945</v>
      </c>
      <c r="E319" t="s">
        <v>943</v>
      </c>
      <c r="F319" s="5">
        <v>36517</v>
      </c>
    </row>
    <row r="320" spans="1:6">
      <c r="A320">
        <v>319</v>
      </c>
      <c r="B320">
        <v>419</v>
      </c>
      <c r="C320" s="1">
        <v>45882</v>
      </c>
      <c r="D320" t="s">
        <v>946</v>
      </c>
      <c r="E320" t="s">
        <v>948</v>
      </c>
      <c r="F320" s="5">
        <v>27571</v>
      </c>
    </row>
    <row r="321" spans="1:6">
      <c r="A321">
        <v>320</v>
      </c>
      <c r="B321">
        <v>420</v>
      </c>
      <c r="C321" s="1">
        <v>45885</v>
      </c>
      <c r="D321" t="s">
        <v>947</v>
      </c>
      <c r="E321" t="s">
        <v>948</v>
      </c>
      <c r="F321" s="5">
        <v>8213</v>
      </c>
    </row>
    <row r="322" spans="1:6">
      <c r="A322">
        <v>321</v>
      </c>
      <c r="B322">
        <v>421</v>
      </c>
      <c r="C322" s="1">
        <v>45888</v>
      </c>
      <c r="D322" t="s">
        <v>942</v>
      </c>
      <c r="E322" t="s">
        <v>943</v>
      </c>
      <c r="F322" s="5">
        <v>20173</v>
      </c>
    </row>
    <row r="323" spans="1:6">
      <c r="A323">
        <v>322</v>
      </c>
      <c r="B323">
        <v>422</v>
      </c>
      <c r="C323" s="1">
        <v>45891</v>
      </c>
      <c r="D323" t="s">
        <v>944</v>
      </c>
      <c r="E323" t="s">
        <v>943</v>
      </c>
      <c r="F323" s="5">
        <v>15419</v>
      </c>
    </row>
    <row r="324" spans="1:6">
      <c r="A324">
        <v>323</v>
      </c>
      <c r="B324">
        <v>423</v>
      </c>
      <c r="C324" s="1">
        <v>45894</v>
      </c>
      <c r="D324" t="s">
        <v>945</v>
      </c>
      <c r="E324" t="s">
        <v>943</v>
      </c>
      <c r="F324" s="5">
        <v>12501</v>
      </c>
    </row>
    <row r="325" spans="1:6">
      <c r="A325">
        <v>324</v>
      </c>
      <c r="B325">
        <v>424</v>
      </c>
      <c r="C325" s="1">
        <v>45897</v>
      </c>
      <c r="D325" t="s">
        <v>946</v>
      </c>
      <c r="E325" t="s">
        <v>943</v>
      </c>
      <c r="F325" s="5">
        <v>12871</v>
      </c>
    </row>
    <row r="326" spans="1:6">
      <c r="A326">
        <v>325</v>
      </c>
      <c r="B326">
        <v>425</v>
      </c>
      <c r="C326" s="1">
        <v>45900</v>
      </c>
      <c r="D326" t="s">
        <v>947</v>
      </c>
      <c r="E326" t="s">
        <v>943</v>
      </c>
      <c r="F326" s="5">
        <v>25653</v>
      </c>
    </row>
    <row r="327" spans="1:6">
      <c r="A327">
        <v>326</v>
      </c>
      <c r="B327">
        <v>426</v>
      </c>
      <c r="C327" s="1">
        <v>45903</v>
      </c>
      <c r="D327" t="s">
        <v>942</v>
      </c>
      <c r="E327" t="s">
        <v>943</v>
      </c>
      <c r="F327" s="5">
        <v>42271</v>
      </c>
    </row>
    <row r="328" spans="1:6">
      <c r="A328">
        <v>327</v>
      </c>
      <c r="B328">
        <v>427</v>
      </c>
      <c r="C328" s="1">
        <v>45906</v>
      </c>
      <c r="D328" t="s">
        <v>944</v>
      </c>
      <c r="E328" t="s">
        <v>943</v>
      </c>
      <c r="F328" s="5">
        <v>24831</v>
      </c>
    </row>
    <row r="329" spans="1:6">
      <c r="A329">
        <v>328</v>
      </c>
      <c r="B329">
        <v>428</v>
      </c>
      <c r="C329" s="1">
        <v>45909</v>
      </c>
      <c r="D329" t="s">
        <v>945</v>
      </c>
      <c r="E329" t="s">
        <v>943</v>
      </c>
      <c r="F329" s="5">
        <v>10679</v>
      </c>
    </row>
    <row r="330" spans="1:6">
      <c r="A330">
        <v>329</v>
      </c>
      <c r="B330">
        <v>429</v>
      </c>
      <c r="C330" s="1">
        <v>45912</v>
      </c>
      <c r="D330" t="s">
        <v>946</v>
      </c>
      <c r="E330" t="s">
        <v>943</v>
      </c>
      <c r="F330" s="5">
        <v>10583</v>
      </c>
    </row>
    <row r="331" spans="1:6">
      <c r="A331">
        <v>330</v>
      </c>
      <c r="B331">
        <v>430</v>
      </c>
      <c r="C331" s="1">
        <v>45915</v>
      </c>
      <c r="D331" t="s">
        <v>947</v>
      </c>
      <c r="E331" t="s">
        <v>943</v>
      </c>
      <c r="F331" s="5">
        <v>21173</v>
      </c>
    </row>
    <row r="332" spans="1:6">
      <c r="A332">
        <v>331</v>
      </c>
      <c r="B332">
        <v>431</v>
      </c>
      <c r="C332" s="1">
        <v>45918</v>
      </c>
      <c r="D332" t="s">
        <v>942</v>
      </c>
      <c r="E332" t="s">
        <v>948</v>
      </c>
      <c r="F332" s="5">
        <v>16611</v>
      </c>
    </row>
    <row r="333" spans="1:6">
      <c r="A333">
        <v>332</v>
      </c>
      <c r="B333">
        <v>432</v>
      </c>
      <c r="C333" s="1">
        <v>45921</v>
      </c>
      <c r="D333" t="s">
        <v>944</v>
      </c>
      <c r="E333" t="s">
        <v>948</v>
      </c>
      <c r="F333" s="5">
        <v>15337</v>
      </c>
    </row>
    <row r="334" spans="1:6">
      <c r="A334">
        <v>333</v>
      </c>
      <c r="B334">
        <v>433</v>
      </c>
      <c r="C334" s="1">
        <v>45924</v>
      </c>
      <c r="D334" t="s">
        <v>945</v>
      </c>
      <c r="E334" t="s">
        <v>943</v>
      </c>
      <c r="F334" s="5">
        <v>29763</v>
      </c>
    </row>
    <row r="335" spans="1:6">
      <c r="A335">
        <v>334</v>
      </c>
      <c r="B335">
        <v>434</v>
      </c>
      <c r="C335" s="1">
        <v>45927</v>
      </c>
      <c r="D335" t="s">
        <v>946</v>
      </c>
      <c r="E335" t="s">
        <v>943</v>
      </c>
      <c r="F335" s="5">
        <v>20625</v>
      </c>
    </row>
    <row r="336" spans="1:6">
      <c r="A336">
        <v>335</v>
      </c>
      <c r="B336">
        <v>435</v>
      </c>
      <c r="C336" s="1">
        <v>45930</v>
      </c>
      <c r="D336" t="s">
        <v>947</v>
      </c>
      <c r="E336" t="s">
        <v>948</v>
      </c>
      <c r="F336" s="5">
        <v>28941</v>
      </c>
    </row>
    <row r="337" spans="1:6">
      <c r="A337">
        <v>336</v>
      </c>
      <c r="B337">
        <v>436</v>
      </c>
      <c r="C337" s="1">
        <v>45933</v>
      </c>
      <c r="D337" t="s">
        <v>942</v>
      </c>
      <c r="E337" t="s">
        <v>943</v>
      </c>
      <c r="F337" s="5">
        <v>6295</v>
      </c>
    </row>
    <row r="338" spans="1:6">
      <c r="A338">
        <v>337</v>
      </c>
      <c r="B338">
        <v>437</v>
      </c>
      <c r="C338" s="1">
        <v>45936</v>
      </c>
      <c r="D338" t="s">
        <v>944</v>
      </c>
      <c r="E338" t="s">
        <v>943</v>
      </c>
      <c r="F338" s="5">
        <v>14693</v>
      </c>
    </row>
    <row r="339" spans="1:6">
      <c r="A339">
        <v>338</v>
      </c>
      <c r="B339">
        <v>438</v>
      </c>
      <c r="C339" s="1">
        <v>45939</v>
      </c>
      <c r="D339" t="s">
        <v>945</v>
      </c>
      <c r="E339" t="s">
        <v>943</v>
      </c>
      <c r="F339" s="5">
        <v>26927</v>
      </c>
    </row>
    <row r="340" spans="1:6">
      <c r="A340">
        <v>339</v>
      </c>
      <c r="B340">
        <v>439</v>
      </c>
      <c r="C340" s="1">
        <v>45942</v>
      </c>
      <c r="D340" t="s">
        <v>946</v>
      </c>
      <c r="E340" t="s">
        <v>943</v>
      </c>
      <c r="F340" s="5">
        <v>20721</v>
      </c>
    </row>
    <row r="341" spans="1:6">
      <c r="A341">
        <v>340</v>
      </c>
      <c r="B341">
        <v>440</v>
      </c>
      <c r="C341" s="1">
        <v>45945</v>
      </c>
      <c r="D341" t="s">
        <v>947</v>
      </c>
      <c r="E341" t="s">
        <v>943</v>
      </c>
      <c r="F341" s="5">
        <v>17803</v>
      </c>
    </row>
    <row r="342" spans="1:6">
      <c r="A342">
        <v>341</v>
      </c>
      <c r="B342">
        <v>441</v>
      </c>
      <c r="C342" s="1">
        <v>45948</v>
      </c>
      <c r="D342" t="s">
        <v>942</v>
      </c>
      <c r="E342" t="s">
        <v>943</v>
      </c>
      <c r="F342" s="5">
        <v>13323</v>
      </c>
    </row>
    <row r="343" spans="1:6">
      <c r="A343">
        <v>342</v>
      </c>
      <c r="B343">
        <v>442</v>
      </c>
      <c r="C343" s="1">
        <v>45951</v>
      </c>
      <c r="D343" t="s">
        <v>944</v>
      </c>
      <c r="E343" t="s">
        <v>943</v>
      </c>
      <c r="F343" s="5">
        <v>26379</v>
      </c>
    </row>
    <row r="344" spans="1:6">
      <c r="A344">
        <v>343</v>
      </c>
      <c r="B344">
        <v>443</v>
      </c>
      <c r="C344" s="1">
        <v>45954</v>
      </c>
      <c r="D344" t="s">
        <v>945</v>
      </c>
      <c r="E344" t="s">
        <v>943</v>
      </c>
      <c r="F344" s="5">
        <v>5651</v>
      </c>
    </row>
    <row r="345" spans="1:6">
      <c r="A345">
        <v>344</v>
      </c>
      <c r="B345">
        <v>444</v>
      </c>
      <c r="C345" s="1">
        <v>45957</v>
      </c>
      <c r="D345" t="s">
        <v>946</v>
      </c>
      <c r="E345" t="s">
        <v>948</v>
      </c>
      <c r="F345" s="5">
        <v>8761</v>
      </c>
    </row>
    <row r="346" spans="1:6">
      <c r="A346">
        <v>345</v>
      </c>
      <c r="B346">
        <v>445</v>
      </c>
      <c r="C346" s="1">
        <v>45960</v>
      </c>
      <c r="D346" t="s">
        <v>947</v>
      </c>
      <c r="E346" t="s">
        <v>948</v>
      </c>
      <c r="F346" s="5">
        <v>18803</v>
      </c>
    </row>
    <row r="347" spans="1:6">
      <c r="A347">
        <v>346</v>
      </c>
      <c r="B347">
        <v>446</v>
      </c>
      <c r="C347" s="1">
        <v>45963</v>
      </c>
      <c r="D347" t="s">
        <v>942</v>
      </c>
      <c r="E347" t="s">
        <v>943</v>
      </c>
      <c r="F347" s="5">
        <v>32681</v>
      </c>
    </row>
    <row r="348" spans="1:6">
      <c r="A348">
        <v>347</v>
      </c>
      <c r="B348">
        <v>447</v>
      </c>
      <c r="C348" s="1">
        <v>45966</v>
      </c>
      <c r="D348" t="s">
        <v>944</v>
      </c>
      <c r="E348" t="s">
        <v>943</v>
      </c>
      <c r="F348" s="5">
        <v>24831</v>
      </c>
    </row>
    <row r="349" spans="1:6">
      <c r="A349">
        <v>348</v>
      </c>
      <c r="B349">
        <v>448</v>
      </c>
      <c r="C349" s="1">
        <v>45969</v>
      </c>
      <c r="D349" t="s">
        <v>945</v>
      </c>
      <c r="E349" t="s">
        <v>943</v>
      </c>
      <c r="F349" s="5">
        <v>20269</v>
      </c>
    </row>
    <row r="350" spans="1:6">
      <c r="A350">
        <v>349</v>
      </c>
      <c r="B350">
        <v>449</v>
      </c>
      <c r="C350" s="1">
        <v>45972</v>
      </c>
      <c r="D350" t="s">
        <v>946</v>
      </c>
      <c r="E350" t="s">
        <v>943</v>
      </c>
      <c r="F350" s="5">
        <v>17433</v>
      </c>
    </row>
    <row r="351" spans="1:6">
      <c r="A351">
        <v>350</v>
      </c>
      <c r="B351">
        <v>450</v>
      </c>
      <c r="C351" s="1">
        <v>45975</v>
      </c>
      <c r="D351" t="s">
        <v>947</v>
      </c>
      <c r="E351" t="s">
        <v>943</v>
      </c>
      <c r="F351" s="5">
        <v>11583</v>
      </c>
    </row>
    <row r="352" spans="1:6">
      <c r="A352">
        <v>351</v>
      </c>
      <c r="B352">
        <v>451</v>
      </c>
      <c r="C352" s="1">
        <v>45978</v>
      </c>
      <c r="D352" t="s">
        <v>942</v>
      </c>
      <c r="E352" t="s">
        <v>943</v>
      </c>
      <c r="F352" s="5">
        <v>9761</v>
      </c>
    </row>
    <row r="353" spans="1:6">
      <c r="A353">
        <v>352</v>
      </c>
      <c r="B353">
        <v>452</v>
      </c>
      <c r="C353" s="1">
        <v>45981</v>
      </c>
      <c r="D353" t="s">
        <v>944</v>
      </c>
      <c r="E353" t="s">
        <v>943</v>
      </c>
      <c r="F353" s="5">
        <v>11227</v>
      </c>
    </row>
    <row r="354" spans="1:6">
      <c r="A354">
        <v>353</v>
      </c>
      <c r="B354">
        <v>453</v>
      </c>
      <c r="C354" s="1">
        <v>45984</v>
      </c>
      <c r="D354" t="s">
        <v>945</v>
      </c>
      <c r="E354" t="s">
        <v>948</v>
      </c>
      <c r="F354" s="5">
        <v>22913</v>
      </c>
    </row>
    <row r="355" spans="1:6">
      <c r="A355">
        <v>354</v>
      </c>
      <c r="B355">
        <v>454</v>
      </c>
      <c r="C355" s="1">
        <v>45987</v>
      </c>
      <c r="D355" t="s">
        <v>946</v>
      </c>
      <c r="E355" t="s">
        <v>943</v>
      </c>
      <c r="F355" s="5">
        <v>38435</v>
      </c>
    </row>
    <row r="356" spans="1:6">
      <c r="A356">
        <v>355</v>
      </c>
      <c r="B356">
        <v>455</v>
      </c>
      <c r="C356" s="1">
        <v>45990</v>
      </c>
      <c r="D356" t="s">
        <v>947</v>
      </c>
      <c r="E356" t="s">
        <v>943</v>
      </c>
      <c r="F356" s="5">
        <v>28941</v>
      </c>
    </row>
    <row r="357" spans="1:6">
      <c r="A357">
        <v>356</v>
      </c>
      <c r="B357">
        <v>456</v>
      </c>
      <c r="C357" s="1">
        <v>45993</v>
      </c>
      <c r="D357" t="s">
        <v>942</v>
      </c>
      <c r="E357" t="s">
        <v>943</v>
      </c>
      <c r="F357" s="5">
        <v>9035</v>
      </c>
    </row>
    <row r="358" spans="1:6">
      <c r="A358">
        <v>357</v>
      </c>
      <c r="B358">
        <v>457</v>
      </c>
      <c r="C358" s="1">
        <v>45996</v>
      </c>
      <c r="D358" t="s">
        <v>944</v>
      </c>
      <c r="E358" t="s">
        <v>943</v>
      </c>
      <c r="F358" s="5">
        <v>21543</v>
      </c>
    </row>
    <row r="359" spans="1:6">
      <c r="A359">
        <v>358</v>
      </c>
      <c r="B359">
        <v>458</v>
      </c>
      <c r="C359" s="1">
        <v>45999</v>
      </c>
      <c r="D359" t="s">
        <v>945</v>
      </c>
      <c r="E359" t="s">
        <v>943</v>
      </c>
      <c r="F359" s="5">
        <v>17337</v>
      </c>
    </row>
    <row r="360" spans="1:6">
      <c r="A360">
        <v>359</v>
      </c>
      <c r="B360">
        <v>459</v>
      </c>
      <c r="C360" s="1">
        <v>46002</v>
      </c>
      <c r="D360" t="s">
        <v>946</v>
      </c>
      <c r="E360" t="s">
        <v>943</v>
      </c>
      <c r="F360" s="5">
        <v>13871</v>
      </c>
    </row>
    <row r="361" spans="1:6">
      <c r="A361">
        <v>360</v>
      </c>
      <c r="B361">
        <v>460</v>
      </c>
      <c r="C361" s="1">
        <v>46005</v>
      </c>
      <c r="D361" t="s">
        <v>947</v>
      </c>
      <c r="E361" t="s">
        <v>943</v>
      </c>
      <c r="F361" s="5">
        <v>13693</v>
      </c>
    </row>
    <row r="362" spans="1:6">
      <c r="A362">
        <v>361</v>
      </c>
      <c r="B362">
        <v>461</v>
      </c>
      <c r="C362" s="1">
        <v>46008</v>
      </c>
      <c r="D362" t="s">
        <v>942</v>
      </c>
      <c r="E362" t="s">
        <v>943</v>
      </c>
      <c r="F362" s="5">
        <v>27023</v>
      </c>
    </row>
    <row r="363" spans="1:6">
      <c r="A363">
        <v>362</v>
      </c>
      <c r="B363">
        <v>462</v>
      </c>
      <c r="C363" s="1">
        <v>46011</v>
      </c>
      <c r="D363" t="s">
        <v>944</v>
      </c>
      <c r="E363" t="s">
        <v>943</v>
      </c>
      <c r="F363" s="5">
        <v>44189</v>
      </c>
    </row>
    <row r="364" spans="1:6">
      <c r="A364">
        <v>363</v>
      </c>
      <c r="B364">
        <v>463</v>
      </c>
      <c r="C364" s="1">
        <v>46014</v>
      </c>
      <c r="D364" t="s">
        <v>945</v>
      </c>
      <c r="E364" t="s">
        <v>943</v>
      </c>
      <c r="F364" s="5">
        <v>26201</v>
      </c>
    </row>
    <row r="365" spans="1:6">
      <c r="A365">
        <v>364</v>
      </c>
      <c r="B365">
        <v>464</v>
      </c>
      <c r="C365" s="1">
        <v>46017</v>
      </c>
      <c r="D365" t="s">
        <v>946</v>
      </c>
      <c r="E365" t="s">
        <v>943</v>
      </c>
      <c r="F365" s="5">
        <v>11501</v>
      </c>
    </row>
    <row r="366" spans="1:6">
      <c r="A366">
        <v>365</v>
      </c>
      <c r="B366">
        <v>465</v>
      </c>
      <c r="C366" s="1">
        <v>46020</v>
      </c>
      <c r="D366" t="s">
        <v>947</v>
      </c>
      <c r="E366" t="s">
        <v>943</v>
      </c>
      <c r="F366" s="5">
        <v>11953</v>
      </c>
    </row>
    <row r="367" spans="1:6">
      <c r="A367">
        <v>366</v>
      </c>
      <c r="B367">
        <v>466</v>
      </c>
      <c r="C367" s="1">
        <v>45658</v>
      </c>
      <c r="D367" t="s">
        <v>942</v>
      </c>
      <c r="E367" t="s">
        <v>948</v>
      </c>
      <c r="F367" s="5">
        <v>23091</v>
      </c>
    </row>
    <row r="368" spans="1:6">
      <c r="A368">
        <v>367</v>
      </c>
      <c r="B368">
        <v>467</v>
      </c>
      <c r="C368" s="1">
        <v>45661</v>
      </c>
      <c r="D368" t="s">
        <v>944</v>
      </c>
      <c r="E368" t="s">
        <v>943</v>
      </c>
      <c r="F368" s="5">
        <v>17981</v>
      </c>
    </row>
    <row r="369" spans="1:6">
      <c r="A369">
        <v>368</v>
      </c>
      <c r="B369">
        <v>468</v>
      </c>
      <c r="C369" s="1">
        <v>45664</v>
      </c>
      <c r="D369" t="s">
        <v>945</v>
      </c>
      <c r="E369" t="s">
        <v>943</v>
      </c>
      <c r="F369" s="5">
        <v>16159</v>
      </c>
    </row>
    <row r="370" spans="1:6">
      <c r="A370">
        <v>369</v>
      </c>
      <c r="B370">
        <v>469</v>
      </c>
      <c r="C370" s="1">
        <v>45667</v>
      </c>
      <c r="D370" t="s">
        <v>946</v>
      </c>
      <c r="E370" t="s">
        <v>943</v>
      </c>
      <c r="F370" s="5">
        <v>31133</v>
      </c>
    </row>
    <row r="371" spans="1:6">
      <c r="A371">
        <v>370</v>
      </c>
      <c r="B371">
        <v>470</v>
      </c>
      <c r="C371" s="1">
        <v>45670</v>
      </c>
      <c r="D371" t="s">
        <v>947</v>
      </c>
      <c r="E371" t="s">
        <v>943</v>
      </c>
      <c r="F371" s="5">
        <v>22543</v>
      </c>
    </row>
    <row r="372" spans="1:6">
      <c r="A372">
        <v>371</v>
      </c>
      <c r="B372">
        <v>471</v>
      </c>
      <c r="C372" s="1">
        <v>45673</v>
      </c>
      <c r="D372" t="s">
        <v>942</v>
      </c>
      <c r="E372" t="s">
        <v>943</v>
      </c>
      <c r="F372" s="5">
        <v>30311</v>
      </c>
    </row>
    <row r="373" spans="1:6">
      <c r="A373">
        <v>372</v>
      </c>
      <c r="B373">
        <v>472</v>
      </c>
      <c r="C373" s="1">
        <v>45676</v>
      </c>
      <c r="D373" t="s">
        <v>944</v>
      </c>
      <c r="E373" t="s">
        <v>943</v>
      </c>
      <c r="F373" s="5">
        <v>7117</v>
      </c>
    </row>
    <row r="374" spans="1:6">
      <c r="A374">
        <v>373</v>
      </c>
      <c r="B374">
        <v>473</v>
      </c>
      <c r="C374" s="1">
        <v>45679</v>
      </c>
      <c r="D374" t="s">
        <v>945</v>
      </c>
      <c r="E374" t="s">
        <v>943</v>
      </c>
      <c r="F374" s="5">
        <v>16063</v>
      </c>
    </row>
    <row r="375" spans="1:6">
      <c r="A375">
        <v>374</v>
      </c>
      <c r="B375">
        <v>474</v>
      </c>
      <c r="C375" s="1">
        <v>45682</v>
      </c>
      <c r="D375" t="s">
        <v>946</v>
      </c>
      <c r="E375" t="s">
        <v>943</v>
      </c>
      <c r="F375" s="5">
        <v>28845</v>
      </c>
    </row>
    <row r="376" spans="1:6">
      <c r="A376">
        <v>375</v>
      </c>
      <c r="B376">
        <v>475</v>
      </c>
      <c r="C376" s="1">
        <v>45685</v>
      </c>
      <c r="D376" t="s">
        <v>947</v>
      </c>
      <c r="E376" t="s">
        <v>943</v>
      </c>
      <c r="F376" s="5">
        <v>22091</v>
      </c>
    </row>
    <row r="377" spans="1:6">
      <c r="A377">
        <v>376</v>
      </c>
      <c r="B377">
        <v>476</v>
      </c>
      <c r="C377" s="1">
        <v>45688</v>
      </c>
      <c r="D377" t="s">
        <v>942</v>
      </c>
      <c r="E377" t="s">
        <v>943</v>
      </c>
      <c r="F377" s="5">
        <v>18625</v>
      </c>
    </row>
    <row r="378" spans="1:6">
      <c r="A378">
        <v>377</v>
      </c>
      <c r="B378">
        <v>477</v>
      </c>
      <c r="C378" s="1">
        <v>45691</v>
      </c>
      <c r="D378" t="s">
        <v>944</v>
      </c>
      <c r="E378" t="s">
        <v>948</v>
      </c>
      <c r="F378" s="5">
        <v>14693</v>
      </c>
    </row>
    <row r="379" spans="1:6">
      <c r="A379">
        <v>378</v>
      </c>
      <c r="B379">
        <v>478</v>
      </c>
      <c r="C379" s="1">
        <v>45694</v>
      </c>
      <c r="D379" t="s">
        <v>945</v>
      </c>
      <c r="E379" t="s">
        <v>948</v>
      </c>
      <c r="F379" s="5">
        <v>28297</v>
      </c>
    </row>
    <row r="380" spans="1:6">
      <c r="A380">
        <v>379</v>
      </c>
      <c r="B380">
        <v>479</v>
      </c>
      <c r="C380" s="1">
        <v>45697</v>
      </c>
      <c r="D380" t="s">
        <v>946</v>
      </c>
      <c r="E380" t="s">
        <v>943</v>
      </c>
      <c r="F380" s="5">
        <v>7021</v>
      </c>
    </row>
    <row r="381" spans="1:6">
      <c r="A381">
        <v>380</v>
      </c>
      <c r="B381">
        <v>480</v>
      </c>
      <c r="C381" s="1">
        <v>45700</v>
      </c>
      <c r="D381" t="s">
        <v>947</v>
      </c>
      <c r="E381" t="s">
        <v>943</v>
      </c>
      <c r="F381" s="5">
        <v>9583</v>
      </c>
    </row>
    <row r="382" spans="1:6">
      <c r="A382">
        <v>381</v>
      </c>
      <c r="B382">
        <v>481</v>
      </c>
      <c r="C382" s="1">
        <v>45703</v>
      </c>
      <c r="D382" t="s">
        <v>942</v>
      </c>
      <c r="E382" t="s">
        <v>943</v>
      </c>
      <c r="F382" s="5">
        <v>20173</v>
      </c>
    </row>
    <row r="383" spans="1:6">
      <c r="A383">
        <v>382</v>
      </c>
      <c r="B383">
        <v>482</v>
      </c>
      <c r="C383" s="1">
        <v>45706</v>
      </c>
      <c r="D383" t="s">
        <v>944</v>
      </c>
      <c r="E383" t="s">
        <v>943</v>
      </c>
      <c r="F383" s="5">
        <v>34599</v>
      </c>
    </row>
    <row r="384" spans="1:6">
      <c r="A384">
        <v>383</v>
      </c>
      <c r="B384">
        <v>483</v>
      </c>
      <c r="C384" s="1">
        <v>45709</v>
      </c>
      <c r="D384" t="s">
        <v>945</v>
      </c>
      <c r="E384" t="s">
        <v>943</v>
      </c>
      <c r="F384" s="5">
        <v>26201</v>
      </c>
    </row>
    <row r="385" spans="1:6">
      <c r="A385">
        <v>384</v>
      </c>
      <c r="B385">
        <v>484</v>
      </c>
      <c r="C385" s="1">
        <v>45712</v>
      </c>
      <c r="D385" t="s">
        <v>946</v>
      </c>
      <c r="E385" t="s">
        <v>943</v>
      </c>
      <c r="F385" s="5">
        <v>7391</v>
      </c>
    </row>
    <row r="386" spans="1:6">
      <c r="A386">
        <v>385</v>
      </c>
      <c r="B386">
        <v>485</v>
      </c>
      <c r="C386" s="1">
        <v>45715</v>
      </c>
      <c r="D386" t="s">
        <v>947</v>
      </c>
      <c r="E386" t="s">
        <v>943</v>
      </c>
      <c r="F386" s="5">
        <v>18803</v>
      </c>
    </row>
    <row r="387" spans="1:6">
      <c r="A387">
        <v>386</v>
      </c>
      <c r="B387">
        <v>486</v>
      </c>
      <c r="C387" s="1">
        <v>45718</v>
      </c>
      <c r="D387" t="s">
        <v>942</v>
      </c>
      <c r="E387" t="s">
        <v>943</v>
      </c>
      <c r="F387" s="5">
        <v>13501</v>
      </c>
    </row>
    <row r="388" spans="1:6">
      <c r="A388">
        <v>387</v>
      </c>
      <c r="B388">
        <v>487</v>
      </c>
      <c r="C388" s="1">
        <v>45721</v>
      </c>
      <c r="D388" t="s">
        <v>944</v>
      </c>
      <c r="E388" t="s">
        <v>943</v>
      </c>
      <c r="F388" s="5">
        <v>11131</v>
      </c>
    </row>
    <row r="389" spans="1:6">
      <c r="A389">
        <v>388</v>
      </c>
      <c r="B389">
        <v>488</v>
      </c>
      <c r="C389" s="1">
        <v>45724</v>
      </c>
      <c r="D389" t="s">
        <v>945</v>
      </c>
      <c r="E389" t="s">
        <v>943</v>
      </c>
      <c r="F389" s="5">
        <v>12049</v>
      </c>
    </row>
    <row r="390" spans="1:6">
      <c r="A390">
        <v>389</v>
      </c>
      <c r="B390">
        <v>489</v>
      </c>
      <c r="C390" s="1">
        <v>45727</v>
      </c>
      <c r="D390" t="s">
        <v>946</v>
      </c>
      <c r="E390" t="s">
        <v>943</v>
      </c>
      <c r="F390" s="5">
        <v>24283</v>
      </c>
    </row>
    <row r="391" spans="1:6">
      <c r="A391">
        <v>390</v>
      </c>
      <c r="B391">
        <v>490</v>
      </c>
      <c r="C391" s="1">
        <v>45730</v>
      </c>
      <c r="D391" t="s">
        <v>947</v>
      </c>
      <c r="E391" t="s">
        <v>943</v>
      </c>
      <c r="F391" s="5">
        <v>40353</v>
      </c>
    </row>
    <row r="392" spans="1:6">
      <c r="A392">
        <v>391</v>
      </c>
      <c r="B392">
        <v>491</v>
      </c>
      <c r="C392" s="1">
        <v>45733</v>
      </c>
      <c r="D392" t="s">
        <v>942</v>
      </c>
      <c r="E392" t="s">
        <v>943</v>
      </c>
      <c r="F392" s="5">
        <v>23461</v>
      </c>
    </row>
    <row r="393" spans="1:6">
      <c r="A393">
        <v>392</v>
      </c>
      <c r="B393">
        <v>492</v>
      </c>
      <c r="C393" s="1">
        <v>45736</v>
      </c>
      <c r="D393" t="s">
        <v>944</v>
      </c>
      <c r="E393" t="s">
        <v>943</v>
      </c>
      <c r="F393" s="5">
        <v>9857</v>
      </c>
    </row>
    <row r="394" spans="1:6">
      <c r="A394">
        <v>393</v>
      </c>
      <c r="B394">
        <v>493</v>
      </c>
      <c r="C394" s="1">
        <v>45739</v>
      </c>
      <c r="D394" t="s">
        <v>945</v>
      </c>
      <c r="E394" t="s">
        <v>943</v>
      </c>
      <c r="F394" s="5">
        <v>9213</v>
      </c>
    </row>
    <row r="395" spans="1:6">
      <c r="A395">
        <v>394</v>
      </c>
      <c r="B395">
        <v>494</v>
      </c>
      <c r="C395" s="1">
        <v>45742</v>
      </c>
      <c r="D395" t="s">
        <v>946</v>
      </c>
      <c r="E395" t="s">
        <v>943</v>
      </c>
      <c r="F395" s="5">
        <v>19255</v>
      </c>
    </row>
    <row r="396" spans="1:6">
      <c r="A396">
        <v>395</v>
      </c>
      <c r="B396">
        <v>495</v>
      </c>
      <c r="C396" s="1">
        <v>45745</v>
      </c>
      <c r="D396" t="s">
        <v>947</v>
      </c>
      <c r="E396" t="s">
        <v>943</v>
      </c>
      <c r="F396" s="5">
        <v>15241</v>
      </c>
    </row>
    <row r="397" spans="1:6">
      <c r="A397">
        <v>396</v>
      </c>
      <c r="B397">
        <v>496</v>
      </c>
      <c r="C397" s="1">
        <v>45748</v>
      </c>
      <c r="D397" t="s">
        <v>942</v>
      </c>
      <c r="E397" t="s">
        <v>943</v>
      </c>
      <c r="F397" s="5">
        <v>14515</v>
      </c>
    </row>
    <row r="398" spans="1:6">
      <c r="A398">
        <v>397</v>
      </c>
      <c r="B398">
        <v>497</v>
      </c>
      <c r="C398" s="1">
        <v>45751</v>
      </c>
      <c r="D398" t="s">
        <v>944</v>
      </c>
      <c r="E398" t="s">
        <v>943</v>
      </c>
      <c r="F398" s="5">
        <v>28393</v>
      </c>
    </row>
    <row r="399" spans="1:6">
      <c r="A399">
        <v>398</v>
      </c>
      <c r="B399">
        <v>498</v>
      </c>
      <c r="C399" s="1">
        <v>45754</v>
      </c>
      <c r="D399" t="s">
        <v>945</v>
      </c>
      <c r="E399" t="s">
        <v>943</v>
      </c>
      <c r="F399" s="5">
        <v>46107</v>
      </c>
    </row>
    <row r="400" spans="1:6">
      <c r="A400">
        <v>399</v>
      </c>
      <c r="B400">
        <v>499</v>
      </c>
      <c r="C400" s="1">
        <v>45757</v>
      </c>
      <c r="D400" t="s">
        <v>946</v>
      </c>
      <c r="E400" t="s">
        <v>943</v>
      </c>
      <c r="F400" s="5">
        <v>27571</v>
      </c>
    </row>
    <row r="401" spans="1:6">
      <c r="A401">
        <v>400</v>
      </c>
      <c r="B401">
        <v>500</v>
      </c>
      <c r="C401" s="1">
        <v>45760</v>
      </c>
      <c r="D401" t="s">
        <v>947</v>
      </c>
      <c r="E401" t="s">
        <v>943</v>
      </c>
      <c r="F401" s="5">
        <v>5473</v>
      </c>
    </row>
    <row r="402" spans="1:6">
      <c r="A402">
        <v>401</v>
      </c>
      <c r="B402">
        <v>501</v>
      </c>
      <c r="C402" s="1">
        <v>45763</v>
      </c>
      <c r="D402" t="s">
        <v>942</v>
      </c>
      <c r="E402" t="s">
        <v>943</v>
      </c>
      <c r="F402" s="5">
        <v>13323</v>
      </c>
    </row>
    <row r="403" spans="1:6">
      <c r="A403">
        <v>402</v>
      </c>
      <c r="B403">
        <v>502</v>
      </c>
      <c r="C403" s="1">
        <v>45766</v>
      </c>
      <c r="D403" t="s">
        <v>944</v>
      </c>
      <c r="E403" t="s">
        <v>943</v>
      </c>
      <c r="F403" s="5">
        <v>25009</v>
      </c>
    </row>
    <row r="404" spans="1:6">
      <c r="A404">
        <v>403</v>
      </c>
      <c r="B404">
        <v>503</v>
      </c>
      <c r="C404" s="1">
        <v>45769</v>
      </c>
      <c r="D404" t="s">
        <v>945</v>
      </c>
      <c r="E404" t="s">
        <v>943</v>
      </c>
      <c r="F404" s="5">
        <v>19351</v>
      </c>
    </row>
    <row r="405" spans="1:6">
      <c r="A405">
        <v>404</v>
      </c>
      <c r="B405">
        <v>504</v>
      </c>
      <c r="C405" s="1">
        <v>45772</v>
      </c>
      <c r="D405" t="s">
        <v>946</v>
      </c>
      <c r="E405" t="s">
        <v>943</v>
      </c>
      <c r="F405" s="5">
        <v>16981</v>
      </c>
    </row>
    <row r="406" spans="1:6">
      <c r="A406">
        <v>405</v>
      </c>
      <c r="B406">
        <v>505</v>
      </c>
      <c r="C406" s="1">
        <v>45775</v>
      </c>
      <c r="D406" t="s">
        <v>947</v>
      </c>
      <c r="E406" t="s">
        <v>943</v>
      </c>
      <c r="F406" s="5">
        <v>32503</v>
      </c>
    </row>
    <row r="407" spans="1:6">
      <c r="A407">
        <v>406</v>
      </c>
      <c r="B407">
        <v>506</v>
      </c>
      <c r="C407" s="1">
        <v>45778</v>
      </c>
      <c r="D407" t="s">
        <v>942</v>
      </c>
      <c r="E407" t="s">
        <v>943</v>
      </c>
      <c r="F407" s="5">
        <v>24461</v>
      </c>
    </row>
    <row r="408" spans="1:6">
      <c r="A408">
        <v>407</v>
      </c>
      <c r="B408">
        <v>507</v>
      </c>
      <c r="C408" s="1">
        <v>45781</v>
      </c>
      <c r="D408" t="s">
        <v>944</v>
      </c>
      <c r="E408" t="s">
        <v>948</v>
      </c>
      <c r="F408" s="5">
        <v>31681</v>
      </c>
    </row>
    <row r="409" spans="1:6">
      <c r="A409">
        <v>408</v>
      </c>
      <c r="B409">
        <v>508</v>
      </c>
      <c r="C409" s="1">
        <v>45784</v>
      </c>
      <c r="D409" t="s">
        <v>945</v>
      </c>
      <c r="E409" t="s">
        <v>943</v>
      </c>
      <c r="F409" s="5">
        <v>7939</v>
      </c>
    </row>
    <row r="410" spans="1:6">
      <c r="A410">
        <v>409</v>
      </c>
      <c r="B410">
        <v>509</v>
      </c>
      <c r="C410" s="1">
        <v>45787</v>
      </c>
      <c r="D410" t="s">
        <v>946</v>
      </c>
      <c r="E410" t="s">
        <v>943</v>
      </c>
      <c r="F410" s="5">
        <v>17433</v>
      </c>
    </row>
    <row r="411" spans="1:6">
      <c r="A411">
        <v>410</v>
      </c>
      <c r="B411">
        <v>510</v>
      </c>
      <c r="C411" s="1">
        <v>45790</v>
      </c>
      <c r="D411" t="s">
        <v>947</v>
      </c>
      <c r="E411" t="s">
        <v>948</v>
      </c>
      <c r="F411" s="5">
        <v>30763</v>
      </c>
    </row>
    <row r="412" spans="1:6">
      <c r="A412">
        <v>411</v>
      </c>
      <c r="B412">
        <v>511</v>
      </c>
      <c r="C412" s="1">
        <v>45793</v>
      </c>
      <c r="D412" t="s">
        <v>942</v>
      </c>
      <c r="E412" t="s">
        <v>943</v>
      </c>
      <c r="F412" s="5">
        <v>23461</v>
      </c>
    </row>
    <row r="413" spans="1:6">
      <c r="A413">
        <v>412</v>
      </c>
      <c r="B413">
        <v>512</v>
      </c>
      <c r="C413" s="1">
        <v>45796</v>
      </c>
      <c r="D413" t="s">
        <v>944</v>
      </c>
      <c r="E413" t="s">
        <v>943</v>
      </c>
      <c r="F413" s="5">
        <v>19447</v>
      </c>
    </row>
    <row r="414" spans="1:6">
      <c r="A414">
        <v>413</v>
      </c>
      <c r="B414">
        <v>513</v>
      </c>
      <c r="C414" s="1">
        <v>45799</v>
      </c>
      <c r="D414" t="s">
        <v>945</v>
      </c>
      <c r="E414" t="s">
        <v>943</v>
      </c>
      <c r="F414" s="5">
        <v>16063</v>
      </c>
    </row>
    <row r="415" spans="1:6">
      <c r="A415">
        <v>414</v>
      </c>
      <c r="B415">
        <v>514</v>
      </c>
      <c r="C415" s="1">
        <v>45802</v>
      </c>
      <c r="D415" t="s">
        <v>946</v>
      </c>
      <c r="E415" t="s">
        <v>943</v>
      </c>
      <c r="F415" s="5">
        <v>30215</v>
      </c>
    </row>
    <row r="416" spans="1:6">
      <c r="A416">
        <v>415</v>
      </c>
      <c r="B416">
        <v>515</v>
      </c>
      <c r="C416" s="1">
        <v>45805</v>
      </c>
      <c r="D416" t="s">
        <v>947</v>
      </c>
      <c r="E416" t="s">
        <v>943</v>
      </c>
      <c r="F416" s="5">
        <v>8391</v>
      </c>
    </row>
    <row r="417" spans="1:6">
      <c r="A417">
        <v>416</v>
      </c>
      <c r="B417">
        <v>516</v>
      </c>
      <c r="C417" s="1">
        <v>45808</v>
      </c>
      <c r="D417" t="s">
        <v>942</v>
      </c>
      <c r="E417" t="s">
        <v>943</v>
      </c>
      <c r="F417" s="5">
        <v>10405</v>
      </c>
    </row>
    <row r="418" spans="1:6">
      <c r="A418">
        <v>417</v>
      </c>
      <c r="B418">
        <v>517</v>
      </c>
      <c r="C418" s="1">
        <v>45811</v>
      </c>
      <c r="D418" t="s">
        <v>944</v>
      </c>
      <c r="E418" t="s">
        <v>943</v>
      </c>
      <c r="F418" s="5">
        <v>21543</v>
      </c>
    </row>
    <row r="419" spans="1:6">
      <c r="A419">
        <v>418</v>
      </c>
      <c r="B419">
        <v>518</v>
      </c>
      <c r="C419" s="1">
        <v>45814</v>
      </c>
      <c r="D419" t="s">
        <v>945</v>
      </c>
      <c r="E419" t="s">
        <v>943</v>
      </c>
      <c r="F419" s="5">
        <v>36517</v>
      </c>
    </row>
    <row r="420" spans="1:6">
      <c r="A420">
        <v>419</v>
      </c>
      <c r="B420">
        <v>519</v>
      </c>
      <c r="C420" s="1">
        <v>45817</v>
      </c>
      <c r="D420" t="s">
        <v>946</v>
      </c>
      <c r="E420" t="s">
        <v>943</v>
      </c>
      <c r="F420" s="5">
        <v>27571</v>
      </c>
    </row>
    <row r="421" spans="1:6">
      <c r="A421">
        <v>420</v>
      </c>
      <c r="B421">
        <v>520</v>
      </c>
      <c r="C421" s="1">
        <v>45820</v>
      </c>
      <c r="D421" t="s">
        <v>947</v>
      </c>
      <c r="E421" t="s">
        <v>943</v>
      </c>
      <c r="F421" s="5">
        <v>8213</v>
      </c>
    </row>
    <row r="422" spans="1:6">
      <c r="A422">
        <v>421</v>
      </c>
      <c r="B422">
        <v>521</v>
      </c>
      <c r="C422" s="1">
        <v>45823</v>
      </c>
      <c r="D422" t="s">
        <v>942</v>
      </c>
      <c r="E422" t="s">
        <v>948</v>
      </c>
      <c r="F422" s="5">
        <v>20173</v>
      </c>
    </row>
    <row r="423" spans="1:6">
      <c r="A423">
        <v>422</v>
      </c>
      <c r="B423">
        <v>522</v>
      </c>
      <c r="C423" s="1">
        <v>45826</v>
      </c>
      <c r="D423" t="s">
        <v>944</v>
      </c>
      <c r="E423" t="s">
        <v>943</v>
      </c>
      <c r="F423" s="5">
        <v>15419</v>
      </c>
    </row>
    <row r="424" spans="1:6">
      <c r="A424">
        <v>423</v>
      </c>
      <c r="B424">
        <v>523</v>
      </c>
      <c r="C424" s="1">
        <v>45829</v>
      </c>
      <c r="D424" t="s">
        <v>945</v>
      </c>
      <c r="E424" t="s">
        <v>943</v>
      </c>
      <c r="F424" s="5">
        <v>12501</v>
      </c>
    </row>
    <row r="425" spans="1:6">
      <c r="A425">
        <v>424</v>
      </c>
      <c r="B425">
        <v>524</v>
      </c>
      <c r="C425" s="1">
        <v>45832</v>
      </c>
      <c r="D425" t="s">
        <v>946</v>
      </c>
      <c r="E425" t="s">
        <v>943</v>
      </c>
      <c r="F425" s="5">
        <v>12871</v>
      </c>
    </row>
    <row r="426" spans="1:6">
      <c r="A426">
        <v>425</v>
      </c>
      <c r="B426">
        <v>525</v>
      </c>
      <c r="C426" s="1">
        <v>45835</v>
      </c>
      <c r="D426" t="s">
        <v>947</v>
      </c>
      <c r="E426" t="s">
        <v>943</v>
      </c>
      <c r="F426" s="5">
        <v>25653</v>
      </c>
    </row>
    <row r="427" spans="1:6">
      <c r="A427">
        <v>426</v>
      </c>
      <c r="B427">
        <v>526</v>
      </c>
      <c r="C427" s="1">
        <v>45838</v>
      </c>
      <c r="D427" t="s">
        <v>942</v>
      </c>
      <c r="E427" t="s">
        <v>943</v>
      </c>
      <c r="F427" s="5">
        <v>42271</v>
      </c>
    </row>
    <row r="428" spans="1:6">
      <c r="A428">
        <v>427</v>
      </c>
      <c r="B428">
        <v>527</v>
      </c>
      <c r="C428" s="1">
        <v>45841</v>
      </c>
      <c r="D428" t="s">
        <v>944</v>
      </c>
      <c r="E428" t="s">
        <v>943</v>
      </c>
      <c r="F428" s="5">
        <v>24831</v>
      </c>
    </row>
    <row r="429" spans="1:6">
      <c r="A429">
        <v>428</v>
      </c>
      <c r="B429">
        <v>528</v>
      </c>
      <c r="C429" s="1">
        <v>45844</v>
      </c>
      <c r="D429" t="s">
        <v>945</v>
      </c>
      <c r="E429" t="s">
        <v>943</v>
      </c>
      <c r="F429" s="5">
        <v>10679</v>
      </c>
    </row>
    <row r="430" spans="1:6">
      <c r="A430">
        <v>429</v>
      </c>
      <c r="B430">
        <v>529</v>
      </c>
      <c r="C430" s="1">
        <v>45847</v>
      </c>
      <c r="D430" t="s">
        <v>946</v>
      </c>
      <c r="E430" t="s">
        <v>943</v>
      </c>
      <c r="F430" s="5">
        <v>10583</v>
      </c>
    </row>
    <row r="431" spans="1:6">
      <c r="A431">
        <v>430</v>
      </c>
      <c r="B431">
        <v>530</v>
      </c>
      <c r="C431" s="1">
        <v>45850</v>
      </c>
      <c r="D431" t="s">
        <v>947</v>
      </c>
      <c r="E431" t="s">
        <v>943</v>
      </c>
      <c r="F431" s="5">
        <v>21173</v>
      </c>
    </row>
    <row r="432" spans="1:6">
      <c r="A432">
        <v>431</v>
      </c>
      <c r="B432">
        <v>531</v>
      </c>
      <c r="C432" s="1">
        <v>45853</v>
      </c>
      <c r="D432" t="s">
        <v>942</v>
      </c>
      <c r="E432" t="s">
        <v>943</v>
      </c>
      <c r="F432" s="5">
        <v>16611</v>
      </c>
    </row>
    <row r="433" spans="1:6">
      <c r="A433">
        <v>432</v>
      </c>
      <c r="B433">
        <v>532</v>
      </c>
      <c r="C433" s="1">
        <v>45856</v>
      </c>
      <c r="D433" t="s">
        <v>944</v>
      </c>
      <c r="E433" t="s">
        <v>943</v>
      </c>
      <c r="F433" s="5">
        <v>15337</v>
      </c>
    </row>
    <row r="434" spans="1:6">
      <c r="A434">
        <v>433</v>
      </c>
      <c r="B434">
        <v>533</v>
      </c>
      <c r="C434" s="1">
        <v>45859</v>
      </c>
      <c r="D434" t="s">
        <v>945</v>
      </c>
      <c r="E434" t="s">
        <v>943</v>
      </c>
      <c r="F434" s="5">
        <v>29763</v>
      </c>
    </row>
    <row r="435" spans="1:6">
      <c r="A435">
        <v>434</v>
      </c>
      <c r="B435">
        <v>534</v>
      </c>
      <c r="C435" s="1">
        <v>45862</v>
      </c>
      <c r="D435" t="s">
        <v>946</v>
      </c>
      <c r="E435" t="s">
        <v>943</v>
      </c>
      <c r="F435" s="5">
        <v>20625</v>
      </c>
    </row>
    <row r="436" spans="1:6">
      <c r="A436">
        <v>435</v>
      </c>
      <c r="B436">
        <v>535</v>
      </c>
      <c r="C436" s="1">
        <v>45865</v>
      </c>
      <c r="D436" t="s">
        <v>947</v>
      </c>
      <c r="E436" t="s">
        <v>943</v>
      </c>
      <c r="F436" s="5">
        <v>28941</v>
      </c>
    </row>
    <row r="437" spans="1:6">
      <c r="A437">
        <v>436</v>
      </c>
      <c r="B437">
        <v>536</v>
      </c>
      <c r="C437" s="1">
        <v>45868</v>
      </c>
      <c r="D437" t="s">
        <v>942</v>
      </c>
      <c r="E437" t="s">
        <v>943</v>
      </c>
      <c r="F437" s="5">
        <v>6295</v>
      </c>
    </row>
    <row r="438" spans="1:6">
      <c r="A438">
        <v>437</v>
      </c>
      <c r="B438">
        <v>537</v>
      </c>
      <c r="C438" s="1">
        <v>45871</v>
      </c>
      <c r="D438" t="s">
        <v>944</v>
      </c>
      <c r="E438" t="s">
        <v>943</v>
      </c>
      <c r="F438" s="5">
        <v>14693</v>
      </c>
    </row>
    <row r="439" spans="1:6">
      <c r="A439">
        <v>438</v>
      </c>
      <c r="B439">
        <v>538</v>
      </c>
      <c r="C439" s="1">
        <v>45874</v>
      </c>
      <c r="D439" t="s">
        <v>945</v>
      </c>
      <c r="E439" t="s">
        <v>943</v>
      </c>
      <c r="F439" s="5">
        <v>26927</v>
      </c>
    </row>
    <row r="440" spans="1:6">
      <c r="A440">
        <v>439</v>
      </c>
      <c r="B440">
        <v>539</v>
      </c>
      <c r="C440" s="1">
        <v>45877</v>
      </c>
      <c r="D440" t="s">
        <v>946</v>
      </c>
      <c r="E440" t="s">
        <v>943</v>
      </c>
      <c r="F440" s="5">
        <v>20721</v>
      </c>
    </row>
    <row r="441" spans="1:6">
      <c r="A441">
        <v>440</v>
      </c>
      <c r="B441">
        <v>540</v>
      </c>
      <c r="C441" s="1">
        <v>45880</v>
      </c>
      <c r="D441" t="s">
        <v>947</v>
      </c>
      <c r="E441" t="s">
        <v>943</v>
      </c>
      <c r="F441" s="5">
        <v>17803</v>
      </c>
    </row>
    <row r="442" spans="1:6">
      <c r="A442">
        <v>441</v>
      </c>
      <c r="B442">
        <v>541</v>
      </c>
      <c r="C442" s="1">
        <v>45883</v>
      </c>
      <c r="D442" t="s">
        <v>942</v>
      </c>
      <c r="E442" t="s">
        <v>943</v>
      </c>
      <c r="F442" s="5">
        <v>13323</v>
      </c>
    </row>
    <row r="443" spans="1:6">
      <c r="A443">
        <v>442</v>
      </c>
      <c r="B443">
        <v>542</v>
      </c>
      <c r="C443" s="1">
        <v>45886</v>
      </c>
      <c r="D443" t="s">
        <v>944</v>
      </c>
      <c r="E443" t="s">
        <v>943</v>
      </c>
      <c r="F443" s="5">
        <v>26379</v>
      </c>
    </row>
    <row r="444" spans="1:6">
      <c r="A444">
        <v>443</v>
      </c>
      <c r="B444">
        <v>543</v>
      </c>
      <c r="C444" s="1">
        <v>45889</v>
      </c>
      <c r="D444" t="s">
        <v>945</v>
      </c>
      <c r="E444" t="s">
        <v>943</v>
      </c>
      <c r="F444" s="5">
        <v>5651</v>
      </c>
    </row>
    <row r="445" spans="1:6">
      <c r="A445">
        <v>444</v>
      </c>
      <c r="B445">
        <v>544</v>
      </c>
      <c r="C445" s="1">
        <v>45892</v>
      </c>
      <c r="D445" t="s">
        <v>946</v>
      </c>
      <c r="E445" t="s">
        <v>943</v>
      </c>
      <c r="F445" s="5">
        <v>8761</v>
      </c>
    </row>
    <row r="446" spans="1:6">
      <c r="A446">
        <v>445</v>
      </c>
      <c r="B446">
        <v>545</v>
      </c>
      <c r="C446" s="1">
        <v>45895</v>
      </c>
      <c r="D446" t="s">
        <v>947</v>
      </c>
      <c r="E446" t="s">
        <v>943</v>
      </c>
      <c r="F446" s="5">
        <v>18803</v>
      </c>
    </row>
    <row r="447" spans="1:6">
      <c r="A447">
        <v>446</v>
      </c>
      <c r="B447">
        <v>546</v>
      </c>
      <c r="C447" s="1">
        <v>45898</v>
      </c>
      <c r="D447" t="s">
        <v>942</v>
      </c>
      <c r="E447" t="s">
        <v>943</v>
      </c>
      <c r="F447" s="5">
        <v>32681</v>
      </c>
    </row>
    <row r="448" spans="1:6">
      <c r="A448">
        <v>447</v>
      </c>
      <c r="B448">
        <v>547</v>
      </c>
      <c r="C448" s="1">
        <v>45901</v>
      </c>
      <c r="D448" t="s">
        <v>944</v>
      </c>
      <c r="E448" t="s">
        <v>943</v>
      </c>
      <c r="F448" s="5">
        <v>24831</v>
      </c>
    </row>
    <row r="449" spans="1:6">
      <c r="A449">
        <v>448</v>
      </c>
      <c r="B449">
        <v>548</v>
      </c>
      <c r="C449" s="1">
        <v>45904</v>
      </c>
      <c r="D449" t="s">
        <v>945</v>
      </c>
      <c r="E449" t="s">
        <v>943</v>
      </c>
      <c r="F449" s="5">
        <v>20269</v>
      </c>
    </row>
    <row r="450" spans="1:6">
      <c r="A450">
        <v>449</v>
      </c>
      <c r="B450">
        <v>549</v>
      </c>
      <c r="C450" s="1">
        <v>45907</v>
      </c>
      <c r="D450" t="s">
        <v>946</v>
      </c>
      <c r="E450" t="s">
        <v>943</v>
      </c>
      <c r="F450" s="5">
        <v>17433</v>
      </c>
    </row>
    <row r="451" spans="1:6">
      <c r="A451">
        <v>450</v>
      </c>
      <c r="B451">
        <v>550</v>
      </c>
      <c r="C451" s="1">
        <v>45910</v>
      </c>
      <c r="D451" t="s">
        <v>947</v>
      </c>
      <c r="E451" t="s">
        <v>943</v>
      </c>
      <c r="F451" s="5">
        <v>11583</v>
      </c>
    </row>
    <row r="452" spans="1:6">
      <c r="A452">
        <v>451</v>
      </c>
      <c r="B452">
        <v>551</v>
      </c>
      <c r="C452" s="1">
        <v>45913</v>
      </c>
      <c r="D452" t="s">
        <v>942</v>
      </c>
      <c r="E452" t="s">
        <v>943</v>
      </c>
      <c r="F452" s="5">
        <v>9761</v>
      </c>
    </row>
    <row r="453" spans="1:6">
      <c r="A453">
        <v>452</v>
      </c>
      <c r="B453">
        <v>552</v>
      </c>
      <c r="C453" s="1">
        <v>45916</v>
      </c>
      <c r="D453" t="s">
        <v>944</v>
      </c>
      <c r="E453" t="s">
        <v>943</v>
      </c>
      <c r="F453" s="5">
        <v>11227</v>
      </c>
    </row>
    <row r="454" spans="1:6">
      <c r="A454">
        <v>453</v>
      </c>
      <c r="B454">
        <v>553</v>
      </c>
      <c r="C454" s="1">
        <v>45919</v>
      </c>
      <c r="D454" t="s">
        <v>945</v>
      </c>
      <c r="E454" t="s">
        <v>943</v>
      </c>
      <c r="F454" s="5">
        <v>22913</v>
      </c>
    </row>
    <row r="455" spans="1:6">
      <c r="A455">
        <v>454</v>
      </c>
      <c r="B455">
        <v>554</v>
      </c>
      <c r="C455" s="1">
        <v>45922</v>
      </c>
      <c r="D455" t="s">
        <v>946</v>
      </c>
      <c r="E455" t="s">
        <v>943</v>
      </c>
      <c r="F455" s="5">
        <v>38435</v>
      </c>
    </row>
    <row r="456" spans="1:6">
      <c r="A456">
        <v>455</v>
      </c>
      <c r="B456">
        <v>555</v>
      </c>
      <c r="C456" s="1">
        <v>45925</v>
      </c>
      <c r="D456" t="s">
        <v>947</v>
      </c>
      <c r="E456" t="s">
        <v>943</v>
      </c>
      <c r="F456" s="5">
        <v>28941</v>
      </c>
    </row>
    <row r="457" spans="1:6">
      <c r="A457">
        <v>456</v>
      </c>
      <c r="B457">
        <v>556</v>
      </c>
      <c r="C457" s="1">
        <v>45928</v>
      </c>
      <c r="D457" t="s">
        <v>942</v>
      </c>
      <c r="E457" t="s">
        <v>943</v>
      </c>
      <c r="F457" s="5">
        <v>9035</v>
      </c>
    </row>
    <row r="458" spans="1:6">
      <c r="A458">
        <v>457</v>
      </c>
      <c r="B458">
        <v>557</v>
      </c>
      <c r="C458" s="1">
        <v>45931</v>
      </c>
      <c r="D458" t="s">
        <v>944</v>
      </c>
      <c r="E458" t="s">
        <v>943</v>
      </c>
      <c r="F458" s="5">
        <v>21543</v>
      </c>
    </row>
    <row r="459" spans="1:6">
      <c r="A459">
        <v>458</v>
      </c>
      <c r="B459">
        <v>558</v>
      </c>
      <c r="C459" s="1">
        <v>45934</v>
      </c>
      <c r="D459" t="s">
        <v>945</v>
      </c>
      <c r="E459" t="s">
        <v>943</v>
      </c>
      <c r="F459" s="5">
        <v>17337</v>
      </c>
    </row>
    <row r="460" spans="1:6">
      <c r="A460">
        <v>459</v>
      </c>
      <c r="B460">
        <v>559</v>
      </c>
      <c r="C460" s="1">
        <v>45937</v>
      </c>
      <c r="D460" t="s">
        <v>946</v>
      </c>
      <c r="E460" t="s">
        <v>943</v>
      </c>
      <c r="F460" s="5">
        <v>13871</v>
      </c>
    </row>
    <row r="461" spans="1:6">
      <c r="A461">
        <v>460</v>
      </c>
      <c r="B461">
        <v>560</v>
      </c>
      <c r="C461" s="1">
        <v>45940</v>
      </c>
      <c r="D461" t="s">
        <v>947</v>
      </c>
      <c r="E461" t="s">
        <v>943</v>
      </c>
      <c r="F461" s="5">
        <v>13693</v>
      </c>
    </row>
    <row r="462" spans="1:6">
      <c r="A462">
        <v>461</v>
      </c>
      <c r="B462">
        <v>561</v>
      </c>
      <c r="C462" s="1">
        <v>45943</v>
      </c>
      <c r="D462" t="s">
        <v>942</v>
      </c>
      <c r="E462" t="s">
        <v>943</v>
      </c>
      <c r="F462" s="5">
        <v>27023</v>
      </c>
    </row>
    <row r="463" spans="1:6">
      <c r="A463">
        <v>462</v>
      </c>
      <c r="B463">
        <v>562</v>
      </c>
      <c r="C463" s="1">
        <v>45946</v>
      </c>
      <c r="D463" t="s">
        <v>944</v>
      </c>
      <c r="E463" t="s">
        <v>943</v>
      </c>
      <c r="F463" s="5">
        <v>44189</v>
      </c>
    </row>
    <row r="464" spans="1:6">
      <c r="A464">
        <v>463</v>
      </c>
      <c r="B464">
        <v>563</v>
      </c>
      <c r="C464" s="1">
        <v>45949</v>
      </c>
      <c r="D464" t="s">
        <v>945</v>
      </c>
      <c r="E464" t="s">
        <v>943</v>
      </c>
      <c r="F464" s="5">
        <v>26201</v>
      </c>
    </row>
    <row r="465" spans="1:6">
      <c r="A465">
        <v>464</v>
      </c>
      <c r="B465">
        <v>564</v>
      </c>
      <c r="C465" s="1">
        <v>45952</v>
      </c>
      <c r="D465" t="s">
        <v>946</v>
      </c>
      <c r="E465" t="s">
        <v>943</v>
      </c>
      <c r="F465" s="5">
        <v>11501</v>
      </c>
    </row>
    <row r="466" spans="1:6">
      <c r="A466">
        <v>465</v>
      </c>
      <c r="B466">
        <v>565</v>
      </c>
      <c r="C466" s="1">
        <v>45955</v>
      </c>
      <c r="D466" t="s">
        <v>947</v>
      </c>
      <c r="E466" t="s">
        <v>943</v>
      </c>
      <c r="F466" s="5">
        <v>11953</v>
      </c>
    </row>
    <row r="467" spans="1:6">
      <c r="A467">
        <v>466</v>
      </c>
      <c r="B467">
        <v>566</v>
      </c>
      <c r="C467" s="1">
        <v>45958</v>
      </c>
      <c r="D467" t="s">
        <v>942</v>
      </c>
      <c r="E467" t="s">
        <v>943</v>
      </c>
      <c r="F467" s="5">
        <v>23091</v>
      </c>
    </row>
    <row r="468" spans="1:6">
      <c r="A468">
        <v>467</v>
      </c>
      <c r="B468">
        <v>567</v>
      </c>
      <c r="C468" s="1">
        <v>45961</v>
      </c>
      <c r="D468" t="s">
        <v>944</v>
      </c>
      <c r="E468" t="s">
        <v>943</v>
      </c>
      <c r="F468" s="5">
        <v>17981</v>
      </c>
    </row>
    <row r="469" spans="1:6">
      <c r="A469">
        <v>468</v>
      </c>
      <c r="B469">
        <v>568</v>
      </c>
      <c r="C469" s="1">
        <v>45964</v>
      </c>
      <c r="D469" t="s">
        <v>945</v>
      </c>
      <c r="E469" t="s">
        <v>948</v>
      </c>
      <c r="F469" s="5">
        <v>16159</v>
      </c>
    </row>
    <row r="470" spans="1:6">
      <c r="A470">
        <v>469</v>
      </c>
      <c r="B470">
        <v>569</v>
      </c>
      <c r="C470" s="1">
        <v>45967</v>
      </c>
      <c r="D470" t="s">
        <v>946</v>
      </c>
      <c r="E470" t="s">
        <v>943</v>
      </c>
      <c r="F470" s="5">
        <v>31133</v>
      </c>
    </row>
    <row r="471" spans="1:6">
      <c r="A471">
        <v>470</v>
      </c>
      <c r="B471">
        <v>570</v>
      </c>
      <c r="C471" s="1">
        <v>45970</v>
      </c>
      <c r="D471" t="s">
        <v>947</v>
      </c>
      <c r="E471" t="s">
        <v>943</v>
      </c>
      <c r="F471" s="5">
        <v>22543</v>
      </c>
    </row>
    <row r="472" spans="1:6">
      <c r="A472">
        <v>471</v>
      </c>
      <c r="B472">
        <v>571</v>
      </c>
      <c r="C472" s="1">
        <v>45973</v>
      </c>
      <c r="D472" t="s">
        <v>942</v>
      </c>
      <c r="E472" t="s">
        <v>943</v>
      </c>
      <c r="F472" s="5">
        <v>30311</v>
      </c>
    </row>
    <row r="473" spans="1:6">
      <c r="A473">
        <v>472</v>
      </c>
      <c r="B473">
        <v>572</v>
      </c>
      <c r="C473" s="1">
        <v>45976</v>
      </c>
      <c r="D473" t="s">
        <v>944</v>
      </c>
      <c r="E473" t="s">
        <v>943</v>
      </c>
      <c r="F473" s="5">
        <v>7117</v>
      </c>
    </row>
    <row r="474" spans="1:6">
      <c r="A474">
        <v>473</v>
      </c>
      <c r="B474">
        <v>573</v>
      </c>
      <c r="C474" s="1">
        <v>45979</v>
      </c>
      <c r="D474" t="s">
        <v>945</v>
      </c>
      <c r="E474" t="s">
        <v>943</v>
      </c>
      <c r="F474" s="5">
        <v>16063</v>
      </c>
    </row>
    <row r="475" spans="1:6">
      <c r="A475">
        <v>474</v>
      </c>
      <c r="B475">
        <v>574</v>
      </c>
      <c r="C475" s="1">
        <v>45982</v>
      </c>
      <c r="D475" t="s">
        <v>946</v>
      </c>
      <c r="E475" t="s">
        <v>943</v>
      </c>
      <c r="F475" s="5">
        <v>28845</v>
      </c>
    </row>
    <row r="476" spans="1:6">
      <c r="A476">
        <v>475</v>
      </c>
      <c r="B476">
        <v>575</v>
      </c>
      <c r="C476" s="1">
        <v>45985</v>
      </c>
      <c r="D476" t="s">
        <v>947</v>
      </c>
      <c r="E476" t="s">
        <v>948</v>
      </c>
      <c r="F476" s="5">
        <v>22091</v>
      </c>
    </row>
    <row r="477" spans="1:6">
      <c r="A477">
        <v>476</v>
      </c>
      <c r="B477">
        <v>576</v>
      </c>
      <c r="C477" s="1">
        <v>45988</v>
      </c>
      <c r="D477" t="s">
        <v>942</v>
      </c>
      <c r="E477" t="s">
        <v>943</v>
      </c>
      <c r="F477" s="5">
        <v>18625</v>
      </c>
    </row>
    <row r="478" spans="1:6">
      <c r="A478">
        <v>477</v>
      </c>
      <c r="B478">
        <v>577</v>
      </c>
      <c r="C478" s="1">
        <v>45991</v>
      </c>
      <c r="D478" t="s">
        <v>944</v>
      </c>
      <c r="E478" t="s">
        <v>943</v>
      </c>
      <c r="F478" s="5">
        <v>14693</v>
      </c>
    </row>
    <row r="479" spans="1:6">
      <c r="A479">
        <v>478</v>
      </c>
      <c r="B479">
        <v>578</v>
      </c>
      <c r="C479" s="1">
        <v>45994</v>
      </c>
      <c r="D479" t="s">
        <v>945</v>
      </c>
      <c r="E479" t="s">
        <v>943</v>
      </c>
      <c r="F479" s="5">
        <v>28297</v>
      </c>
    </row>
    <row r="480" spans="1:6">
      <c r="A480">
        <v>479</v>
      </c>
      <c r="B480">
        <v>579</v>
      </c>
      <c r="C480" s="1">
        <v>45997</v>
      </c>
      <c r="D480" t="s">
        <v>946</v>
      </c>
      <c r="E480" t="s">
        <v>943</v>
      </c>
      <c r="F480" s="5">
        <v>7021</v>
      </c>
    </row>
    <row r="481" spans="1:6">
      <c r="A481">
        <v>480</v>
      </c>
      <c r="B481">
        <v>580</v>
      </c>
      <c r="C481" s="1">
        <v>46000</v>
      </c>
      <c r="D481" t="s">
        <v>947</v>
      </c>
      <c r="E481" t="s">
        <v>943</v>
      </c>
      <c r="F481" s="5">
        <v>9583</v>
      </c>
    </row>
    <row r="482" spans="1:6">
      <c r="A482">
        <v>481</v>
      </c>
      <c r="B482">
        <v>581</v>
      </c>
      <c r="C482" s="1">
        <v>46003</v>
      </c>
      <c r="D482" t="s">
        <v>942</v>
      </c>
      <c r="E482" t="s">
        <v>943</v>
      </c>
      <c r="F482" s="5">
        <v>20173</v>
      </c>
    </row>
    <row r="483" spans="1:6">
      <c r="A483">
        <v>482</v>
      </c>
      <c r="B483">
        <v>582</v>
      </c>
      <c r="C483" s="1">
        <v>46006</v>
      </c>
      <c r="D483" t="s">
        <v>944</v>
      </c>
      <c r="E483" t="s">
        <v>943</v>
      </c>
      <c r="F483" s="5">
        <v>34599</v>
      </c>
    </row>
    <row r="484" spans="1:6">
      <c r="A484">
        <v>483</v>
      </c>
      <c r="B484">
        <v>583</v>
      </c>
      <c r="C484" s="1">
        <v>46009</v>
      </c>
      <c r="D484" t="s">
        <v>945</v>
      </c>
      <c r="E484" t="s">
        <v>943</v>
      </c>
      <c r="F484" s="5">
        <v>26201</v>
      </c>
    </row>
    <row r="485" spans="1:6">
      <c r="A485">
        <v>484</v>
      </c>
      <c r="B485">
        <v>584</v>
      </c>
      <c r="C485" s="1">
        <v>46012</v>
      </c>
      <c r="D485" t="s">
        <v>946</v>
      </c>
      <c r="E485" t="s">
        <v>943</v>
      </c>
      <c r="F485" s="5">
        <v>7391</v>
      </c>
    </row>
    <row r="486" spans="1:6">
      <c r="A486">
        <v>485</v>
      </c>
      <c r="B486">
        <v>585</v>
      </c>
      <c r="C486" s="1">
        <v>46015</v>
      </c>
      <c r="D486" t="s">
        <v>947</v>
      </c>
      <c r="E486" t="s">
        <v>943</v>
      </c>
      <c r="F486" s="5">
        <v>18803</v>
      </c>
    </row>
    <row r="487" spans="1:6">
      <c r="A487">
        <v>486</v>
      </c>
      <c r="B487">
        <v>586</v>
      </c>
      <c r="C487" s="1">
        <v>46018</v>
      </c>
      <c r="D487" t="s">
        <v>942</v>
      </c>
      <c r="E487" t="s">
        <v>943</v>
      </c>
      <c r="F487" s="5">
        <v>13501</v>
      </c>
    </row>
    <row r="488" spans="1:6">
      <c r="A488">
        <v>487</v>
      </c>
      <c r="B488">
        <v>587</v>
      </c>
      <c r="C488" s="1">
        <v>46021</v>
      </c>
      <c r="D488" t="s">
        <v>944</v>
      </c>
      <c r="E488" t="s">
        <v>948</v>
      </c>
      <c r="F488" s="5">
        <v>11131</v>
      </c>
    </row>
    <row r="489" spans="1:6">
      <c r="A489">
        <v>488</v>
      </c>
      <c r="B489">
        <v>588</v>
      </c>
      <c r="C489" s="1">
        <v>45659</v>
      </c>
      <c r="D489" t="s">
        <v>945</v>
      </c>
      <c r="E489" t="s">
        <v>943</v>
      </c>
      <c r="F489" s="5">
        <v>12049</v>
      </c>
    </row>
    <row r="490" spans="1:6">
      <c r="A490">
        <v>489</v>
      </c>
      <c r="B490">
        <v>589</v>
      </c>
      <c r="C490" s="1">
        <v>45662</v>
      </c>
      <c r="D490" t="s">
        <v>946</v>
      </c>
      <c r="E490" t="s">
        <v>943</v>
      </c>
      <c r="F490" s="5">
        <v>24283</v>
      </c>
    </row>
    <row r="491" spans="1:6">
      <c r="A491">
        <v>490</v>
      </c>
      <c r="B491">
        <v>590</v>
      </c>
      <c r="C491" s="1">
        <v>45665</v>
      </c>
      <c r="D491" t="s">
        <v>947</v>
      </c>
      <c r="E491" t="s">
        <v>948</v>
      </c>
      <c r="F491" s="5">
        <v>40353</v>
      </c>
    </row>
    <row r="492" spans="1:6">
      <c r="A492">
        <v>491</v>
      </c>
      <c r="B492">
        <v>591</v>
      </c>
      <c r="C492" s="1">
        <v>45668</v>
      </c>
      <c r="D492" t="s">
        <v>942</v>
      </c>
      <c r="E492" t="s">
        <v>943</v>
      </c>
      <c r="F492" s="5">
        <v>23461</v>
      </c>
    </row>
    <row r="493" spans="1:6">
      <c r="A493">
        <v>492</v>
      </c>
      <c r="B493">
        <v>592</v>
      </c>
      <c r="C493" s="1">
        <v>45671</v>
      </c>
      <c r="D493" t="s">
        <v>944</v>
      </c>
      <c r="E493" t="s">
        <v>948</v>
      </c>
      <c r="F493" s="5">
        <v>9857</v>
      </c>
    </row>
    <row r="494" spans="1:6">
      <c r="A494">
        <v>493</v>
      </c>
      <c r="B494">
        <v>593</v>
      </c>
      <c r="C494" s="1">
        <v>45674</v>
      </c>
      <c r="D494" t="s">
        <v>945</v>
      </c>
      <c r="E494" t="s">
        <v>943</v>
      </c>
      <c r="F494" s="5">
        <v>9213</v>
      </c>
    </row>
    <row r="495" spans="1:6">
      <c r="A495">
        <v>494</v>
      </c>
      <c r="B495">
        <v>594</v>
      </c>
      <c r="C495" s="1">
        <v>45677</v>
      </c>
      <c r="D495" t="s">
        <v>946</v>
      </c>
      <c r="E495" t="s">
        <v>943</v>
      </c>
      <c r="F495" s="5">
        <v>19255</v>
      </c>
    </row>
    <row r="496" spans="1:6">
      <c r="A496">
        <v>495</v>
      </c>
      <c r="B496">
        <v>595</v>
      </c>
      <c r="C496" s="1">
        <v>45680</v>
      </c>
      <c r="D496" t="s">
        <v>947</v>
      </c>
      <c r="E496" t="s">
        <v>943</v>
      </c>
      <c r="F496" s="5">
        <v>15241</v>
      </c>
    </row>
    <row r="497" spans="1:6">
      <c r="A497">
        <v>496</v>
      </c>
      <c r="B497">
        <v>596</v>
      </c>
      <c r="C497" s="1">
        <v>45683</v>
      </c>
      <c r="D497" t="s">
        <v>942</v>
      </c>
      <c r="E497" t="s">
        <v>943</v>
      </c>
      <c r="F497" s="5">
        <v>14515</v>
      </c>
    </row>
    <row r="498" spans="1:6">
      <c r="A498">
        <v>497</v>
      </c>
      <c r="B498">
        <v>597</v>
      </c>
      <c r="C498" s="1">
        <v>45686</v>
      </c>
      <c r="D498" t="s">
        <v>944</v>
      </c>
      <c r="E498" t="s">
        <v>943</v>
      </c>
      <c r="F498" s="5">
        <v>28393</v>
      </c>
    </row>
    <row r="499" spans="1:6">
      <c r="A499">
        <v>498</v>
      </c>
      <c r="B499">
        <v>598</v>
      </c>
      <c r="C499" s="1">
        <v>45689</v>
      </c>
      <c r="D499" t="s">
        <v>945</v>
      </c>
      <c r="E499" t="s">
        <v>943</v>
      </c>
      <c r="F499" s="5">
        <v>46107</v>
      </c>
    </row>
    <row r="500" spans="1:6">
      <c r="A500">
        <v>499</v>
      </c>
      <c r="B500">
        <v>599</v>
      </c>
      <c r="C500" s="1">
        <v>45692</v>
      </c>
      <c r="D500" t="s">
        <v>946</v>
      </c>
      <c r="E500" t="s">
        <v>943</v>
      </c>
      <c r="F500" s="5">
        <v>27571</v>
      </c>
    </row>
    <row r="501" spans="1:6">
      <c r="A501">
        <v>500</v>
      </c>
      <c r="B501">
        <v>600</v>
      </c>
      <c r="C501" s="1">
        <v>45695</v>
      </c>
      <c r="D501" t="s">
        <v>947</v>
      </c>
      <c r="E501" t="s">
        <v>943</v>
      </c>
      <c r="F501" s="5">
        <v>5473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A957-597E-4976-8C74-DDD3B8C6BD36}">
  <dimension ref="A3:C9"/>
  <sheetViews>
    <sheetView workbookViewId="0">
      <selection activeCell="B6" sqref="B6"/>
    </sheetView>
  </sheetViews>
  <sheetFormatPr defaultRowHeight="15"/>
  <cols>
    <col min="1" max="1" width="20.5703125" bestFit="1" customWidth="1"/>
    <col min="2" max="2" width="18.85546875" bestFit="1" customWidth="1"/>
    <col min="3" max="3" width="15.42578125" bestFit="1" customWidth="1"/>
  </cols>
  <sheetData>
    <row r="3" spans="1:3">
      <c r="A3" s="7" t="s">
        <v>939</v>
      </c>
      <c r="B3" t="s">
        <v>949</v>
      </c>
      <c r="C3" t="s">
        <v>950</v>
      </c>
    </row>
    <row r="4" spans="1:3">
      <c r="A4" t="s">
        <v>947</v>
      </c>
      <c r="B4" s="6">
        <v>25250</v>
      </c>
      <c r="C4" s="5">
        <v>1962500</v>
      </c>
    </row>
    <row r="5" spans="1:3">
      <c r="A5" t="s">
        <v>944</v>
      </c>
      <c r="B5" s="6">
        <v>24950</v>
      </c>
      <c r="C5" s="5">
        <v>2099500</v>
      </c>
    </row>
    <row r="6" spans="1:3">
      <c r="A6" t="s">
        <v>945</v>
      </c>
      <c r="B6" s="6">
        <v>25050</v>
      </c>
      <c r="C6" s="5">
        <v>2031000</v>
      </c>
    </row>
    <row r="7" spans="1:3">
      <c r="A7" t="s">
        <v>946</v>
      </c>
      <c r="B7" s="6">
        <v>25150</v>
      </c>
      <c r="C7" s="5">
        <v>1962500</v>
      </c>
    </row>
    <row r="8" spans="1:3">
      <c r="A8" t="s">
        <v>942</v>
      </c>
      <c r="B8" s="6">
        <v>24850</v>
      </c>
      <c r="C8" s="5">
        <v>1962500</v>
      </c>
    </row>
    <row r="9" spans="1:3">
      <c r="A9" t="s">
        <v>951</v>
      </c>
      <c r="B9" s="6">
        <v>125250</v>
      </c>
      <c r="C9" s="5">
        <v>10018000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E05AF-CD03-4AD6-8D96-7A3EBF4B414C}">
  <dimension ref="A3:B14"/>
  <sheetViews>
    <sheetView workbookViewId="0">
      <selection activeCell="B9" sqref="B9"/>
    </sheetView>
  </sheetViews>
  <sheetFormatPr defaultRowHeight="15"/>
  <cols>
    <col min="1" max="1" width="18.85546875" bestFit="1" customWidth="1"/>
    <col min="2" max="2" width="15.28515625" bestFit="1" customWidth="1"/>
  </cols>
  <sheetData>
    <row r="3" spans="1:2">
      <c r="A3" s="7" t="s">
        <v>1</v>
      </c>
      <c r="B3" t="s">
        <v>952</v>
      </c>
    </row>
    <row r="4" spans="1:2">
      <c r="A4" t="s">
        <v>175</v>
      </c>
      <c r="B4" s="6">
        <v>160028</v>
      </c>
    </row>
    <row r="5" spans="1:2">
      <c r="A5" t="s">
        <v>189</v>
      </c>
      <c r="B5" s="6">
        <v>101317</v>
      </c>
    </row>
    <row r="6" spans="1:2">
      <c r="A6" t="s">
        <v>149</v>
      </c>
      <c r="B6" s="6">
        <v>99783</v>
      </c>
    </row>
    <row r="7" spans="1:2">
      <c r="A7" t="s">
        <v>35</v>
      </c>
      <c r="B7" s="6">
        <v>91207</v>
      </c>
    </row>
    <row r="8" spans="1:2">
      <c r="A8" t="s">
        <v>449</v>
      </c>
      <c r="B8" s="6">
        <v>90933</v>
      </c>
    </row>
    <row r="9" spans="1:2">
      <c r="A9" t="s">
        <v>212</v>
      </c>
      <c r="B9" s="6">
        <v>86083</v>
      </c>
    </row>
    <row r="10" spans="1:2">
      <c r="A10" t="s">
        <v>48</v>
      </c>
      <c r="B10" s="6">
        <v>81966</v>
      </c>
    </row>
    <row r="11" spans="1:2">
      <c r="A11" t="s">
        <v>385</v>
      </c>
      <c r="B11" s="6">
        <v>79500</v>
      </c>
    </row>
    <row r="12" spans="1:2">
      <c r="A12" t="s">
        <v>102</v>
      </c>
      <c r="B12" s="6">
        <v>79425</v>
      </c>
    </row>
    <row r="13" spans="1:2">
      <c r="A13" t="s">
        <v>194</v>
      </c>
      <c r="B13" s="6">
        <v>76582</v>
      </c>
    </row>
    <row r="14" spans="1:2">
      <c r="A14" t="s">
        <v>951</v>
      </c>
      <c r="B14" s="6">
        <v>946824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1B5F-CC82-4D52-8F09-D585C5D59FB3}">
  <dimension ref="A1:J4"/>
  <sheetViews>
    <sheetView topLeftCell="A3" workbookViewId="0">
      <selection activeCell="J4" sqref="J4"/>
    </sheetView>
  </sheetViews>
  <sheetFormatPr defaultRowHeight="15"/>
  <cols>
    <col min="1" max="1" width="40.28515625" customWidth="1"/>
    <col min="4" max="4" width="12.5703125" customWidth="1"/>
    <col min="7" max="7" width="15.7109375" customWidth="1"/>
    <col min="10" max="10" width="20.28515625" customWidth="1"/>
  </cols>
  <sheetData>
    <row r="1" spans="1:10">
      <c r="A1" s="9" t="s">
        <v>953</v>
      </c>
    </row>
    <row r="3" spans="1:10">
      <c r="A3" s="8" t="s">
        <v>954</v>
      </c>
      <c r="D3" s="10" t="s">
        <v>955</v>
      </c>
      <c r="G3" s="11" t="s">
        <v>956</v>
      </c>
      <c r="J3" s="12" t="s">
        <v>957</v>
      </c>
    </row>
    <row r="4" spans="1:10" ht="21">
      <c r="A4" s="13">
        <f>SUM(order_items!F:F)</f>
        <v>10018000</v>
      </c>
      <c r="D4" s="14">
        <f>COUNTA(orders!A:A)-1</f>
        <v>500</v>
      </c>
      <c r="G4" s="15">
        <f>COUNTA(customers!A:A)-1</f>
        <v>500</v>
      </c>
      <c r="J4" s="16">
        <f>SUM(order_items!G:G)</f>
        <v>3831701.200000003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6C4A-A515-449C-9A78-57B34307B4AE}">
  <dimension ref="A3:B13"/>
  <sheetViews>
    <sheetView workbookViewId="0">
      <selection activeCell="A3" sqref="A3"/>
    </sheetView>
  </sheetViews>
  <sheetFormatPr defaultRowHeight="15"/>
  <cols>
    <col min="1" max="1" width="16.42578125" bestFit="1" customWidth="1"/>
    <col min="2" max="2" width="15.28515625" bestFit="1" customWidth="1"/>
  </cols>
  <sheetData>
    <row r="3" spans="1:2">
      <c r="A3" s="7" t="s">
        <v>862</v>
      </c>
      <c r="B3" t="s">
        <v>952</v>
      </c>
    </row>
    <row r="4" spans="1:2">
      <c r="A4" t="s">
        <v>919</v>
      </c>
      <c r="B4" s="6">
        <v>1839760</v>
      </c>
    </row>
    <row r="5" spans="1:2">
      <c r="A5" t="s">
        <v>913</v>
      </c>
      <c r="B5" s="6">
        <v>1533840</v>
      </c>
    </row>
    <row r="6" spans="1:2">
      <c r="A6" t="s">
        <v>907</v>
      </c>
      <c r="B6" s="6">
        <v>1483560</v>
      </c>
    </row>
    <row r="7" spans="1:2">
      <c r="A7" t="s">
        <v>877</v>
      </c>
      <c r="B7" s="6">
        <v>1318600</v>
      </c>
    </row>
    <row r="8" spans="1:2">
      <c r="A8" t="s">
        <v>901</v>
      </c>
      <c r="B8" s="6">
        <v>1205040</v>
      </c>
    </row>
    <row r="9" spans="1:2">
      <c r="A9" t="s">
        <v>888</v>
      </c>
      <c r="B9" s="6">
        <v>876240</v>
      </c>
    </row>
    <row r="10" spans="1:2">
      <c r="A10" t="s">
        <v>894</v>
      </c>
      <c r="B10" s="6">
        <v>671840</v>
      </c>
    </row>
    <row r="11" spans="1:2">
      <c r="A11" t="s">
        <v>866</v>
      </c>
      <c r="B11" s="6">
        <v>633600</v>
      </c>
    </row>
    <row r="12" spans="1:2">
      <c r="A12" t="s">
        <v>898</v>
      </c>
      <c r="B12" s="6">
        <v>455520</v>
      </c>
    </row>
    <row r="13" spans="1:2">
      <c r="A13" t="s">
        <v>951</v>
      </c>
      <c r="B13" s="6">
        <v>10018000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D513-1053-4841-824A-DE897E5E2790}">
  <dimension ref="A3:B14"/>
  <sheetViews>
    <sheetView tabSelected="1" workbookViewId="0">
      <selection activeCell="F4" sqref="F4"/>
    </sheetView>
  </sheetViews>
  <sheetFormatPr defaultRowHeight="15"/>
  <cols>
    <col min="1" max="1" width="17.5703125" bestFit="1" customWidth="1"/>
    <col min="2" max="2" width="15.28515625" bestFit="1" customWidth="1"/>
    <col min="3" max="3" width="5.42578125" bestFit="1" customWidth="1"/>
    <col min="4" max="59" width="6.5703125" bestFit="1" customWidth="1"/>
    <col min="60" max="101" width="7.7109375" bestFit="1" customWidth="1"/>
    <col min="102" max="102" width="7.42578125" bestFit="1" customWidth="1"/>
    <col min="103" max="103" width="11.7109375" bestFit="1" customWidth="1"/>
  </cols>
  <sheetData>
    <row r="3" spans="1:2">
      <c r="A3" s="7" t="s">
        <v>861</v>
      </c>
      <c r="B3" t="s">
        <v>952</v>
      </c>
    </row>
    <row r="4" spans="1:2">
      <c r="A4" t="s">
        <v>923</v>
      </c>
      <c r="B4" s="6">
        <v>441000</v>
      </c>
    </row>
    <row r="5" spans="1:2">
      <c r="A5" t="s">
        <v>921</v>
      </c>
      <c r="B5" s="6">
        <v>424560</v>
      </c>
    </row>
    <row r="6" spans="1:2">
      <c r="A6" t="s">
        <v>918</v>
      </c>
      <c r="B6" s="6">
        <v>408120</v>
      </c>
    </row>
    <row r="7" spans="1:2">
      <c r="A7" t="s">
        <v>916</v>
      </c>
      <c r="B7" s="6">
        <v>391680</v>
      </c>
    </row>
    <row r="8" spans="1:2">
      <c r="A8" t="s">
        <v>914</v>
      </c>
      <c r="B8" s="6">
        <v>375240</v>
      </c>
    </row>
    <row r="9" spans="1:2">
      <c r="A9" t="s">
        <v>911</v>
      </c>
      <c r="B9" s="6">
        <v>358800</v>
      </c>
    </row>
    <row r="10" spans="1:2">
      <c r="A10" t="s">
        <v>909</v>
      </c>
      <c r="B10" s="6">
        <v>342360</v>
      </c>
    </row>
    <row r="11" spans="1:2">
      <c r="A11" t="s">
        <v>906</v>
      </c>
      <c r="B11" s="6">
        <v>325920</v>
      </c>
    </row>
    <row r="12" spans="1:2">
      <c r="A12" t="s">
        <v>904</v>
      </c>
      <c r="B12" s="6">
        <v>309480</v>
      </c>
    </row>
    <row r="13" spans="1:2">
      <c r="A13" t="s">
        <v>902</v>
      </c>
      <c r="B13" s="6">
        <v>293040</v>
      </c>
    </row>
    <row r="14" spans="1:2">
      <c r="A14" t="s">
        <v>951</v>
      </c>
      <c r="B14" s="6">
        <v>3670200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77EF-191E-47B9-9601-E3C8A4960F6B}">
  <dimension ref="A3:B16"/>
  <sheetViews>
    <sheetView workbookViewId="0">
      <selection activeCell="A3" sqref="A3"/>
    </sheetView>
  </sheetViews>
  <sheetFormatPr defaultRowHeight="15"/>
  <cols>
    <col min="1" max="1" width="16.140625" bestFit="1" customWidth="1"/>
    <col min="2" max="2" width="15.28515625" bestFit="1" customWidth="1"/>
  </cols>
  <sheetData>
    <row r="3" spans="1:2">
      <c r="A3" s="7" t="s">
        <v>927</v>
      </c>
      <c r="B3" t="s">
        <v>952</v>
      </c>
    </row>
    <row r="4" spans="1:2">
      <c r="A4" t="s">
        <v>958</v>
      </c>
      <c r="B4" s="6">
        <v>852596</v>
      </c>
    </row>
    <row r="5" spans="1:2">
      <c r="A5" t="s">
        <v>959</v>
      </c>
      <c r="B5" s="6">
        <v>771745</v>
      </c>
    </row>
    <row r="6" spans="1:2">
      <c r="A6" t="s">
        <v>960</v>
      </c>
      <c r="B6" s="6">
        <v>757675</v>
      </c>
    </row>
    <row r="7" spans="1:2">
      <c r="A7" t="s">
        <v>961</v>
      </c>
      <c r="B7" s="6">
        <v>831580</v>
      </c>
    </row>
    <row r="8" spans="1:2">
      <c r="A8" t="s">
        <v>962</v>
      </c>
      <c r="B8" s="6">
        <v>1073930</v>
      </c>
    </row>
    <row r="9" spans="1:2">
      <c r="A9" t="s">
        <v>963</v>
      </c>
      <c r="B9" s="6">
        <v>850109</v>
      </c>
    </row>
    <row r="10" spans="1:2">
      <c r="A10" t="s">
        <v>964</v>
      </c>
      <c r="B10" s="6">
        <v>838704</v>
      </c>
    </row>
    <row r="11" spans="1:2">
      <c r="A11" t="s">
        <v>965</v>
      </c>
      <c r="B11" s="6">
        <v>752195</v>
      </c>
    </row>
    <row r="12" spans="1:2">
      <c r="A12" t="s">
        <v>966</v>
      </c>
      <c r="B12" s="6">
        <v>789630</v>
      </c>
    </row>
    <row r="13" spans="1:2">
      <c r="A13" t="s">
        <v>967</v>
      </c>
      <c r="B13" s="6">
        <v>859446</v>
      </c>
    </row>
    <row r="14" spans="1:2">
      <c r="A14" t="s">
        <v>968</v>
      </c>
      <c r="B14" s="6">
        <v>792644</v>
      </c>
    </row>
    <row r="15" spans="1:2">
      <c r="A15" t="s">
        <v>969</v>
      </c>
      <c r="B15" s="6">
        <v>847746</v>
      </c>
    </row>
    <row r="16" spans="1:2">
      <c r="A16" t="s">
        <v>951</v>
      </c>
      <c r="B16" s="6">
        <v>10018000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2026-10-08T10:00:05Z</dcterms:created>
  <dcterms:modified xsi:type="dcterms:W3CDTF">2026-10-09T06:38:40Z</dcterms:modified>
  <cp:category/>
  <cp:contentStatus/>
</cp:coreProperties>
</file>